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Quant_excel\"/>
    </mc:Choice>
  </mc:AlternateContent>
  <xr:revisionPtr revIDLastSave="0" documentId="13_ncr:1_{2DC49D1D-61C7-46E3-BF4D-D6A1DBC57696}" xr6:coauthVersionLast="47" xr6:coauthVersionMax="47" xr10:uidLastSave="{00000000-0000-0000-0000-000000000000}"/>
  <workbookProtection workbookAlgorithmName="SHA-512" workbookHashValue="214Tu3cUPFBCNZWIArguSExt/OZf4M4xYbpj7Z5lWHm7kMMEs5nH4ikE0yC1ynKmvyI4PBj0XmQ524keANOgjQ==" workbookSaltValue="ZlOhA4edzDkKkCxadqgogw==" workbookSpinCount="100000" lockStructure="1"/>
  <bookViews>
    <workbookView xWindow="-110" yWindow="-110" windowWidth="22620" windowHeight="13500" tabRatio="938" activeTab="1" xr2:uid="{00000000-000D-0000-FFFF-FFFF00000000}"/>
  </bookViews>
  <sheets>
    <sheet name="Instructions" sheetId="1" r:id="rId1"/>
    <sheet name="Summary" sheetId="2" r:id="rId2"/>
    <sheet name="Daily Log" sheetId="3" r:id="rId3"/>
    <sheet name="Raw daily data" sheetId="4" r:id="rId4"/>
    <sheet name="Advanced Setup Planner" sheetId="5" r:id="rId5"/>
    <sheet name="Backend" sheetId="6" state="veryHidden" r:id="rId6"/>
  </sheets>
  <definedNames>
    <definedName name="LT_CategoryUS">Backend!$A$26:$A$31</definedName>
    <definedName name="LT_MacroDir">Backend!$A$11:$A$19</definedName>
    <definedName name="LT_RatePolicy">Backend!$A$20:$A$22</definedName>
    <definedName name="LT_RiskEnv">Backend!$A$23:$A$25</definedName>
    <definedName name="LT_Speakers">Backend!$A$35:$A$55</definedName>
    <definedName name="LT_TrendBull">Backend!$A$2:$A$7</definedName>
    <definedName name="LT_WeekNum">Backend!$A$8:$A$10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2" i="3"/>
  <c r="C3" i="3"/>
  <c r="C4" i="3"/>
  <c r="C5" i="3"/>
  <c r="C6" i="3"/>
  <c r="F6" i="3"/>
  <c r="H6" i="3"/>
  <c r="K6" i="3"/>
  <c r="N6" i="3"/>
  <c r="O6" i="3"/>
  <c r="S6" i="3" s="1"/>
  <c r="P6" i="3"/>
  <c r="Q6" i="3"/>
  <c r="R6" i="3"/>
  <c r="T6" i="3" s="1"/>
  <c r="V6" i="3"/>
  <c r="W6" i="3"/>
  <c r="C7" i="3"/>
  <c r="F7" i="3"/>
  <c r="G7" i="3"/>
  <c r="H7" i="3"/>
  <c r="U7" i="3" s="1"/>
  <c r="K7" i="3"/>
  <c r="N7" i="3"/>
  <c r="O7" i="3"/>
  <c r="P7" i="3"/>
  <c r="Q7" i="3"/>
  <c r="R7" i="3"/>
  <c r="T7" i="3" s="1"/>
  <c r="W7" i="3"/>
  <c r="C8" i="3"/>
  <c r="F8" i="3"/>
  <c r="H8" i="3"/>
  <c r="V8" i="3" s="1"/>
  <c r="K8" i="3"/>
  <c r="N8" i="3"/>
  <c r="S8" i="3" s="1"/>
  <c r="O8" i="3"/>
  <c r="P8" i="3"/>
  <c r="Q8" i="3"/>
  <c r="R8" i="3"/>
  <c r="T8" i="3"/>
  <c r="W8" i="3"/>
  <c r="C9" i="3"/>
  <c r="F9" i="3"/>
  <c r="G9" i="3"/>
  <c r="H9" i="3"/>
  <c r="U9" i="3" s="1"/>
  <c r="K9" i="3"/>
  <c r="N9" i="3"/>
  <c r="S9" i="3" s="1"/>
  <c r="O9" i="3"/>
  <c r="P9" i="3"/>
  <c r="Q9" i="3"/>
  <c r="R9" i="3"/>
  <c r="T9" i="3" s="1"/>
  <c r="V9" i="3"/>
  <c r="W9" i="3"/>
  <c r="C10" i="3"/>
  <c r="F10" i="3"/>
  <c r="H10" i="3"/>
  <c r="K10" i="3"/>
  <c r="N10" i="3"/>
  <c r="S10" i="3" s="1"/>
  <c r="O10" i="3"/>
  <c r="P10" i="3"/>
  <c r="Q10" i="3"/>
  <c r="R10" i="3"/>
  <c r="T10" i="3" s="1"/>
  <c r="V10" i="3"/>
  <c r="W10" i="3"/>
  <c r="C11" i="3"/>
  <c r="F11" i="3"/>
  <c r="G11" i="3" s="1"/>
  <c r="H11" i="3"/>
  <c r="V11" i="3" s="1"/>
  <c r="K11" i="3"/>
  <c r="N11" i="3"/>
  <c r="O11" i="3"/>
  <c r="P11" i="3"/>
  <c r="Q11" i="3"/>
  <c r="R11" i="3"/>
  <c r="T11" i="3" s="1"/>
  <c r="U11" i="3"/>
  <c r="W11" i="3"/>
  <c r="C12" i="3"/>
  <c r="F12" i="3"/>
  <c r="H12" i="3"/>
  <c r="V12" i="3" s="1"/>
  <c r="K12" i="3"/>
  <c r="N12" i="3"/>
  <c r="S12" i="3" s="1"/>
  <c r="O12" i="3"/>
  <c r="P12" i="3"/>
  <c r="Q12" i="3"/>
  <c r="R12" i="3"/>
  <c r="T12" i="3" s="1"/>
  <c r="W12" i="3"/>
  <c r="C13" i="3"/>
  <c r="F13" i="3"/>
  <c r="G13" i="3"/>
  <c r="H13" i="3"/>
  <c r="K13" i="3"/>
  <c r="N13" i="3"/>
  <c r="O13" i="3"/>
  <c r="P13" i="3"/>
  <c r="Q13" i="3"/>
  <c r="R13" i="3"/>
  <c r="T13" i="3" s="1"/>
  <c r="V13" i="3"/>
  <c r="W13" i="3"/>
  <c r="C14" i="3"/>
  <c r="F14" i="3"/>
  <c r="H14" i="3"/>
  <c r="V14" i="3" s="1"/>
  <c r="K14" i="3"/>
  <c r="N14" i="3"/>
  <c r="S14" i="3" s="1"/>
  <c r="O14" i="3"/>
  <c r="P14" i="3"/>
  <c r="Q14" i="3"/>
  <c r="R14" i="3"/>
  <c r="T14" i="3" s="1"/>
  <c r="W14" i="3"/>
  <c r="C15" i="3"/>
  <c r="F15" i="3"/>
  <c r="G15" i="3" s="1"/>
  <c r="H15" i="3"/>
  <c r="U15" i="3" s="1"/>
  <c r="K15" i="3"/>
  <c r="N15" i="3"/>
  <c r="O15" i="3"/>
  <c r="P15" i="3"/>
  <c r="Q15" i="3"/>
  <c r="R15" i="3"/>
  <c r="T15" i="3" s="1"/>
  <c r="W15" i="3"/>
  <c r="C16" i="3"/>
  <c r="F16" i="3"/>
  <c r="H16" i="3"/>
  <c r="V16" i="3" s="1"/>
  <c r="K16" i="3"/>
  <c r="N16" i="3"/>
  <c r="O16" i="3"/>
  <c r="P16" i="3"/>
  <c r="Q16" i="3"/>
  <c r="R16" i="3"/>
  <c r="T16" i="3" s="1"/>
  <c r="S16" i="3"/>
  <c r="W16" i="3"/>
  <c r="C17" i="3"/>
  <c r="F17" i="3"/>
  <c r="G17" i="3"/>
  <c r="H17" i="3"/>
  <c r="U17" i="3" s="1"/>
  <c r="K17" i="3"/>
  <c r="N17" i="3"/>
  <c r="S17" i="3" s="1"/>
  <c r="O17" i="3"/>
  <c r="P17" i="3"/>
  <c r="Q17" i="3"/>
  <c r="R17" i="3"/>
  <c r="T17" i="3" s="1"/>
  <c r="W17" i="3"/>
  <c r="C18" i="3"/>
  <c r="F18" i="3"/>
  <c r="H18" i="3"/>
  <c r="K18" i="3"/>
  <c r="N18" i="3"/>
  <c r="O18" i="3"/>
  <c r="S18" i="3" s="1"/>
  <c r="P18" i="3"/>
  <c r="Q18" i="3"/>
  <c r="R18" i="3"/>
  <c r="T18" i="3" s="1"/>
  <c r="V18" i="3"/>
  <c r="W18" i="3"/>
  <c r="C19" i="3"/>
  <c r="F19" i="3"/>
  <c r="G19" i="3"/>
  <c r="H19" i="3"/>
  <c r="U19" i="3" s="1"/>
  <c r="K19" i="3"/>
  <c r="N19" i="3"/>
  <c r="O19" i="3"/>
  <c r="P19" i="3"/>
  <c r="Q19" i="3"/>
  <c r="R19" i="3"/>
  <c r="T19" i="3"/>
  <c r="V19" i="3"/>
  <c r="W19" i="3"/>
  <c r="C20" i="3"/>
  <c r="F20" i="3"/>
  <c r="H20" i="3"/>
  <c r="V20" i="3" s="1"/>
  <c r="K20" i="3"/>
  <c r="N20" i="3"/>
  <c r="S20" i="3" s="1"/>
  <c r="O20" i="3"/>
  <c r="P20" i="3"/>
  <c r="Q20" i="3"/>
  <c r="R20" i="3"/>
  <c r="T20" i="3"/>
  <c r="W20" i="3"/>
  <c r="C21" i="3"/>
  <c r="F21" i="3"/>
  <c r="G21" i="3"/>
  <c r="H21" i="3"/>
  <c r="U21" i="3" s="1"/>
  <c r="K21" i="3"/>
  <c r="N21" i="3"/>
  <c r="O21" i="3"/>
  <c r="P21" i="3"/>
  <c r="Q21" i="3"/>
  <c r="R21" i="3"/>
  <c r="T21" i="3" s="1"/>
  <c r="V21" i="3"/>
  <c r="W21" i="3"/>
  <c r="C22" i="3"/>
  <c r="F22" i="3"/>
  <c r="H22" i="3"/>
  <c r="V22" i="3" s="1"/>
  <c r="K22" i="3"/>
  <c r="N22" i="3"/>
  <c r="S22" i="3" s="1"/>
  <c r="O22" i="3"/>
  <c r="P22" i="3"/>
  <c r="Q22" i="3"/>
  <c r="R22" i="3"/>
  <c r="T22" i="3" s="1"/>
  <c r="W22" i="3"/>
  <c r="C23" i="3"/>
  <c r="F23" i="3"/>
  <c r="G23" i="3" s="1"/>
  <c r="H23" i="3"/>
  <c r="V23" i="3" s="1"/>
  <c r="K23" i="3"/>
  <c r="N23" i="3"/>
  <c r="O23" i="3"/>
  <c r="P23" i="3"/>
  <c r="Q23" i="3"/>
  <c r="R23" i="3"/>
  <c r="T23" i="3" s="1"/>
  <c r="U23" i="3"/>
  <c r="W23" i="3"/>
  <c r="C24" i="3"/>
  <c r="F24" i="3"/>
  <c r="G24" i="3" s="1"/>
  <c r="H24" i="3"/>
  <c r="U24" i="3" s="1"/>
  <c r="K24" i="3"/>
  <c r="N24" i="3"/>
  <c r="O24" i="3"/>
  <c r="S24" i="3" s="1"/>
  <c r="P24" i="3"/>
  <c r="Q24" i="3"/>
  <c r="R24" i="3"/>
  <c r="T24" i="3" s="1"/>
  <c r="W24" i="3"/>
  <c r="C25" i="3"/>
  <c r="F25" i="3"/>
  <c r="G25" i="3"/>
  <c r="H25" i="3"/>
  <c r="K25" i="3"/>
  <c r="N25" i="3"/>
  <c r="O25" i="3"/>
  <c r="P25" i="3"/>
  <c r="Q25" i="3"/>
  <c r="R25" i="3"/>
  <c r="T25" i="3"/>
  <c r="V25" i="3"/>
  <c r="W25" i="3"/>
  <c r="C26" i="3"/>
  <c r="F26" i="3"/>
  <c r="G26" i="3" s="1"/>
  <c r="H26" i="3"/>
  <c r="V26" i="3" s="1"/>
  <c r="K26" i="3"/>
  <c r="N26" i="3"/>
  <c r="S26" i="3" s="1"/>
  <c r="O26" i="3"/>
  <c r="P26" i="3"/>
  <c r="Q26" i="3"/>
  <c r="R26" i="3"/>
  <c r="T26" i="3" s="1"/>
  <c r="U26" i="3"/>
  <c r="W26" i="3"/>
  <c r="C27" i="3"/>
  <c r="F27" i="3"/>
  <c r="G27" i="3"/>
  <c r="H27" i="3"/>
  <c r="U27" i="3" s="1"/>
  <c r="K27" i="3"/>
  <c r="N27" i="3"/>
  <c r="O27" i="3"/>
  <c r="P27" i="3"/>
  <c r="Q27" i="3"/>
  <c r="R27" i="3"/>
  <c r="T27" i="3" s="1"/>
  <c r="V27" i="3"/>
  <c r="W27" i="3"/>
  <c r="C28" i="3"/>
  <c r="F28" i="3"/>
  <c r="H28" i="3"/>
  <c r="V28" i="3" s="1"/>
  <c r="K28" i="3"/>
  <c r="N28" i="3"/>
  <c r="O28" i="3"/>
  <c r="P28" i="3"/>
  <c r="Q28" i="3"/>
  <c r="R28" i="3"/>
  <c r="T28" i="3" s="1"/>
  <c r="S28" i="3"/>
  <c r="W28" i="3"/>
  <c r="C29" i="3"/>
  <c r="F29" i="3"/>
  <c r="G29" i="3"/>
  <c r="H29" i="3"/>
  <c r="U29" i="3" s="1"/>
  <c r="K29" i="3"/>
  <c r="N29" i="3"/>
  <c r="S29" i="3" s="1"/>
  <c r="O29" i="3"/>
  <c r="P29" i="3"/>
  <c r="Q29" i="3"/>
  <c r="R29" i="3"/>
  <c r="T29" i="3"/>
  <c r="W29" i="3"/>
  <c r="C30" i="3"/>
  <c r="F30" i="3"/>
  <c r="G30" i="3" s="1"/>
  <c r="H30" i="3"/>
  <c r="K30" i="3"/>
  <c r="N30" i="3"/>
  <c r="O30" i="3"/>
  <c r="P30" i="3"/>
  <c r="Q30" i="3"/>
  <c r="R30" i="3"/>
  <c r="T30" i="3" s="1"/>
  <c r="S30" i="3"/>
  <c r="U30" i="3"/>
  <c r="V30" i="3"/>
  <c r="W30" i="3"/>
  <c r="C31" i="3"/>
  <c r="F31" i="3"/>
  <c r="G31" i="3"/>
  <c r="H31" i="3"/>
  <c r="U31" i="3" s="1"/>
  <c r="K31" i="3"/>
  <c r="N31" i="3"/>
  <c r="O31" i="3"/>
  <c r="P31" i="3"/>
  <c r="Q31" i="3"/>
  <c r="R31" i="3"/>
  <c r="T31" i="3"/>
  <c r="V31" i="3"/>
  <c r="W31" i="3"/>
  <c r="C32" i="3"/>
  <c r="F32" i="3"/>
  <c r="G32" i="3" s="1"/>
  <c r="H32" i="3"/>
  <c r="U32" i="3" s="1"/>
  <c r="K32" i="3"/>
  <c r="N32" i="3"/>
  <c r="S32" i="3" s="1"/>
  <c r="O32" i="3"/>
  <c r="P32" i="3"/>
  <c r="Q32" i="3"/>
  <c r="R32" i="3"/>
  <c r="T32" i="3"/>
  <c r="W32" i="3"/>
  <c r="C33" i="3"/>
  <c r="F33" i="3"/>
  <c r="G33" i="3"/>
  <c r="H33" i="3"/>
  <c r="U33" i="3" s="1"/>
  <c r="K33" i="3"/>
  <c r="N33" i="3"/>
  <c r="O33" i="3"/>
  <c r="P33" i="3"/>
  <c r="Q33" i="3"/>
  <c r="R33" i="3"/>
  <c r="T33" i="3" s="1"/>
  <c r="V33" i="3"/>
  <c r="W33" i="3"/>
  <c r="C34" i="3"/>
  <c r="F34" i="3"/>
  <c r="H34" i="3"/>
  <c r="V34" i="3" s="1"/>
  <c r="K34" i="3"/>
  <c r="N34" i="3"/>
  <c r="S34" i="3" s="1"/>
  <c r="O34" i="3"/>
  <c r="P34" i="3"/>
  <c r="Q34" i="3"/>
  <c r="R34" i="3"/>
  <c r="T34" i="3" s="1"/>
  <c r="W34" i="3"/>
  <c r="C35" i="3"/>
  <c r="F35" i="3"/>
  <c r="G35" i="3" s="1"/>
  <c r="H35" i="3"/>
  <c r="V35" i="3" s="1"/>
  <c r="K35" i="3"/>
  <c r="N35" i="3"/>
  <c r="O35" i="3"/>
  <c r="P35" i="3"/>
  <c r="Q35" i="3"/>
  <c r="R35" i="3"/>
  <c r="T35" i="3"/>
  <c r="U35" i="3"/>
  <c r="W35" i="3"/>
  <c r="C36" i="3"/>
  <c r="F36" i="3"/>
  <c r="G36" i="3" s="1"/>
  <c r="H36" i="3"/>
  <c r="V36" i="3" s="1"/>
  <c r="K36" i="3"/>
  <c r="N36" i="3"/>
  <c r="O36" i="3"/>
  <c r="S36" i="3" s="1"/>
  <c r="P36" i="3"/>
  <c r="Q36" i="3"/>
  <c r="R36" i="3"/>
  <c r="T36" i="3" s="1"/>
  <c r="U36" i="3"/>
  <c r="W36" i="3"/>
  <c r="C37" i="3"/>
  <c r="F37" i="3"/>
  <c r="G37" i="3"/>
  <c r="H37" i="3"/>
  <c r="K37" i="3"/>
  <c r="N37" i="3"/>
  <c r="O37" i="3"/>
  <c r="P37" i="3"/>
  <c r="Q37" i="3"/>
  <c r="R37" i="3"/>
  <c r="T37" i="3"/>
  <c r="V37" i="3"/>
  <c r="W37" i="3"/>
  <c r="C38" i="3"/>
  <c r="F38" i="3"/>
  <c r="G38" i="3" s="1"/>
  <c r="H38" i="3"/>
  <c r="V38" i="3" s="1"/>
  <c r="K38" i="3"/>
  <c r="N38" i="3"/>
  <c r="S38" i="3" s="1"/>
  <c r="O38" i="3"/>
  <c r="P38" i="3"/>
  <c r="Q38" i="3"/>
  <c r="R38" i="3"/>
  <c r="T38" i="3" s="1"/>
  <c r="U38" i="3"/>
  <c r="W38" i="3"/>
  <c r="C39" i="3"/>
  <c r="F39" i="3"/>
  <c r="G39" i="3"/>
  <c r="H39" i="3"/>
  <c r="U39" i="3" s="1"/>
  <c r="K39" i="3"/>
  <c r="N39" i="3"/>
  <c r="O39" i="3"/>
  <c r="P39" i="3"/>
  <c r="Q39" i="3"/>
  <c r="R39" i="3"/>
  <c r="T39" i="3" s="1"/>
  <c r="V39" i="3"/>
  <c r="W39" i="3"/>
  <c r="C40" i="3"/>
  <c r="F40" i="3"/>
  <c r="H40" i="3"/>
  <c r="V40" i="3" s="1"/>
  <c r="K40" i="3"/>
  <c r="N40" i="3"/>
  <c r="O40" i="3"/>
  <c r="P40" i="3"/>
  <c r="Q40" i="3"/>
  <c r="R40" i="3"/>
  <c r="T40" i="3" s="1"/>
  <c r="S40" i="3"/>
  <c r="W40" i="3"/>
  <c r="C41" i="3"/>
  <c r="F41" i="3"/>
  <c r="G41" i="3"/>
  <c r="H41" i="3"/>
  <c r="U41" i="3" s="1"/>
  <c r="K41" i="3"/>
  <c r="N41" i="3"/>
  <c r="S41" i="3" s="1"/>
  <c r="O41" i="3"/>
  <c r="P41" i="3"/>
  <c r="Q41" i="3"/>
  <c r="R41" i="3"/>
  <c r="T41" i="3"/>
  <c r="W41" i="3"/>
  <c r="C42" i="3"/>
  <c r="F42" i="3"/>
  <c r="G42" i="3" s="1"/>
  <c r="H42" i="3"/>
  <c r="K42" i="3"/>
  <c r="N42" i="3"/>
  <c r="O42" i="3"/>
  <c r="S42" i="3" s="1"/>
  <c r="P42" i="3"/>
  <c r="Q42" i="3"/>
  <c r="R42" i="3"/>
  <c r="T42" i="3" s="1"/>
  <c r="U42" i="3"/>
  <c r="V42" i="3"/>
  <c r="W42" i="3"/>
  <c r="C43" i="3"/>
  <c r="F43" i="3"/>
  <c r="G43" i="3"/>
  <c r="H43" i="3"/>
  <c r="U43" i="3" s="1"/>
  <c r="K43" i="3"/>
  <c r="N43" i="3"/>
  <c r="O43" i="3"/>
  <c r="P43" i="3"/>
  <c r="Q43" i="3"/>
  <c r="R43" i="3"/>
  <c r="T43" i="3"/>
  <c r="V43" i="3"/>
  <c r="W43" i="3"/>
  <c r="C44" i="3"/>
  <c r="F44" i="3"/>
  <c r="G44" i="3" s="1"/>
  <c r="H44" i="3"/>
  <c r="U44" i="3" s="1"/>
  <c r="K44" i="3"/>
  <c r="N44" i="3"/>
  <c r="S44" i="3" s="1"/>
  <c r="O44" i="3"/>
  <c r="P44" i="3"/>
  <c r="Q44" i="3"/>
  <c r="R44" i="3"/>
  <c r="T44" i="3"/>
  <c r="W44" i="3"/>
  <c r="C45" i="3"/>
  <c r="F45" i="3"/>
  <c r="G45" i="3"/>
  <c r="H45" i="3"/>
  <c r="U45" i="3" s="1"/>
  <c r="K45" i="3"/>
  <c r="N45" i="3"/>
  <c r="O45" i="3"/>
  <c r="P45" i="3"/>
  <c r="Q45" i="3"/>
  <c r="R45" i="3"/>
  <c r="T45" i="3" s="1"/>
  <c r="V45" i="3"/>
  <c r="W45" i="3"/>
  <c r="C46" i="3"/>
  <c r="F46" i="3"/>
  <c r="H46" i="3"/>
  <c r="V46" i="3" s="1"/>
  <c r="K46" i="3"/>
  <c r="N46" i="3"/>
  <c r="O46" i="3"/>
  <c r="P46" i="3"/>
  <c r="Q46" i="3"/>
  <c r="R46" i="3"/>
  <c r="T46" i="3" s="1"/>
  <c r="S46" i="3"/>
  <c r="W46" i="3"/>
  <c r="C47" i="3"/>
  <c r="F47" i="3"/>
  <c r="G47" i="3" s="1"/>
  <c r="H47" i="3"/>
  <c r="V47" i="3" s="1"/>
  <c r="K47" i="3"/>
  <c r="N47" i="3"/>
  <c r="O47" i="3"/>
  <c r="P47" i="3"/>
  <c r="Q47" i="3"/>
  <c r="R47" i="3"/>
  <c r="T47" i="3"/>
  <c r="U47" i="3"/>
  <c r="W47" i="3"/>
  <c r="C48" i="3"/>
  <c r="F48" i="3"/>
  <c r="G48" i="3" s="1"/>
  <c r="H48" i="3"/>
  <c r="V48" i="3" s="1"/>
  <c r="K48" i="3"/>
  <c r="N48" i="3"/>
  <c r="O48" i="3"/>
  <c r="S48" i="3" s="1"/>
  <c r="P48" i="3"/>
  <c r="Q48" i="3"/>
  <c r="R48" i="3"/>
  <c r="T48" i="3"/>
  <c r="U48" i="3"/>
  <c r="W48" i="3"/>
  <c r="C49" i="3"/>
  <c r="F49" i="3"/>
  <c r="G49" i="3"/>
  <c r="H49" i="3"/>
  <c r="K49" i="3"/>
  <c r="N49" i="3"/>
  <c r="O49" i="3"/>
  <c r="P49" i="3"/>
  <c r="Q49" i="3"/>
  <c r="R49" i="3"/>
  <c r="T49" i="3"/>
  <c r="V49" i="3"/>
  <c r="W49" i="3"/>
  <c r="C50" i="3"/>
  <c r="F50" i="3"/>
  <c r="G50" i="3" s="1"/>
  <c r="H50" i="3"/>
  <c r="V50" i="3" s="1"/>
  <c r="K50" i="3"/>
  <c r="N50" i="3"/>
  <c r="S50" i="3" s="1"/>
  <c r="O50" i="3"/>
  <c r="P50" i="3"/>
  <c r="Q50" i="3"/>
  <c r="R50" i="3"/>
  <c r="T50" i="3" s="1"/>
  <c r="U50" i="3"/>
  <c r="W50" i="3"/>
  <c r="C51" i="3"/>
  <c r="F51" i="3"/>
  <c r="G51" i="3"/>
  <c r="Y51" i="3" s="1"/>
  <c r="H51" i="3"/>
  <c r="U51" i="3" s="1"/>
  <c r="K51" i="3"/>
  <c r="N51" i="3"/>
  <c r="O51" i="3"/>
  <c r="P51" i="3"/>
  <c r="Q51" i="3"/>
  <c r="R51" i="3"/>
  <c r="T51" i="3" s="1"/>
  <c r="V51" i="3"/>
  <c r="W51" i="3"/>
  <c r="C52" i="3"/>
  <c r="F52" i="3"/>
  <c r="H52" i="3"/>
  <c r="K52" i="3"/>
  <c r="N52" i="3"/>
  <c r="O52" i="3"/>
  <c r="P52" i="3"/>
  <c r="Q52" i="3"/>
  <c r="R52" i="3"/>
  <c r="T52" i="3" s="1"/>
  <c r="S52" i="3"/>
  <c r="W52" i="3"/>
  <c r="C53" i="3"/>
  <c r="F53" i="3"/>
  <c r="G53" i="3"/>
  <c r="H53" i="3"/>
  <c r="U53" i="3" s="1"/>
  <c r="K53" i="3"/>
  <c r="N53" i="3"/>
  <c r="S53" i="3" s="1"/>
  <c r="O53" i="3"/>
  <c r="P53" i="3"/>
  <c r="Q53" i="3"/>
  <c r="R53" i="3"/>
  <c r="T53" i="3"/>
  <c r="W53" i="3"/>
  <c r="C54" i="3"/>
  <c r="F54" i="3"/>
  <c r="G54" i="3" s="1"/>
  <c r="H54" i="3"/>
  <c r="K54" i="3"/>
  <c r="N54" i="3"/>
  <c r="O54" i="3"/>
  <c r="P54" i="3"/>
  <c r="Q54" i="3"/>
  <c r="R54" i="3"/>
  <c r="S54" i="3"/>
  <c r="T54" i="3"/>
  <c r="V54" i="3"/>
  <c r="W54" i="3"/>
  <c r="C55" i="3"/>
  <c r="F55" i="3"/>
  <c r="G55" i="3"/>
  <c r="H55" i="3"/>
  <c r="K55" i="3"/>
  <c r="N55" i="3"/>
  <c r="O55" i="3"/>
  <c r="P55" i="3"/>
  <c r="Q55" i="3"/>
  <c r="R55" i="3"/>
  <c r="T55" i="3"/>
  <c r="U55" i="3"/>
  <c r="V55" i="3"/>
  <c r="W55" i="3"/>
  <c r="C56" i="3"/>
  <c r="F56" i="3"/>
  <c r="G56" i="3" s="1"/>
  <c r="H56" i="3"/>
  <c r="K56" i="3"/>
  <c r="N56" i="3"/>
  <c r="O56" i="3"/>
  <c r="P56" i="3"/>
  <c r="Q56" i="3"/>
  <c r="R56" i="3"/>
  <c r="T56" i="3"/>
  <c r="W56" i="3"/>
  <c r="C57" i="3"/>
  <c r="F57" i="3"/>
  <c r="G57" i="3"/>
  <c r="H57" i="3"/>
  <c r="U57" i="3" s="1"/>
  <c r="K57" i="3"/>
  <c r="N57" i="3"/>
  <c r="O57" i="3"/>
  <c r="P57" i="3"/>
  <c r="Q57" i="3"/>
  <c r="R57" i="3"/>
  <c r="T57" i="3" s="1"/>
  <c r="V57" i="3"/>
  <c r="W57" i="3"/>
  <c r="C58" i="3"/>
  <c r="F58" i="3"/>
  <c r="H58" i="3"/>
  <c r="V58" i="3" s="1"/>
  <c r="K58" i="3"/>
  <c r="N58" i="3"/>
  <c r="O58" i="3"/>
  <c r="P58" i="3"/>
  <c r="Q58" i="3"/>
  <c r="R58" i="3"/>
  <c r="T58" i="3" s="1"/>
  <c r="S58" i="3"/>
  <c r="W58" i="3"/>
  <c r="C59" i="3"/>
  <c r="F59" i="3"/>
  <c r="G59" i="3" s="1"/>
  <c r="H59" i="3"/>
  <c r="V59" i="3" s="1"/>
  <c r="K59" i="3"/>
  <c r="N59" i="3"/>
  <c r="O59" i="3"/>
  <c r="P59" i="3"/>
  <c r="Q59" i="3"/>
  <c r="R59" i="3"/>
  <c r="T59" i="3" s="1"/>
  <c r="U59" i="3"/>
  <c r="W59" i="3"/>
  <c r="C60" i="3"/>
  <c r="F60" i="3"/>
  <c r="G60" i="3" s="1"/>
  <c r="H60" i="3"/>
  <c r="V60" i="3" s="1"/>
  <c r="K60" i="3"/>
  <c r="N60" i="3"/>
  <c r="O60" i="3"/>
  <c r="P60" i="3"/>
  <c r="Q60" i="3"/>
  <c r="R60" i="3"/>
  <c r="S60" i="3"/>
  <c r="T60" i="3"/>
  <c r="U60" i="3"/>
  <c r="W60" i="3"/>
  <c r="C61" i="3"/>
  <c r="F61" i="3"/>
  <c r="G61" i="3"/>
  <c r="H61" i="3"/>
  <c r="K61" i="3"/>
  <c r="N61" i="3"/>
  <c r="O61" i="3"/>
  <c r="P61" i="3"/>
  <c r="Q61" i="3"/>
  <c r="R61" i="3"/>
  <c r="T61" i="3"/>
  <c r="U61" i="3"/>
  <c r="V61" i="3"/>
  <c r="W61" i="3"/>
  <c r="C62" i="3"/>
  <c r="F62" i="3"/>
  <c r="G62" i="3" s="1"/>
  <c r="H62" i="3"/>
  <c r="K62" i="3"/>
  <c r="N62" i="3"/>
  <c r="O62" i="3"/>
  <c r="P62" i="3"/>
  <c r="Q62" i="3"/>
  <c r="R62" i="3"/>
  <c r="T62" i="3" s="1"/>
  <c r="W62" i="3"/>
  <c r="X62" i="3" s="1"/>
  <c r="C63" i="3"/>
  <c r="F63" i="3"/>
  <c r="G63" i="3"/>
  <c r="Y63" i="3" s="1"/>
  <c r="H63" i="3"/>
  <c r="U63" i="3" s="1"/>
  <c r="K63" i="3"/>
  <c r="N63" i="3"/>
  <c r="O63" i="3"/>
  <c r="P63" i="3"/>
  <c r="Q63" i="3"/>
  <c r="R63" i="3"/>
  <c r="T63" i="3"/>
  <c r="W63" i="3"/>
  <c r="C64" i="3"/>
  <c r="F64" i="3"/>
  <c r="H64" i="3"/>
  <c r="V64" i="3" s="1"/>
  <c r="K64" i="3"/>
  <c r="N64" i="3"/>
  <c r="O64" i="3"/>
  <c r="P64" i="3"/>
  <c r="Q64" i="3"/>
  <c r="R64" i="3"/>
  <c r="T64" i="3" s="1"/>
  <c r="S64" i="3"/>
  <c r="W64" i="3"/>
  <c r="C65" i="3"/>
  <c r="F65" i="3"/>
  <c r="G65" i="3"/>
  <c r="H65" i="3"/>
  <c r="K65" i="3"/>
  <c r="N65" i="3"/>
  <c r="S65" i="3" s="1"/>
  <c r="O65" i="3"/>
  <c r="P65" i="3"/>
  <c r="Q65" i="3"/>
  <c r="R65" i="3"/>
  <c r="T65" i="3"/>
  <c r="W65" i="3"/>
  <c r="C66" i="3"/>
  <c r="F66" i="3"/>
  <c r="G66" i="3" s="1"/>
  <c r="H66" i="3"/>
  <c r="K66" i="3"/>
  <c r="N66" i="3"/>
  <c r="S66" i="3" s="1"/>
  <c r="O66" i="3"/>
  <c r="P66" i="3"/>
  <c r="Q66" i="3"/>
  <c r="R66" i="3"/>
  <c r="T66" i="3"/>
  <c r="V66" i="3"/>
  <c r="W66" i="3"/>
  <c r="C67" i="3"/>
  <c r="F67" i="3"/>
  <c r="G67" i="3" s="1"/>
  <c r="Y67" i="3" s="1"/>
  <c r="H67" i="3"/>
  <c r="K67" i="3"/>
  <c r="N67" i="3"/>
  <c r="S67" i="3" s="1"/>
  <c r="O67" i="3"/>
  <c r="P67" i="3"/>
  <c r="Q67" i="3"/>
  <c r="R67" i="3"/>
  <c r="T67" i="3"/>
  <c r="U67" i="3"/>
  <c r="V67" i="3"/>
  <c r="W67" i="3"/>
  <c r="C68" i="3"/>
  <c r="F68" i="3"/>
  <c r="H68" i="3"/>
  <c r="K68" i="3"/>
  <c r="N68" i="3"/>
  <c r="O68" i="3"/>
  <c r="P68" i="3"/>
  <c r="Q68" i="3"/>
  <c r="R68" i="3"/>
  <c r="T68" i="3"/>
  <c r="W68" i="3"/>
  <c r="C69" i="3"/>
  <c r="F69" i="3"/>
  <c r="G69" i="3"/>
  <c r="H69" i="3"/>
  <c r="U69" i="3" s="1"/>
  <c r="K69" i="3"/>
  <c r="N69" i="3"/>
  <c r="O69" i="3"/>
  <c r="P69" i="3"/>
  <c r="Q69" i="3"/>
  <c r="R69" i="3"/>
  <c r="T69" i="3" s="1"/>
  <c r="V69" i="3"/>
  <c r="W69" i="3"/>
  <c r="C70" i="3"/>
  <c r="F70" i="3"/>
  <c r="G70" i="3"/>
  <c r="H70" i="3"/>
  <c r="U70" i="3" s="1"/>
  <c r="K70" i="3"/>
  <c r="N70" i="3"/>
  <c r="S70" i="3" s="1"/>
  <c r="O70" i="3"/>
  <c r="P70" i="3"/>
  <c r="Q70" i="3"/>
  <c r="R70" i="3"/>
  <c r="T70" i="3" s="1"/>
  <c r="W70" i="3"/>
  <c r="C71" i="3"/>
  <c r="F71" i="3"/>
  <c r="G71" i="3" s="1"/>
  <c r="H71" i="3"/>
  <c r="V71" i="3" s="1"/>
  <c r="K71" i="3"/>
  <c r="N71" i="3"/>
  <c r="O71" i="3"/>
  <c r="P71" i="3"/>
  <c r="Q71" i="3"/>
  <c r="R71" i="3"/>
  <c r="T71" i="3"/>
  <c r="U71" i="3"/>
  <c r="W71" i="3"/>
  <c r="C72" i="3"/>
  <c r="F72" i="3"/>
  <c r="H72" i="3"/>
  <c r="V72" i="3" s="1"/>
  <c r="K72" i="3"/>
  <c r="N72" i="3"/>
  <c r="S72" i="3" s="1"/>
  <c r="O72" i="3"/>
  <c r="P72" i="3"/>
  <c r="Q72" i="3"/>
  <c r="R72" i="3"/>
  <c r="T72" i="3"/>
  <c r="W72" i="3"/>
  <c r="C73" i="3"/>
  <c r="F73" i="3"/>
  <c r="G73" i="3"/>
  <c r="H73" i="3"/>
  <c r="K73" i="3"/>
  <c r="N73" i="3"/>
  <c r="O73" i="3"/>
  <c r="P73" i="3"/>
  <c r="Q73" i="3"/>
  <c r="R73" i="3"/>
  <c r="T73" i="3"/>
  <c r="U73" i="3"/>
  <c r="V73" i="3"/>
  <c r="W73" i="3"/>
  <c r="C74" i="3"/>
  <c r="F74" i="3"/>
  <c r="U74" i="3" s="1"/>
  <c r="H74" i="3"/>
  <c r="K74" i="3"/>
  <c r="N74" i="3"/>
  <c r="S74" i="3" s="1"/>
  <c r="O74" i="3"/>
  <c r="P74" i="3"/>
  <c r="Q74" i="3"/>
  <c r="R74" i="3"/>
  <c r="T74" i="3" s="1"/>
  <c r="W74" i="3"/>
  <c r="X74" i="3" s="1"/>
  <c r="C75" i="3"/>
  <c r="F75" i="3"/>
  <c r="U75" i="3" s="1"/>
  <c r="G75" i="3"/>
  <c r="Y75" i="3" s="1"/>
  <c r="H75" i="3"/>
  <c r="V75" i="3" s="1"/>
  <c r="K75" i="3"/>
  <c r="N75" i="3"/>
  <c r="O75" i="3"/>
  <c r="P75" i="3"/>
  <c r="Q75" i="3"/>
  <c r="R75" i="3"/>
  <c r="T75" i="3"/>
  <c r="W75" i="3"/>
  <c r="C76" i="3"/>
  <c r="F76" i="3"/>
  <c r="H76" i="3"/>
  <c r="V76" i="3" s="1"/>
  <c r="K76" i="3"/>
  <c r="N76" i="3"/>
  <c r="O76" i="3"/>
  <c r="P76" i="3"/>
  <c r="Q76" i="3"/>
  <c r="R76" i="3"/>
  <c r="S76" i="3"/>
  <c r="T76" i="3"/>
  <c r="W76" i="3"/>
  <c r="C77" i="3"/>
  <c r="F77" i="3"/>
  <c r="G77" i="3"/>
  <c r="H77" i="3"/>
  <c r="K77" i="3"/>
  <c r="N77" i="3"/>
  <c r="S77" i="3" s="1"/>
  <c r="O77" i="3"/>
  <c r="P77" i="3"/>
  <c r="Q77" i="3"/>
  <c r="R77" i="3"/>
  <c r="T77" i="3"/>
  <c r="W77" i="3"/>
  <c r="C78" i="3"/>
  <c r="F78" i="3"/>
  <c r="H78" i="3"/>
  <c r="K78" i="3"/>
  <c r="N78" i="3"/>
  <c r="O78" i="3"/>
  <c r="S78" i="3" s="1"/>
  <c r="P78" i="3"/>
  <c r="Q78" i="3"/>
  <c r="R78" i="3"/>
  <c r="T78" i="3"/>
  <c r="V78" i="3"/>
  <c r="W78" i="3"/>
  <c r="C79" i="3"/>
  <c r="F79" i="3"/>
  <c r="G79" i="3"/>
  <c r="H79" i="3"/>
  <c r="K79" i="3"/>
  <c r="N79" i="3"/>
  <c r="S79" i="3" s="1"/>
  <c r="O79" i="3"/>
  <c r="P79" i="3"/>
  <c r="Q79" i="3"/>
  <c r="R79" i="3"/>
  <c r="T79" i="3" s="1"/>
  <c r="U79" i="3"/>
  <c r="V79" i="3"/>
  <c r="W79" i="3"/>
  <c r="C80" i="3"/>
  <c r="F80" i="3"/>
  <c r="U80" i="3" s="1"/>
  <c r="G80" i="3"/>
  <c r="H80" i="3"/>
  <c r="V80" i="3" s="1"/>
  <c r="K80" i="3"/>
  <c r="N80" i="3"/>
  <c r="O80" i="3"/>
  <c r="P80" i="3"/>
  <c r="Q80" i="3"/>
  <c r="R80" i="3"/>
  <c r="T80" i="3"/>
  <c r="W80" i="3"/>
  <c r="C81" i="3"/>
  <c r="F81" i="3"/>
  <c r="G81" i="3" s="1"/>
  <c r="Y81" i="3" s="1"/>
  <c r="H81" i="3"/>
  <c r="K81" i="3"/>
  <c r="N81" i="3"/>
  <c r="O81" i="3"/>
  <c r="P81" i="3"/>
  <c r="Q81" i="3"/>
  <c r="R81" i="3"/>
  <c r="T81" i="3" s="1"/>
  <c r="U81" i="3"/>
  <c r="V81" i="3"/>
  <c r="W81" i="3"/>
  <c r="C82" i="3"/>
  <c r="F82" i="3"/>
  <c r="G82" i="3"/>
  <c r="H82" i="3"/>
  <c r="U82" i="3" s="1"/>
  <c r="K82" i="3"/>
  <c r="N82" i="3"/>
  <c r="S82" i="3" s="1"/>
  <c r="O82" i="3"/>
  <c r="P82" i="3"/>
  <c r="Q82" i="3"/>
  <c r="R82" i="3"/>
  <c r="T82" i="3" s="1"/>
  <c r="V82" i="3"/>
  <c r="W82" i="3"/>
  <c r="C83" i="3"/>
  <c r="F83" i="3"/>
  <c r="G83" i="3" s="1"/>
  <c r="H83" i="3"/>
  <c r="V83" i="3" s="1"/>
  <c r="K83" i="3"/>
  <c r="N83" i="3"/>
  <c r="O83" i="3"/>
  <c r="P83" i="3"/>
  <c r="Q83" i="3"/>
  <c r="R83" i="3"/>
  <c r="T83" i="3"/>
  <c r="W83" i="3"/>
  <c r="X83" i="3" s="1"/>
  <c r="C84" i="3"/>
  <c r="F84" i="3"/>
  <c r="G84" i="3" s="1"/>
  <c r="H84" i="3"/>
  <c r="V84" i="3" s="1"/>
  <c r="K84" i="3"/>
  <c r="N84" i="3"/>
  <c r="O84" i="3"/>
  <c r="P84" i="3"/>
  <c r="Q84" i="3"/>
  <c r="R84" i="3"/>
  <c r="S84" i="3"/>
  <c r="T84" i="3"/>
  <c r="W84" i="3"/>
  <c r="C85" i="3"/>
  <c r="F85" i="3"/>
  <c r="G85" i="3" s="1"/>
  <c r="Y85" i="3" s="1"/>
  <c r="H85" i="3"/>
  <c r="K85" i="3"/>
  <c r="N85" i="3"/>
  <c r="O85" i="3"/>
  <c r="P85" i="3"/>
  <c r="Q85" i="3"/>
  <c r="R85" i="3"/>
  <c r="T85" i="3"/>
  <c r="U85" i="3"/>
  <c r="W85" i="3"/>
  <c r="C86" i="3"/>
  <c r="F86" i="3"/>
  <c r="U86" i="3" s="1"/>
  <c r="H86" i="3"/>
  <c r="J8" i="3" s="1"/>
  <c r="L8" i="3" s="1"/>
  <c r="K86" i="3"/>
  <c r="N86" i="3"/>
  <c r="O86" i="3"/>
  <c r="P86" i="3"/>
  <c r="Q86" i="3"/>
  <c r="R86" i="3"/>
  <c r="T86" i="3"/>
  <c r="W86" i="3"/>
  <c r="X86" i="3" s="1"/>
  <c r="C87" i="3"/>
  <c r="F87" i="3"/>
  <c r="G87" i="3"/>
  <c r="Y87" i="3" s="1"/>
  <c r="H87" i="3"/>
  <c r="V87" i="3" s="1"/>
  <c r="K87" i="3"/>
  <c r="N87" i="3"/>
  <c r="O87" i="3"/>
  <c r="P87" i="3"/>
  <c r="Q87" i="3"/>
  <c r="R87" i="3"/>
  <c r="T87" i="3"/>
  <c r="W87" i="3"/>
  <c r="C88" i="3"/>
  <c r="F88" i="3"/>
  <c r="G88" i="3" s="1"/>
  <c r="Y88" i="3" s="1"/>
  <c r="H88" i="3"/>
  <c r="K88" i="3"/>
  <c r="N88" i="3"/>
  <c r="O88" i="3"/>
  <c r="S88" i="3" s="1"/>
  <c r="P88" i="3"/>
  <c r="Q88" i="3"/>
  <c r="R88" i="3"/>
  <c r="T88" i="3" s="1"/>
  <c r="U88" i="3"/>
  <c r="V88" i="3"/>
  <c r="W88" i="3"/>
  <c r="C89" i="3"/>
  <c r="F89" i="3"/>
  <c r="H89" i="3"/>
  <c r="J9" i="3" s="1"/>
  <c r="L9" i="3" s="1"/>
  <c r="K89" i="3"/>
  <c r="N89" i="3"/>
  <c r="O89" i="3"/>
  <c r="S89" i="3" s="1"/>
  <c r="P89" i="3"/>
  <c r="Q89" i="3"/>
  <c r="R89" i="3"/>
  <c r="T89" i="3" s="1"/>
  <c r="V89" i="3"/>
  <c r="W89" i="3"/>
  <c r="C90" i="3"/>
  <c r="F90" i="3"/>
  <c r="G90" i="3"/>
  <c r="Y90" i="3" s="1"/>
  <c r="H90" i="3"/>
  <c r="J10" i="3" s="1"/>
  <c r="L10" i="3" s="1"/>
  <c r="K90" i="3"/>
  <c r="N90" i="3"/>
  <c r="S90" i="3" s="1"/>
  <c r="O90" i="3"/>
  <c r="P90" i="3"/>
  <c r="Q90" i="3"/>
  <c r="R90" i="3"/>
  <c r="T90" i="3" s="1"/>
  <c r="W90" i="3"/>
  <c r="C91" i="3"/>
  <c r="F91" i="3"/>
  <c r="G91" i="3"/>
  <c r="H91" i="3"/>
  <c r="U91" i="3" s="1"/>
  <c r="K91" i="3"/>
  <c r="N91" i="3"/>
  <c r="O91" i="3"/>
  <c r="S91" i="3" s="1"/>
  <c r="P91" i="3"/>
  <c r="Q91" i="3"/>
  <c r="R91" i="3"/>
  <c r="T91" i="3"/>
  <c r="V91" i="3"/>
  <c r="W91" i="3"/>
  <c r="C92" i="3"/>
  <c r="F92" i="3"/>
  <c r="G92" i="3" s="1"/>
  <c r="Y92" i="3" s="1"/>
  <c r="H92" i="3"/>
  <c r="V92" i="3" s="1"/>
  <c r="K92" i="3"/>
  <c r="N92" i="3"/>
  <c r="O92" i="3"/>
  <c r="S92" i="3" s="1"/>
  <c r="P92" i="3"/>
  <c r="Q92" i="3"/>
  <c r="R92" i="3"/>
  <c r="T92" i="3" s="1"/>
  <c r="U92" i="3"/>
  <c r="W92" i="3"/>
  <c r="X92" i="3" s="1"/>
  <c r="C93" i="3"/>
  <c r="F93" i="3"/>
  <c r="H93" i="3"/>
  <c r="K93" i="3"/>
  <c r="N93" i="3"/>
  <c r="O93" i="3"/>
  <c r="P93" i="3"/>
  <c r="Q93" i="3"/>
  <c r="R93" i="3"/>
  <c r="T93" i="3" s="1"/>
  <c r="S93" i="3"/>
  <c r="V93" i="3"/>
  <c r="W93" i="3"/>
  <c r="X93" i="3" s="1"/>
  <c r="C94" i="3"/>
  <c r="F94" i="3"/>
  <c r="G94" i="3"/>
  <c r="Y94" i="3" s="1"/>
  <c r="H94" i="3"/>
  <c r="K94" i="3"/>
  <c r="N94" i="3"/>
  <c r="S94" i="3" s="1"/>
  <c r="O94" i="3"/>
  <c r="P94" i="3"/>
  <c r="Q94" i="3"/>
  <c r="R94" i="3"/>
  <c r="T94" i="3" s="1"/>
  <c r="W94" i="3"/>
  <c r="X94" i="3" s="1"/>
  <c r="C95" i="3"/>
  <c r="F95" i="3"/>
  <c r="G95" i="3"/>
  <c r="Y95" i="3" s="1"/>
  <c r="H95" i="3"/>
  <c r="U95" i="3" s="1"/>
  <c r="K95" i="3"/>
  <c r="N95" i="3"/>
  <c r="O95" i="3"/>
  <c r="P95" i="3"/>
  <c r="Q95" i="3"/>
  <c r="R95" i="3"/>
  <c r="S95" i="3"/>
  <c r="T95" i="3"/>
  <c r="V95" i="3"/>
  <c r="W95" i="3"/>
  <c r="C96" i="3"/>
  <c r="F96" i="3"/>
  <c r="G96" i="3" s="1"/>
  <c r="Y96" i="3" s="1"/>
  <c r="H96" i="3"/>
  <c r="K96" i="3"/>
  <c r="N96" i="3"/>
  <c r="O96" i="3"/>
  <c r="S96" i="3" s="1"/>
  <c r="P96" i="3"/>
  <c r="Q96" i="3"/>
  <c r="R96" i="3"/>
  <c r="T96" i="3" s="1"/>
  <c r="U96" i="3"/>
  <c r="V96" i="3"/>
  <c r="W96" i="3"/>
  <c r="C97" i="3"/>
  <c r="F97" i="3"/>
  <c r="H97" i="3"/>
  <c r="K97" i="3"/>
  <c r="N97" i="3"/>
  <c r="O97" i="3"/>
  <c r="S97" i="3" s="1"/>
  <c r="P97" i="3"/>
  <c r="Q97" i="3"/>
  <c r="R97" i="3"/>
  <c r="T97" i="3" s="1"/>
  <c r="V97" i="3"/>
  <c r="W97" i="3"/>
  <c r="X97" i="3" s="1"/>
  <c r="C98" i="3"/>
  <c r="F98" i="3"/>
  <c r="G98" i="3"/>
  <c r="Y98" i="3" s="1"/>
  <c r="H98" i="3"/>
  <c r="U98" i="3" s="1"/>
  <c r="K98" i="3"/>
  <c r="N98" i="3"/>
  <c r="O98" i="3"/>
  <c r="P98" i="3"/>
  <c r="Q98" i="3"/>
  <c r="R98" i="3"/>
  <c r="T98" i="3" s="1"/>
  <c r="S98" i="3"/>
  <c r="W98" i="3"/>
  <c r="X98" i="3" s="1"/>
  <c r="C99" i="3"/>
  <c r="F99" i="3"/>
  <c r="G99" i="3"/>
  <c r="Y99" i="3" s="1"/>
  <c r="H99" i="3"/>
  <c r="K99" i="3"/>
  <c r="N99" i="3"/>
  <c r="O99" i="3"/>
  <c r="S99" i="3" s="1"/>
  <c r="P99" i="3"/>
  <c r="Q99" i="3"/>
  <c r="R99" i="3"/>
  <c r="T99" i="3"/>
  <c r="U99" i="3"/>
  <c r="V99" i="3"/>
  <c r="W99" i="3"/>
  <c r="C100" i="3"/>
  <c r="F100" i="3"/>
  <c r="G100" i="3"/>
  <c r="Y100" i="3" s="1"/>
  <c r="H100" i="3"/>
  <c r="K100" i="3"/>
  <c r="N100" i="3"/>
  <c r="O100" i="3"/>
  <c r="S100" i="3" s="1"/>
  <c r="P100" i="3"/>
  <c r="Q100" i="3"/>
  <c r="R100" i="3"/>
  <c r="T100" i="3" s="1"/>
  <c r="U100" i="3"/>
  <c r="V100" i="3"/>
  <c r="W100" i="3"/>
  <c r="X100" i="3" s="1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3" i="3"/>
  <c r="X64" i="3"/>
  <c r="X65" i="3"/>
  <c r="X66" i="3"/>
  <c r="X67" i="3"/>
  <c r="X68" i="3"/>
  <c r="X69" i="3"/>
  <c r="X70" i="3"/>
  <c r="X71" i="3"/>
  <c r="X72" i="3"/>
  <c r="X73" i="3"/>
  <c r="X75" i="3"/>
  <c r="X76" i="3"/>
  <c r="X77" i="3"/>
  <c r="X78" i="3"/>
  <c r="X79" i="3"/>
  <c r="X80" i="3"/>
  <c r="X81" i="3"/>
  <c r="X82" i="3"/>
  <c r="X84" i="3"/>
  <c r="X85" i="3"/>
  <c r="X87" i="3"/>
  <c r="X88" i="3"/>
  <c r="X89" i="3"/>
  <c r="X90" i="3"/>
  <c r="X91" i="3"/>
  <c r="X95" i="3"/>
  <c r="X96" i="3"/>
  <c r="X99" i="3"/>
  <c r="Y42" i="3"/>
  <c r="Y43" i="3"/>
  <c r="Y44" i="3"/>
  <c r="Y45" i="3"/>
  <c r="Y47" i="3"/>
  <c r="Y48" i="3"/>
  <c r="Y49" i="3"/>
  <c r="Y50" i="3"/>
  <c r="Y53" i="3"/>
  <c r="Y54" i="3"/>
  <c r="Y55" i="3"/>
  <c r="Y56" i="3"/>
  <c r="Y57" i="3"/>
  <c r="Y59" i="3"/>
  <c r="Y60" i="3"/>
  <c r="Y61" i="3"/>
  <c r="Y62" i="3"/>
  <c r="Y65" i="3"/>
  <c r="Y66" i="3"/>
  <c r="Y69" i="3"/>
  <c r="Y70" i="3"/>
  <c r="Y71" i="3"/>
  <c r="Y73" i="3"/>
  <c r="Y77" i="3"/>
  <c r="Y79" i="3"/>
  <c r="Y80" i="3"/>
  <c r="Y82" i="3"/>
  <c r="Y83" i="3"/>
  <c r="Y84" i="3"/>
  <c r="Y91" i="3"/>
  <c r="J11" i="3"/>
  <c r="L11" i="3" s="1"/>
  <c r="J12" i="3"/>
  <c r="L12" i="3" s="1"/>
  <c r="J24" i="3"/>
  <c r="L24" i="3" s="1"/>
  <c r="J26" i="3"/>
  <c r="L26" i="3" s="1"/>
  <c r="J38" i="3"/>
  <c r="L38" i="3" s="1"/>
  <c r="J39" i="3"/>
  <c r="L39" i="3" s="1"/>
  <c r="J51" i="3"/>
  <c r="L51" i="3" s="1"/>
  <c r="J52" i="3"/>
  <c r="L52" i="3" s="1"/>
  <c r="J64" i="3"/>
  <c r="L64" i="3" s="1"/>
  <c r="J65" i="3"/>
  <c r="L65" i="3" s="1"/>
  <c r="J77" i="3"/>
  <c r="L77" i="3" s="1"/>
  <c r="J78" i="3"/>
  <c r="L78" i="3" s="1"/>
  <c r="J90" i="3"/>
  <c r="L90" i="3" s="1"/>
  <c r="J91" i="3"/>
  <c r="L91" i="3" s="1"/>
  <c r="B360" i="6"/>
  <c r="G327" i="6" s="1"/>
  <c r="H327" i="6" s="1"/>
  <c r="B359" i="6"/>
  <c r="B327" i="6" s="1"/>
  <c r="C327" i="6" s="1"/>
  <c r="B354" i="6"/>
  <c r="C354" i="6" s="1"/>
  <c r="C353" i="6"/>
  <c r="B352" i="6"/>
  <c r="B96" i="6" s="1"/>
  <c r="B350" i="6"/>
  <c r="C350" i="6" s="1"/>
  <c r="B334" i="6"/>
  <c r="O328" i="6"/>
  <c r="L328" i="6"/>
  <c r="H328" i="6"/>
  <c r="C328" i="6"/>
  <c r="R327" i="6"/>
  <c r="O327" i="6"/>
  <c r="K327" i="6"/>
  <c r="L327" i="6" s="1"/>
  <c r="O326" i="6"/>
  <c r="R325" i="6"/>
  <c r="O325" i="6"/>
  <c r="J299" i="6"/>
  <c r="L299" i="6" s="1"/>
  <c r="H299" i="6"/>
  <c r="G299" i="6"/>
  <c r="J298" i="6"/>
  <c r="L298" i="6" s="1"/>
  <c r="H298" i="6"/>
  <c r="G298" i="6"/>
  <c r="J297" i="6"/>
  <c r="L297" i="6" s="1"/>
  <c r="I297" i="6"/>
  <c r="H297" i="6"/>
  <c r="G297" i="6"/>
  <c r="K297" i="6" s="1"/>
  <c r="L296" i="6"/>
  <c r="K296" i="6"/>
  <c r="I296" i="6" s="1"/>
  <c r="J296" i="6"/>
  <c r="H296" i="6"/>
  <c r="G296" i="6"/>
  <c r="J295" i="6"/>
  <c r="L295" i="6" s="1"/>
  <c r="H295" i="6"/>
  <c r="G295" i="6"/>
  <c r="K294" i="6"/>
  <c r="J294" i="6"/>
  <c r="L294" i="6" s="1"/>
  <c r="H294" i="6"/>
  <c r="G294" i="6"/>
  <c r="J293" i="6"/>
  <c r="L293" i="6" s="1"/>
  <c r="H293" i="6"/>
  <c r="G293" i="6"/>
  <c r="K293" i="6" s="1"/>
  <c r="I293" i="6" s="1"/>
  <c r="J292" i="6"/>
  <c r="L292" i="6" s="1"/>
  <c r="H292" i="6"/>
  <c r="G292" i="6"/>
  <c r="J291" i="6"/>
  <c r="L291" i="6" s="1"/>
  <c r="H291" i="6"/>
  <c r="G291" i="6"/>
  <c r="L290" i="6"/>
  <c r="J290" i="6"/>
  <c r="K290" i="6" s="1"/>
  <c r="I290" i="6" s="1"/>
  <c r="H290" i="6"/>
  <c r="G290" i="6"/>
  <c r="J289" i="6"/>
  <c r="L289" i="6" s="1"/>
  <c r="H289" i="6"/>
  <c r="G289" i="6"/>
  <c r="K289" i="6" s="1"/>
  <c r="I289" i="6" s="1"/>
  <c r="L288" i="6"/>
  <c r="K288" i="6"/>
  <c r="J288" i="6"/>
  <c r="H288" i="6"/>
  <c r="G288" i="6"/>
  <c r="J287" i="6"/>
  <c r="L287" i="6" s="1"/>
  <c r="H287" i="6"/>
  <c r="G287" i="6"/>
  <c r="K286" i="6"/>
  <c r="J286" i="6"/>
  <c r="L286" i="6" s="1"/>
  <c r="H286" i="6"/>
  <c r="G286" i="6"/>
  <c r="J285" i="6"/>
  <c r="L285" i="6" s="1"/>
  <c r="H285" i="6"/>
  <c r="G285" i="6"/>
  <c r="K285" i="6" s="1"/>
  <c r="I285" i="6" s="1"/>
  <c r="J284" i="6"/>
  <c r="L284" i="6" s="1"/>
  <c r="H284" i="6"/>
  <c r="G284" i="6"/>
  <c r="J283" i="6"/>
  <c r="L283" i="6" s="1"/>
  <c r="H283" i="6"/>
  <c r="G283" i="6"/>
  <c r="L282" i="6"/>
  <c r="K282" i="6"/>
  <c r="I282" i="6" s="1"/>
  <c r="J282" i="6"/>
  <c r="H282" i="6"/>
  <c r="G282" i="6"/>
  <c r="J281" i="6"/>
  <c r="L281" i="6" s="1"/>
  <c r="H281" i="6"/>
  <c r="G281" i="6"/>
  <c r="K281" i="6" s="1"/>
  <c r="I281" i="6" s="1"/>
  <c r="L280" i="6"/>
  <c r="K280" i="6"/>
  <c r="J280" i="6"/>
  <c r="H280" i="6"/>
  <c r="G280" i="6"/>
  <c r="J279" i="6"/>
  <c r="L279" i="6" s="1"/>
  <c r="H279" i="6"/>
  <c r="G279" i="6"/>
  <c r="K278" i="6"/>
  <c r="J278" i="6"/>
  <c r="L278" i="6" s="1"/>
  <c r="H278" i="6"/>
  <c r="G278" i="6"/>
  <c r="J277" i="6"/>
  <c r="L277" i="6" s="1"/>
  <c r="H277" i="6"/>
  <c r="G277" i="6"/>
  <c r="K277" i="6" s="1"/>
  <c r="I277" i="6" s="1"/>
  <c r="L276" i="6"/>
  <c r="J276" i="6"/>
  <c r="K276" i="6" s="1"/>
  <c r="I276" i="6" s="1"/>
  <c r="H276" i="6"/>
  <c r="G276" i="6"/>
  <c r="J275" i="6"/>
  <c r="L275" i="6" s="1"/>
  <c r="H275" i="6"/>
  <c r="G275" i="6"/>
  <c r="L274" i="6"/>
  <c r="K274" i="6"/>
  <c r="J274" i="6"/>
  <c r="H274" i="6"/>
  <c r="G274" i="6"/>
  <c r="J273" i="6"/>
  <c r="L273" i="6" s="1"/>
  <c r="H273" i="6"/>
  <c r="G273" i="6"/>
  <c r="K273" i="6" s="1"/>
  <c r="I273" i="6" s="1"/>
  <c r="L272" i="6"/>
  <c r="K272" i="6"/>
  <c r="I272" i="6" s="1"/>
  <c r="J272" i="6"/>
  <c r="H272" i="6"/>
  <c r="G272" i="6"/>
  <c r="J271" i="6"/>
  <c r="L271" i="6" s="1"/>
  <c r="H271" i="6"/>
  <c r="G271" i="6"/>
  <c r="J270" i="6"/>
  <c r="L270" i="6" s="1"/>
  <c r="H270" i="6"/>
  <c r="G270" i="6"/>
  <c r="J269" i="6"/>
  <c r="L269" i="6" s="1"/>
  <c r="H269" i="6"/>
  <c r="G269" i="6"/>
  <c r="K269" i="6" s="1"/>
  <c r="I269" i="6" s="1"/>
  <c r="J268" i="6"/>
  <c r="L268" i="6" s="1"/>
  <c r="H268" i="6"/>
  <c r="G268" i="6"/>
  <c r="J267" i="6"/>
  <c r="L267" i="6" s="1"/>
  <c r="H267" i="6"/>
  <c r="G267" i="6"/>
  <c r="J266" i="6"/>
  <c r="L266" i="6" s="1"/>
  <c r="H266" i="6"/>
  <c r="G266" i="6"/>
  <c r="J265" i="6"/>
  <c r="L265" i="6" s="1"/>
  <c r="H265" i="6"/>
  <c r="G265" i="6"/>
  <c r="K265" i="6" s="1"/>
  <c r="I265" i="6" s="1"/>
  <c r="L264" i="6"/>
  <c r="K264" i="6"/>
  <c r="I264" i="6" s="1"/>
  <c r="J264" i="6"/>
  <c r="H264" i="6"/>
  <c r="G264" i="6"/>
  <c r="J263" i="6"/>
  <c r="L263" i="6" s="1"/>
  <c r="H263" i="6"/>
  <c r="G263" i="6"/>
  <c r="J262" i="6"/>
  <c r="L262" i="6" s="1"/>
  <c r="H262" i="6"/>
  <c r="G262" i="6"/>
  <c r="J261" i="6"/>
  <c r="L261" i="6" s="1"/>
  <c r="H261" i="6"/>
  <c r="G261" i="6"/>
  <c r="K261" i="6" s="1"/>
  <c r="I261" i="6" s="1"/>
  <c r="J260" i="6"/>
  <c r="L260" i="6" s="1"/>
  <c r="H260" i="6"/>
  <c r="G260" i="6"/>
  <c r="J259" i="6"/>
  <c r="L259" i="6" s="1"/>
  <c r="H259" i="6"/>
  <c r="G259" i="6"/>
  <c r="L258" i="6"/>
  <c r="K258" i="6"/>
  <c r="J258" i="6"/>
  <c r="H258" i="6"/>
  <c r="G258" i="6"/>
  <c r="J257" i="6"/>
  <c r="L257" i="6" s="1"/>
  <c r="H257" i="6"/>
  <c r="G257" i="6"/>
  <c r="K257" i="6" s="1"/>
  <c r="I257" i="6" s="1"/>
  <c r="L256" i="6"/>
  <c r="K256" i="6"/>
  <c r="I256" i="6" s="1"/>
  <c r="J256" i="6"/>
  <c r="H256" i="6"/>
  <c r="G256" i="6"/>
  <c r="J255" i="6"/>
  <c r="L255" i="6" s="1"/>
  <c r="H255" i="6"/>
  <c r="G255" i="6"/>
  <c r="J254" i="6"/>
  <c r="L254" i="6" s="1"/>
  <c r="H254" i="6"/>
  <c r="G254" i="6"/>
  <c r="J253" i="6"/>
  <c r="L253" i="6" s="1"/>
  <c r="I253" i="6"/>
  <c r="H253" i="6"/>
  <c r="G253" i="6"/>
  <c r="K253" i="6" s="1"/>
  <c r="J252" i="6"/>
  <c r="L252" i="6" s="1"/>
  <c r="H252" i="6"/>
  <c r="G252" i="6"/>
  <c r="J251" i="6"/>
  <c r="L251" i="6" s="1"/>
  <c r="I251" i="6"/>
  <c r="H251" i="6"/>
  <c r="G251" i="6"/>
  <c r="K251" i="6" s="1"/>
  <c r="K250" i="6"/>
  <c r="J250" i="6"/>
  <c r="L250" i="6" s="1"/>
  <c r="H250" i="6"/>
  <c r="G250" i="6"/>
  <c r="J249" i="6"/>
  <c r="L249" i="6" s="1"/>
  <c r="H249" i="6"/>
  <c r="G249" i="6"/>
  <c r="K249" i="6" s="1"/>
  <c r="I249" i="6" s="1"/>
  <c r="J248" i="6"/>
  <c r="K248" i="6" s="1"/>
  <c r="H248" i="6"/>
  <c r="G248" i="6"/>
  <c r="J247" i="6"/>
  <c r="L247" i="6" s="1"/>
  <c r="H247" i="6"/>
  <c r="G247" i="6"/>
  <c r="J246" i="6"/>
  <c r="L246" i="6" s="1"/>
  <c r="H246" i="6"/>
  <c r="G246" i="6"/>
  <c r="J245" i="6"/>
  <c r="L245" i="6" s="1"/>
  <c r="H245" i="6"/>
  <c r="G245" i="6"/>
  <c r="K245" i="6" s="1"/>
  <c r="I245" i="6" s="1"/>
  <c r="J244" i="6"/>
  <c r="L244" i="6" s="1"/>
  <c r="H244" i="6"/>
  <c r="G244" i="6"/>
  <c r="J243" i="6"/>
  <c r="L243" i="6" s="1"/>
  <c r="I243" i="6"/>
  <c r="H243" i="6"/>
  <c r="G243" i="6"/>
  <c r="K243" i="6" s="1"/>
  <c r="L242" i="6"/>
  <c r="K242" i="6"/>
  <c r="J242" i="6"/>
  <c r="H242" i="6"/>
  <c r="G242" i="6"/>
  <c r="J241" i="6"/>
  <c r="L241" i="6" s="1"/>
  <c r="H241" i="6"/>
  <c r="G241" i="6"/>
  <c r="K241" i="6" s="1"/>
  <c r="I241" i="6" s="1"/>
  <c r="L240" i="6"/>
  <c r="K240" i="6"/>
  <c r="I240" i="6" s="1"/>
  <c r="J240" i="6"/>
  <c r="H240" i="6"/>
  <c r="G240" i="6"/>
  <c r="J239" i="6"/>
  <c r="L239" i="6" s="1"/>
  <c r="H239" i="6"/>
  <c r="G239" i="6"/>
  <c r="J238" i="6"/>
  <c r="L238" i="6" s="1"/>
  <c r="H238" i="6"/>
  <c r="G238" i="6"/>
  <c r="J237" i="6"/>
  <c r="L237" i="6" s="1"/>
  <c r="H237" i="6"/>
  <c r="G237" i="6"/>
  <c r="J236" i="6"/>
  <c r="L236" i="6" s="1"/>
  <c r="H236" i="6"/>
  <c r="G236" i="6"/>
  <c r="S235" i="6"/>
  <c r="R235" i="6"/>
  <c r="Q235" i="6"/>
  <c r="T235" i="6" s="1"/>
  <c r="P235" i="6"/>
  <c r="L235" i="6"/>
  <c r="J235" i="6"/>
  <c r="H235" i="6"/>
  <c r="G235" i="6"/>
  <c r="K235" i="6" s="1"/>
  <c r="W234" i="6"/>
  <c r="S234" i="6"/>
  <c r="V234" i="6" s="1"/>
  <c r="R234" i="6"/>
  <c r="U234" i="6" s="1"/>
  <c r="Q234" i="6"/>
  <c r="T234" i="6" s="1"/>
  <c r="P234" i="6"/>
  <c r="J234" i="6"/>
  <c r="H234" i="6"/>
  <c r="L234" i="6" s="1"/>
  <c r="G234" i="6"/>
  <c r="K234" i="6" s="1"/>
  <c r="J233" i="6"/>
  <c r="K233" i="6" s="1"/>
  <c r="H233" i="6"/>
  <c r="G233" i="6"/>
  <c r="W232" i="6"/>
  <c r="V232" i="6"/>
  <c r="U232" i="6"/>
  <c r="T232" i="6"/>
  <c r="L232" i="6"/>
  <c r="K232" i="6"/>
  <c r="I232" i="6" s="1"/>
  <c r="J232" i="6"/>
  <c r="H232" i="6"/>
  <c r="G232" i="6"/>
  <c r="W231" i="6"/>
  <c r="V231" i="6"/>
  <c r="U231" i="6"/>
  <c r="T231" i="6"/>
  <c r="J231" i="6"/>
  <c r="L231" i="6" s="1"/>
  <c r="I231" i="6"/>
  <c r="H231" i="6"/>
  <c r="G231" i="6"/>
  <c r="K231" i="6" s="1"/>
  <c r="W230" i="6"/>
  <c r="V230" i="6"/>
  <c r="U230" i="6"/>
  <c r="T230" i="6"/>
  <c r="J230" i="6"/>
  <c r="H230" i="6"/>
  <c r="L230" i="6" s="1"/>
  <c r="G230" i="6"/>
  <c r="K230" i="6" s="1"/>
  <c r="I230" i="6" s="1"/>
  <c r="W229" i="6"/>
  <c r="V229" i="6"/>
  <c r="U229" i="6"/>
  <c r="T229" i="6"/>
  <c r="L229" i="6"/>
  <c r="J229" i="6"/>
  <c r="H229" i="6"/>
  <c r="G229" i="6"/>
  <c r="K229" i="6" s="1"/>
  <c r="J228" i="6"/>
  <c r="I228" i="6"/>
  <c r="H228" i="6"/>
  <c r="L228" i="6" s="1"/>
  <c r="G228" i="6"/>
  <c r="K228" i="6" s="1"/>
  <c r="L227" i="6"/>
  <c r="J227" i="6"/>
  <c r="H227" i="6"/>
  <c r="G227" i="6"/>
  <c r="K227" i="6" s="1"/>
  <c r="W226" i="6"/>
  <c r="V226" i="6"/>
  <c r="S226" i="6"/>
  <c r="R226" i="6"/>
  <c r="U226" i="6" s="1"/>
  <c r="Q226" i="6"/>
  <c r="T226" i="6" s="1"/>
  <c r="P226" i="6"/>
  <c r="L226" i="6"/>
  <c r="J226" i="6"/>
  <c r="H226" i="6"/>
  <c r="G226" i="6"/>
  <c r="K226" i="6" s="1"/>
  <c r="I226" i="6" s="1"/>
  <c r="W225" i="6"/>
  <c r="U225" i="6"/>
  <c r="S225" i="6"/>
  <c r="V225" i="6" s="1"/>
  <c r="R225" i="6"/>
  <c r="Q225" i="6"/>
  <c r="T225" i="6" s="1"/>
  <c r="P225" i="6"/>
  <c r="J225" i="6"/>
  <c r="L225" i="6" s="1"/>
  <c r="H225" i="6"/>
  <c r="G225" i="6"/>
  <c r="K224" i="6"/>
  <c r="J224" i="6"/>
  <c r="H224" i="6"/>
  <c r="L224" i="6" s="1"/>
  <c r="G224" i="6"/>
  <c r="W223" i="6"/>
  <c r="V223" i="6"/>
  <c r="U223" i="6"/>
  <c r="T223" i="6"/>
  <c r="K223" i="6"/>
  <c r="J223" i="6"/>
  <c r="H223" i="6"/>
  <c r="G223" i="6"/>
  <c r="W222" i="6"/>
  <c r="V222" i="6"/>
  <c r="U222" i="6"/>
  <c r="T222" i="6"/>
  <c r="L222" i="6"/>
  <c r="K222" i="6"/>
  <c r="I222" i="6" s="1"/>
  <c r="J222" i="6"/>
  <c r="H222" i="6"/>
  <c r="G222" i="6"/>
  <c r="W221" i="6"/>
  <c r="V221" i="6"/>
  <c r="U221" i="6"/>
  <c r="T221" i="6"/>
  <c r="J221" i="6"/>
  <c r="L221" i="6" s="1"/>
  <c r="H221" i="6"/>
  <c r="G221" i="6"/>
  <c r="K221" i="6" s="1"/>
  <c r="I221" i="6" s="1"/>
  <c r="W220" i="6"/>
  <c r="V220" i="6"/>
  <c r="U220" i="6"/>
  <c r="T220" i="6"/>
  <c r="L220" i="6"/>
  <c r="J220" i="6"/>
  <c r="H220" i="6"/>
  <c r="G220" i="6"/>
  <c r="K220" i="6" s="1"/>
  <c r="I220" i="6" s="1"/>
  <c r="K219" i="6"/>
  <c r="J219" i="6"/>
  <c r="H219" i="6"/>
  <c r="L219" i="6" s="1"/>
  <c r="I219" i="6" s="1"/>
  <c r="G219" i="6"/>
  <c r="L218" i="6"/>
  <c r="J218" i="6"/>
  <c r="H218" i="6"/>
  <c r="G218" i="6"/>
  <c r="K218" i="6" s="1"/>
  <c r="S217" i="6"/>
  <c r="R217" i="6"/>
  <c r="Q217" i="6"/>
  <c r="P217" i="6"/>
  <c r="K217" i="6"/>
  <c r="J217" i="6"/>
  <c r="H217" i="6"/>
  <c r="G217" i="6"/>
  <c r="S216" i="6"/>
  <c r="R216" i="6"/>
  <c r="Q216" i="6"/>
  <c r="P216" i="6"/>
  <c r="J216" i="6"/>
  <c r="K216" i="6" s="1"/>
  <c r="H216" i="6"/>
  <c r="G216" i="6"/>
  <c r="J215" i="6"/>
  <c r="H215" i="6"/>
  <c r="L215" i="6" s="1"/>
  <c r="G215" i="6"/>
  <c r="K215" i="6" s="1"/>
  <c r="I215" i="6" s="1"/>
  <c r="V214" i="6"/>
  <c r="R328" i="6" s="1"/>
  <c r="U214" i="6"/>
  <c r="Q328" i="6" s="1"/>
  <c r="T214" i="6"/>
  <c r="P328" i="6" s="1"/>
  <c r="T328" i="6" s="1"/>
  <c r="K214" i="6"/>
  <c r="I214" i="6" s="1"/>
  <c r="J214" i="6"/>
  <c r="H214" i="6"/>
  <c r="L214" i="6" s="1"/>
  <c r="G214" i="6"/>
  <c r="V213" i="6"/>
  <c r="U213" i="6"/>
  <c r="T213" i="6"/>
  <c r="P327" i="6" s="1"/>
  <c r="T327" i="6" s="1"/>
  <c r="L213" i="6"/>
  <c r="J213" i="6"/>
  <c r="H213" i="6"/>
  <c r="G213" i="6"/>
  <c r="K213" i="6" s="1"/>
  <c r="V212" i="6"/>
  <c r="R326" i="6" s="1"/>
  <c r="U212" i="6"/>
  <c r="Q326" i="6" s="1"/>
  <c r="T212" i="6"/>
  <c r="P326" i="6" s="1"/>
  <c r="L212" i="6"/>
  <c r="J212" i="6"/>
  <c r="H212" i="6"/>
  <c r="G212" i="6"/>
  <c r="K212" i="6" s="1"/>
  <c r="I212" i="6" s="1"/>
  <c r="Z211" i="6"/>
  <c r="G347" i="6" s="1"/>
  <c r="V211" i="6"/>
  <c r="U211" i="6"/>
  <c r="Q325" i="6" s="1"/>
  <c r="T211" i="6"/>
  <c r="P325" i="6" s="1"/>
  <c r="T325" i="6" s="1"/>
  <c r="L211" i="6"/>
  <c r="J211" i="6"/>
  <c r="H211" i="6"/>
  <c r="G211" i="6"/>
  <c r="K211" i="6" s="1"/>
  <c r="I211" i="6" s="1"/>
  <c r="I191" i="6"/>
  <c r="J191" i="6" s="1"/>
  <c r="J190" i="6"/>
  <c r="I190" i="6"/>
  <c r="J189" i="6"/>
  <c r="I189" i="6"/>
  <c r="I188" i="6"/>
  <c r="J188" i="6" s="1"/>
  <c r="I187" i="6"/>
  <c r="J187" i="6" s="1"/>
  <c r="I186" i="6"/>
  <c r="J186" i="6" s="1"/>
  <c r="I185" i="6"/>
  <c r="J185" i="6" s="1"/>
  <c r="J184" i="6"/>
  <c r="I184" i="6"/>
  <c r="J183" i="6"/>
  <c r="I183" i="6"/>
  <c r="I182" i="6"/>
  <c r="J182" i="6" s="1"/>
  <c r="I181" i="6"/>
  <c r="J181" i="6" s="1"/>
  <c r="H163" i="6"/>
  <c r="B353" i="6" s="1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B351" i="6" s="1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B114" i="6"/>
  <c r="D103" i="6"/>
  <c r="B103" i="6"/>
  <c r="C103" i="6" s="1"/>
  <c r="D102" i="6"/>
  <c r="C102" i="6"/>
  <c r="B102" i="6"/>
  <c r="D101" i="6"/>
  <c r="C101" i="6"/>
  <c r="B101" i="6"/>
  <c r="D100" i="6"/>
  <c r="B100" i="6"/>
  <c r="C100" i="6" s="1"/>
  <c r="B105" i="6" s="1"/>
  <c r="B98" i="6"/>
  <c r="B86" i="6"/>
  <c r="B90" i="6" s="1"/>
  <c r="B35" i="5" s="1"/>
  <c r="EB52" i="5"/>
  <c r="EE50" i="5"/>
  <c r="O40" i="5"/>
  <c r="ED37" i="5" s="1"/>
  <c r="B40" i="5"/>
  <c r="B41" i="5" s="1"/>
  <c r="O39" i="5"/>
  <c r="ED38" i="5"/>
  <c r="O38" i="5"/>
  <c r="T37" i="5"/>
  <c r="O37" i="5"/>
  <c r="ED36" i="5"/>
  <c r="O36" i="5"/>
  <c r="ED35" i="5"/>
  <c r="O35" i="5"/>
  <c r="EC52" i="5" s="1"/>
  <c r="T34" i="5"/>
  <c r="W32" i="5"/>
  <c r="V31" i="5"/>
  <c r="T31" i="5"/>
  <c r="W31" i="5" s="1"/>
  <c r="ED30" i="5"/>
  <c r="V30" i="5"/>
  <c r="T30" i="5"/>
  <c r="O30" i="5"/>
  <c r="ED29" i="5"/>
  <c r="V29" i="5"/>
  <c r="T29" i="5"/>
  <c r="O29" i="5"/>
  <c r="ED28" i="5"/>
  <c r="ED27" i="5"/>
  <c r="O27" i="5"/>
  <c r="O26" i="5"/>
  <c r="ED24" i="5"/>
  <c r="O24" i="5"/>
  <c r="O23" i="5"/>
  <c r="T22" i="5"/>
  <c r="T21" i="5"/>
  <c r="O21" i="5"/>
  <c r="EB9" i="5" s="1"/>
  <c r="X20" i="5"/>
  <c r="T20" i="5"/>
  <c r="O20" i="5"/>
  <c r="ED19" i="5"/>
  <c r="T19" i="5"/>
  <c r="ED40" i="5" s="1"/>
  <c r="O19" i="5"/>
  <c r="T18" i="5"/>
  <c r="O18" i="5"/>
  <c r="T17" i="5"/>
  <c r="O17" i="5"/>
  <c r="T16" i="5"/>
  <c r="T25" i="5" s="1"/>
  <c r="O16" i="5"/>
  <c r="T15" i="5"/>
  <c r="O15" i="5"/>
  <c r="O14" i="5"/>
  <c r="ED13" i="5"/>
  <c r="O13" i="5"/>
  <c r="EB53" i="5" s="1"/>
  <c r="ED12" i="5"/>
  <c r="Y12" i="5"/>
  <c r="O12" i="5"/>
  <c r="T3" i="5" s="1"/>
  <c r="Y11" i="5"/>
  <c r="O11" i="5"/>
  <c r="EB10" i="5"/>
  <c r="O10" i="5"/>
  <c r="Y9" i="5"/>
  <c r="Y8" i="5"/>
  <c r="AI3" i="5" s="1"/>
  <c r="O8" i="5"/>
  <c r="ED7" i="5"/>
  <c r="Y7" i="5"/>
  <c r="AI2" i="5" s="1"/>
  <c r="O7" i="5"/>
  <c r="ED6" i="5"/>
  <c r="ED21" i="5" s="1"/>
  <c r="EB6" i="5"/>
  <c r="V6" i="5"/>
  <c r="U6" i="5"/>
  <c r="O6" i="5"/>
  <c r="EI5" i="5"/>
  <c r="EB5" i="5"/>
  <c r="V5" i="5"/>
  <c r="U5" i="5"/>
  <c r="O5" i="5"/>
  <c r="EB4" i="5"/>
  <c r="AI4" i="5"/>
  <c r="V4" i="5"/>
  <c r="U4" i="5"/>
  <c r="T4" i="5"/>
  <c r="B25" i="5" s="1"/>
  <c r="V3" i="5"/>
  <c r="U3" i="5"/>
  <c r="O3" i="5"/>
  <c r="Y2" i="5"/>
  <c r="E159" i="3"/>
  <c r="C159" i="3"/>
  <c r="E158" i="3"/>
  <c r="C158" i="3"/>
  <c r="E157" i="3"/>
  <c r="C157" i="3"/>
  <c r="E156" i="3"/>
  <c r="C156" i="3"/>
  <c r="E155" i="3"/>
  <c r="C155" i="3"/>
  <c r="E154" i="3"/>
  <c r="C154" i="3"/>
  <c r="E153" i="3"/>
  <c r="C153" i="3"/>
  <c r="E152" i="3"/>
  <c r="C152" i="3"/>
  <c r="E151" i="3"/>
  <c r="C151" i="3"/>
  <c r="E150" i="3"/>
  <c r="C150" i="3"/>
  <c r="E149" i="3"/>
  <c r="C149" i="3"/>
  <c r="E148" i="3"/>
  <c r="C148" i="3"/>
  <c r="E147" i="3"/>
  <c r="C147" i="3"/>
  <c r="E146" i="3"/>
  <c r="C146" i="3"/>
  <c r="E145" i="3"/>
  <c r="C145" i="3"/>
  <c r="E144" i="3"/>
  <c r="C144" i="3"/>
  <c r="E143" i="3"/>
  <c r="C143" i="3"/>
  <c r="E142" i="3"/>
  <c r="C142" i="3"/>
  <c r="E141" i="3"/>
  <c r="C141" i="3"/>
  <c r="E140" i="3"/>
  <c r="C140" i="3"/>
  <c r="E139" i="3"/>
  <c r="C139" i="3"/>
  <c r="E138" i="3"/>
  <c r="C138" i="3"/>
  <c r="E137" i="3"/>
  <c r="C137" i="3"/>
  <c r="E136" i="3"/>
  <c r="C136" i="3"/>
  <c r="E135" i="3"/>
  <c r="C135" i="3"/>
  <c r="E134" i="3"/>
  <c r="C134" i="3"/>
  <c r="E133" i="3"/>
  <c r="C133" i="3"/>
  <c r="E132" i="3"/>
  <c r="C132" i="3"/>
  <c r="E131" i="3"/>
  <c r="C131" i="3"/>
  <c r="E130" i="3"/>
  <c r="C130" i="3"/>
  <c r="E129" i="3"/>
  <c r="C129" i="3"/>
  <c r="E128" i="3"/>
  <c r="C128" i="3"/>
  <c r="E127" i="3"/>
  <c r="C127" i="3"/>
  <c r="E126" i="3"/>
  <c r="C126" i="3"/>
  <c r="E125" i="3"/>
  <c r="C125" i="3"/>
  <c r="E124" i="3"/>
  <c r="C124" i="3"/>
  <c r="E123" i="3"/>
  <c r="C123" i="3"/>
  <c r="E122" i="3"/>
  <c r="C122" i="3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Y41" i="3"/>
  <c r="X41" i="3"/>
  <c r="X40" i="3"/>
  <c r="Y39" i="3"/>
  <c r="X39" i="3"/>
  <c r="Y38" i="3"/>
  <c r="X38" i="3"/>
  <c r="Y37" i="3"/>
  <c r="X37" i="3"/>
  <c r="Y36" i="3"/>
  <c r="X36" i="3"/>
  <c r="Y35" i="3"/>
  <c r="X35" i="3"/>
  <c r="X34" i="3"/>
  <c r="Y33" i="3"/>
  <c r="X33" i="3"/>
  <c r="Y32" i="3"/>
  <c r="X32" i="3"/>
  <c r="Y31" i="3"/>
  <c r="X31" i="3"/>
  <c r="Y30" i="3"/>
  <c r="X30" i="3"/>
  <c r="Y29" i="3"/>
  <c r="X29" i="3"/>
  <c r="X28" i="3"/>
  <c r="Y27" i="3"/>
  <c r="X27" i="3"/>
  <c r="Y26" i="3"/>
  <c r="X26" i="3"/>
  <c r="Y25" i="3"/>
  <c r="X25" i="3"/>
  <c r="Y24" i="3"/>
  <c r="X24" i="3"/>
  <c r="Y23" i="3"/>
  <c r="X23" i="3"/>
  <c r="X22" i="3"/>
  <c r="Y21" i="3"/>
  <c r="X21" i="3"/>
  <c r="X20" i="3"/>
  <c r="Y19" i="3"/>
  <c r="X19" i="3"/>
  <c r="X18" i="3"/>
  <c r="Y17" i="3"/>
  <c r="X17" i="3"/>
  <c r="X16" i="3"/>
  <c r="Y15" i="3"/>
  <c r="X15" i="3"/>
  <c r="X14" i="3"/>
  <c r="Y13" i="3"/>
  <c r="X13" i="3"/>
  <c r="X12" i="3"/>
  <c r="Y11" i="3"/>
  <c r="X11" i="3"/>
  <c r="X10" i="3"/>
  <c r="Y9" i="3"/>
  <c r="X9" i="3"/>
  <c r="X8" i="3"/>
  <c r="Y7" i="3"/>
  <c r="X7" i="3"/>
  <c r="X6" i="3"/>
  <c r="K2" i="3"/>
  <c r="F2" i="3"/>
  <c r="U2" i="3" s="1"/>
  <c r="C2" i="3"/>
  <c r="K25" i="2"/>
  <c r="F25" i="2"/>
  <c r="E25" i="2"/>
  <c r="D25" i="2"/>
  <c r="C25" i="2"/>
  <c r="B25" i="2"/>
  <c r="J25" i="2" s="1"/>
  <c r="B24" i="2"/>
  <c r="B23" i="2"/>
  <c r="B22" i="2"/>
  <c r="B13" i="2"/>
  <c r="B14" i="2" s="1"/>
  <c r="B6" i="2"/>
  <c r="G24" i="2" s="1"/>
  <c r="B4" i="2"/>
  <c r="J500" i="4"/>
  <c r="I500" i="4"/>
  <c r="J499" i="4"/>
  <c r="I499" i="4"/>
  <c r="I498" i="4"/>
  <c r="J498" i="4" s="1"/>
  <c r="J497" i="4"/>
  <c r="I497" i="4"/>
  <c r="I496" i="4"/>
  <c r="J496" i="4" s="1"/>
  <c r="I495" i="4"/>
  <c r="J495" i="4" s="1"/>
  <c r="J494" i="4"/>
  <c r="I494" i="4"/>
  <c r="J493" i="4"/>
  <c r="I493" i="4"/>
  <c r="I492" i="4"/>
  <c r="J492" i="4" s="1"/>
  <c r="I491" i="4"/>
  <c r="J491" i="4" s="1"/>
  <c r="I490" i="4"/>
  <c r="J490" i="4" s="1"/>
  <c r="J489" i="4"/>
  <c r="I489" i="4"/>
  <c r="J488" i="4"/>
  <c r="I488" i="4"/>
  <c r="J487" i="4"/>
  <c r="I487" i="4"/>
  <c r="I486" i="4"/>
  <c r="J486" i="4" s="1"/>
  <c r="I485" i="4"/>
  <c r="J485" i="4" s="1"/>
  <c r="J484" i="4"/>
  <c r="I484" i="4"/>
  <c r="I483" i="4"/>
  <c r="J483" i="4" s="1"/>
  <c r="J482" i="4"/>
  <c r="I482" i="4"/>
  <c r="J481" i="4"/>
  <c r="I481" i="4"/>
  <c r="I480" i="4"/>
  <c r="J480" i="4" s="1"/>
  <c r="I479" i="4"/>
  <c r="J479" i="4" s="1"/>
  <c r="I478" i="4"/>
  <c r="J478" i="4" s="1"/>
  <c r="I477" i="4"/>
  <c r="J477" i="4" s="1"/>
  <c r="J476" i="4"/>
  <c r="I476" i="4"/>
  <c r="J475" i="4"/>
  <c r="I475" i="4"/>
  <c r="I474" i="4"/>
  <c r="J474" i="4" s="1"/>
  <c r="J473" i="4"/>
  <c r="I473" i="4"/>
  <c r="I472" i="4"/>
  <c r="J472" i="4" s="1"/>
  <c r="J471" i="4"/>
  <c r="I471" i="4"/>
  <c r="J470" i="4"/>
  <c r="I470" i="4"/>
  <c r="J469" i="4"/>
  <c r="I469" i="4"/>
  <c r="I468" i="4"/>
  <c r="J468" i="4" s="1"/>
  <c r="J467" i="4"/>
  <c r="I467" i="4"/>
  <c r="I466" i="4"/>
  <c r="J466" i="4" s="1"/>
  <c r="I465" i="4"/>
  <c r="J465" i="4" s="1"/>
  <c r="J464" i="4"/>
  <c r="I464" i="4"/>
  <c r="J463" i="4"/>
  <c r="I463" i="4"/>
  <c r="I462" i="4"/>
  <c r="J462" i="4" s="1"/>
  <c r="I461" i="4"/>
  <c r="J461" i="4" s="1"/>
  <c r="J460" i="4"/>
  <c r="I460" i="4"/>
  <c r="I459" i="4"/>
  <c r="J459" i="4" s="1"/>
  <c r="J458" i="4"/>
  <c r="I458" i="4"/>
  <c r="J457" i="4"/>
  <c r="I457" i="4"/>
  <c r="I456" i="4"/>
  <c r="J456" i="4" s="1"/>
  <c r="J455" i="4"/>
  <c r="I455" i="4"/>
  <c r="J454" i="4"/>
  <c r="I454" i="4"/>
  <c r="I453" i="4"/>
  <c r="J453" i="4" s="1"/>
  <c r="J452" i="4"/>
  <c r="I452" i="4"/>
  <c r="J451" i="4"/>
  <c r="I451" i="4"/>
  <c r="I450" i="4"/>
  <c r="J450" i="4" s="1"/>
  <c r="I449" i="4"/>
  <c r="J449" i="4" s="1"/>
  <c r="I448" i="4"/>
  <c r="J448" i="4" s="1"/>
  <c r="J447" i="4"/>
  <c r="I447" i="4"/>
  <c r="J446" i="4"/>
  <c r="I446" i="4"/>
  <c r="J445" i="4"/>
  <c r="I445" i="4"/>
  <c r="I444" i="4"/>
  <c r="J444" i="4" s="1"/>
  <c r="J443" i="4"/>
  <c r="I443" i="4"/>
  <c r="J442" i="4"/>
  <c r="I442" i="4"/>
  <c r="J441" i="4"/>
  <c r="I441" i="4"/>
  <c r="J440" i="4"/>
  <c r="I440" i="4"/>
  <c r="J439" i="4"/>
  <c r="I439" i="4"/>
  <c r="I438" i="4"/>
  <c r="J438" i="4" s="1"/>
  <c r="I437" i="4"/>
  <c r="J437" i="4" s="1"/>
  <c r="I436" i="4"/>
  <c r="J436" i="4" s="1"/>
  <c r="I435" i="4"/>
  <c r="J435" i="4" s="1"/>
  <c r="J434" i="4"/>
  <c r="I434" i="4"/>
  <c r="J433" i="4"/>
  <c r="I433" i="4"/>
  <c r="I432" i="4"/>
  <c r="J432" i="4" s="1"/>
  <c r="I431" i="4"/>
  <c r="J431" i="4" s="1"/>
  <c r="J430" i="4"/>
  <c r="I430" i="4"/>
  <c r="J429" i="4"/>
  <c r="I429" i="4"/>
  <c r="J428" i="4"/>
  <c r="I428" i="4"/>
  <c r="J427" i="4"/>
  <c r="I427" i="4"/>
  <c r="I426" i="4"/>
  <c r="J426" i="4" s="1"/>
  <c r="J425" i="4"/>
  <c r="I425" i="4"/>
  <c r="I424" i="4"/>
  <c r="J424" i="4" s="1"/>
  <c r="I423" i="4"/>
  <c r="J423" i="4" s="1"/>
  <c r="J422" i="4"/>
  <c r="I422" i="4"/>
  <c r="J421" i="4"/>
  <c r="I421" i="4"/>
  <c r="I420" i="4"/>
  <c r="J420" i="4" s="1"/>
  <c r="I419" i="4"/>
  <c r="J419" i="4" s="1"/>
  <c r="I418" i="4"/>
  <c r="J418" i="4" s="1"/>
  <c r="J417" i="4"/>
  <c r="I417" i="4"/>
  <c r="J416" i="4"/>
  <c r="I416" i="4"/>
  <c r="J415" i="4"/>
  <c r="I415" i="4"/>
  <c r="I414" i="4"/>
  <c r="J414" i="4" s="1"/>
  <c r="I413" i="4"/>
  <c r="J413" i="4" s="1"/>
  <c r="J412" i="4"/>
  <c r="I412" i="4"/>
  <c r="I411" i="4"/>
  <c r="J411" i="4" s="1"/>
  <c r="J410" i="4"/>
  <c r="I410" i="4"/>
  <c r="J409" i="4"/>
  <c r="I409" i="4"/>
  <c r="I408" i="4"/>
  <c r="J408" i="4" s="1"/>
  <c r="I407" i="4"/>
  <c r="J407" i="4" s="1"/>
  <c r="I406" i="4"/>
  <c r="J406" i="4" s="1"/>
  <c r="I405" i="4"/>
  <c r="J405" i="4" s="1"/>
  <c r="J404" i="4"/>
  <c r="I404" i="4"/>
  <c r="J403" i="4"/>
  <c r="I403" i="4"/>
  <c r="I402" i="4"/>
  <c r="J402" i="4" s="1"/>
  <c r="J401" i="4"/>
  <c r="I401" i="4"/>
  <c r="I400" i="4"/>
  <c r="J400" i="4" s="1"/>
  <c r="J399" i="4"/>
  <c r="I399" i="4"/>
  <c r="J398" i="4"/>
  <c r="I398" i="4"/>
  <c r="J397" i="4"/>
  <c r="I397" i="4"/>
  <c r="I396" i="4"/>
  <c r="J396" i="4" s="1"/>
  <c r="J395" i="4"/>
  <c r="I395" i="4"/>
  <c r="I394" i="4"/>
  <c r="J394" i="4" s="1"/>
  <c r="I393" i="4"/>
  <c r="J393" i="4" s="1"/>
  <c r="J392" i="4"/>
  <c r="I392" i="4"/>
  <c r="J391" i="4"/>
  <c r="I391" i="4"/>
  <c r="I390" i="4"/>
  <c r="J390" i="4" s="1"/>
  <c r="I389" i="4"/>
  <c r="J389" i="4" s="1"/>
  <c r="J388" i="4"/>
  <c r="I388" i="4"/>
  <c r="I387" i="4"/>
  <c r="J387" i="4" s="1"/>
  <c r="J386" i="4"/>
  <c r="I386" i="4"/>
  <c r="J385" i="4"/>
  <c r="I385" i="4"/>
  <c r="I384" i="4"/>
  <c r="J384" i="4" s="1"/>
  <c r="J383" i="4"/>
  <c r="I383" i="4"/>
  <c r="J382" i="4"/>
  <c r="I382" i="4"/>
  <c r="I381" i="4"/>
  <c r="J381" i="4" s="1"/>
  <c r="J380" i="4"/>
  <c r="I380" i="4"/>
  <c r="J379" i="4"/>
  <c r="I379" i="4"/>
  <c r="I378" i="4"/>
  <c r="J378" i="4" s="1"/>
  <c r="I377" i="4"/>
  <c r="J377" i="4" s="1"/>
  <c r="I376" i="4"/>
  <c r="J376" i="4" s="1"/>
  <c r="J375" i="4"/>
  <c r="I375" i="4"/>
  <c r="J374" i="4"/>
  <c r="I374" i="4"/>
  <c r="J373" i="4"/>
  <c r="I373" i="4"/>
  <c r="I372" i="4"/>
  <c r="J372" i="4" s="1"/>
  <c r="J371" i="4"/>
  <c r="I371" i="4"/>
  <c r="J370" i="4"/>
  <c r="I370" i="4"/>
  <c r="J369" i="4"/>
  <c r="I369" i="4"/>
  <c r="J368" i="4"/>
  <c r="I368" i="4"/>
  <c r="J367" i="4"/>
  <c r="I367" i="4"/>
  <c r="I366" i="4"/>
  <c r="J366" i="4" s="1"/>
  <c r="I365" i="4"/>
  <c r="J365" i="4" s="1"/>
  <c r="I364" i="4"/>
  <c r="J364" i="4" s="1"/>
  <c r="I363" i="4"/>
  <c r="J363" i="4" s="1"/>
  <c r="J362" i="4"/>
  <c r="I362" i="4"/>
  <c r="J361" i="4"/>
  <c r="I361" i="4"/>
  <c r="I360" i="4"/>
  <c r="J360" i="4" s="1"/>
  <c r="I359" i="4"/>
  <c r="J359" i="4" s="1"/>
  <c r="J358" i="4"/>
  <c r="I358" i="4"/>
  <c r="J357" i="4"/>
  <c r="I357" i="4"/>
  <c r="J356" i="4"/>
  <c r="I356" i="4"/>
  <c r="J355" i="4"/>
  <c r="I355" i="4"/>
  <c r="I354" i="4"/>
  <c r="J354" i="4" s="1"/>
  <c r="J353" i="4"/>
  <c r="I353" i="4"/>
  <c r="I352" i="4"/>
  <c r="J352" i="4" s="1"/>
  <c r="I351" i="4"/>
  <c r="J351" i="4" s="1"/>
  <c r="J350" i="4"/>
  <c r="I350" i="4"/>
  <c r="J349" i="4"/>
  <c r="I349" i="4"/>
  <c r="I348" i="4"/>
  <c r="J348" i="4" s="1"/>
  <c r="I347" i="4"/>
  <c r="J347" i="4" s="1"/>
  <c r="I346" i="4"/>
  <c r="J346" i="4" s="1"/>
  <c r="J345" i="4"/>
  <c r="I345" i="4"/>
  <c r="J344" i="4"/>
  <c r="I344" i="4"/>
  <c r="J343" i="4"/>
  <c r="I343" i="4"/>
  <c r="I342" i="4"/>
  <c r="J342" i="4" s="1"/>
  <c r="I341" i="4"/>
  <c r="J341" i="4" s="1"/>
  <c r="J340" i="4"/>
  <c r="I340" i="4"/>
  <c r="I339" i="4"/>
  <c r="J339" i="4" s="1"/>
  <c r="J338" i="4"/>
  <c r="I338" i="4"/>
  <c r="J337" i="4"/>
  <c r="I337" i="4"/>
  <c r="I336" i="4"/>
  <c r="J336" i="4" s="1"/>
  <c r="I335" i="4"/>
  <c r="J335" i="4" s="1"/>
  <c r="I334" i="4"/>
  <c r="J334" i="4" s="1"/>
  <c r="I333" i="4"/>
  <c r="J333" i="4" s="1"/>
  <c r="J332" i="4"/>
  <c r="I332" i="4"/>
  <c r="J331" i="4"/>
  <c r="I331" i="4"/>
  <c r="I330" i="4"/>
  <c r="J330" i="4" s="1"/>
  <c r="J329" i="4"/>
  <c r="I329" i="4"/>
  <c r="I328" i="4"/>
  <c r="J328" i="4" s="1"/>
  <c r="J327" i="4"/>
  <c r="I327" i="4"/>
  <c r="J326" i="4"/>
  <c r="I326" i="4"/>
  <c r="J325" i="4"/>
  <c r="I325" i="4"/>
  <c r="I324" i="4"/>
  <c r="J324" i="4" s="1"/>
  <c r="J323" i="4"/>
  <c r="I323" i="4"/>
  <c r="I322" i="4"/>
  <c r="J322" i="4" s="1"/>
  <c r="I321" i="4"/>
  <c r="J321" i="4" s="1"/>
  <c r="J320" i="4"/>
  <c r="I320" i="4"/>
  <c r="J319" i="4"/>
  <c r="I319" i="4"/>
  <c r="I318" i="4"/>
  <c r="J318" i="4" s="1"/>
  <c r="I317" i="4"/>
  <c r="J317" i="4" s="1"/>
  <c r="J316" i="4"/>
  <c r="I316" i="4"/>
  <c r="I315" i="4"/>
  <c r="J315" i="4" s="1"/>
  <c r="J314" i="4"/>
  <c r="I314" i="4"/>
  <c r="J313" i="4"/>
  <c r="I313" i="4"/>
  <c r="I312" i="4"/>
  <c r="J312" i="4" s="1"/>
  <c r="J311" i="4"/>
  <c r="I311" i="4"/>
  <c r="J310" i="4"/>
  <c r="I310" i="4"/>
  <c r="I309" i="4"/>
  <c r="J309" i="4" s="1"/>
  <c r="J308" i="4"/>
  <c r="I308" i="4"/>
  <c r="J307" i="4"/>
  <c r="I307" i="4"/>
  <c r="I306" i="4"/>
  <c r="J306" i="4" s="1"/>
  <c r="I305" i="4"/>
  <c r="J305" i="4" s="1"/>
  <c r="I304" i="4"/>
  <c r="J304" i="4" s="1"/>
  <c r="J303" i="4"/>
  <c r="I303" i="4"/>
  <c r="J302" i="4"/>
  <c r="I302" i="4"/>
  <c r="J301" i="4"/>
  <c r="I301" i="4"/>
  <c r="I300" i="4"/>
  <c r="J300" i="4" s="1"/>
  <c r="J299" i="4"/>
  <c r="I299" i="4"/>
  <c r="J298" i="4"/>
  <c r="I298" i="4"/>
  <c r="J297" i="4"/>
  <c r="I297" i="4"/>
  <c r="J296" i="4"/>
  <c r="I296" i="4"/>
  <c r="J295" i="4"/>
  <c r="I295" i="4"/>
  <c r="I294" i="4"/>
  <c r="J294" i="4" s="1"/>
  <c r="I293" i="4"/>
  <c r="J293" i="4" s="1"/>
  <c r="I292" i="4"/>
  <c r="J292" i="4" s="1"/>
  <c r="I291" i="4"/>
  <c r="J291" i="4" s="1"/>
  <c r="J290" i="4"/>
  <c r="I290" i="4"/>
  <c r="J289" i="4"/>
  <c r="I289" i="4"/>
  <c r="I288" i="4"/>
  <c r="J288" i="4" s="1"/>
  <c r="I287" i="4"/>
  <c r="J287" i="4" s="1"/>
  <c r="J286" i="4"/>
  <c r="I286" i="4"/>
  <c r="J285" i="4"/>
  <c r="I285" i="4"/>
  <c r="J284" i="4"/>
  <c r="I284" i="4"/>
  <c r="J283" i="4"/>
  <c r="I283" i="4"/>
  <c r="I282" i="4"/>
  <c r="J282" i="4" s="1"/>
  <c r="J281" i="4"/>
  <c r="I281" i="4"/>
  <c r="I280" i="4"/>
  <c r="J280" i="4" s="1"/>
  <c r="I279" i="4"/>
  <c r="J279" i="4" s="1"/>
  <c r="J278" i="4"/>
  <c r="I278" i="4"/>
  <c r="J277" i="4"/>
  <c r="I277" i="4"/>
  <c r="I276" i="4"/>
  <c r="J276" i="4" s="1"/>
  <c r="I275" i="4"/>
  <c r="J275" i="4" s="1"/>
  <c r="I274" i="4"/>
  <c r="J274" i="4" s="1"/>
  <c r="J273" i="4"/>
  <c r="I273" i="4"/>
  <c r="J272" i="4"/>
  <c r="I272" i="4"/>
  <c r="J271" i="4"/>
  <c r="I271" i="4"/>
  <c r="I270" i="4"/>
  <c r="J270" i="4" s="1"/>
  <c r="I269" i="4"/>
  <c r="J269" i="4" s="1"/>
  <c r="J268" i="4"/>
  <c r="I268" i="4"/>
  <c r="I267" i="4"/>
  <c r="J267" i="4" s="1"/>
  <c r="J266" i="4"/>
  <c r="I266" i="4"/>
  <c r="J265" i="4"/>
  <c r="I265" i="4"/>
  <c r="I264" i="4"/>
  <c r="J264" i="4" s="1"/>
  <c r="I263" i="4"/>
  <c r="J263" i="4" s="1"/>
  <c r="I262" i="4"/>
  <c r="J262" i="4" s="1"/>
  <c r="I261" i="4"/>
  <c r="J261" i="4" s="1"/>
  <c r="J260" i="4"/>
  <c r="I260" i="4"/>
  <c r="J259" i="4"/>
  <c r="I259" i="4"/>
  <c r="I258" i="4"/>
  <c r="J258" i="4" s="1"/>
  <c r="J257" i="4"/>
  <c r="I257" i="4"/>
  <c r="I256" i="4"/>
  <c r="J256" i="4" s="1"/>
  <c r="J255" i="4"/>
  <c r="I255" i="4"/>
  <c r="J254" i="4"/>
  <c r="I254" i="4"/>
  <c r="J253" i="4"/>
  <c r="I253" i="4"/>
  <c r="I252" i="4"/>
  <c r="J252" i="4" s="1"/>
  <c r="J251" i="4"/>
  <c r="I251" i="4"/>
  <c r="I250" i="4"/>
  <c r="J250" i="4" s="1"/>
  <c r="I249" i="4"/>
  <c r="J249" i="4" s="1"/>
  <c r="J248" i="4"/>
  <c r="I248" i="4"/>
  <c r="J247" i="4"/>
  <c r="I247" i="4"/>
  <c r="I246" i="4"/>
  <c r="J246" i="4" s="1"/>
  <c r="I245" i="4"/>
  <c r="J245" i="4" s="1"/>
  <c r="J244" i="4"/>
  <c r="I244" i="4"/>
  <c r="I243" i="4"/>
  <c r="J243" i="4" s="1"/>
  <c r="J242" i="4"/>
  <c r="I242" i="4"/>
  <c r="J241" i="4"/>
  <c r="I241" i="4"/>
  <c r="I240" i="4"/>
  <c r="J240" i="4" s="1"/>
  <c r="J239" i="4"/>
  <c r="I239" i="4"/>
  <c r="J238" i="4"/>
  <c r="I238" i="4"/>
  <c r="I237" i="4"/>
  <c r="J237" i="4" s="1"/>
  <c r="J236" i="4"/>
  <c r="I236" i="4"/>
  <c r="J235" i="4"/>
  <c r="I235" i="4"/>
  <c r="I234" i="4"/>
  <c r="J234" i="4" s="1"/>
  <c r="I233" i="4"/>
  <c r="J233" i="4" s="1"/>
  <c r="I232" i="4"/>
  <c r="J232" i="4" s="1"/>
  <c r="J231" i="4"/>
  <c r="I231" i="4"/>
  <c r="J230" i="4"/>
  <c r="I230" i="4"/>
  <c r="J229" i="4"/>
  <c r="I229" i="4"/>
  <c r="I228" i="4"/>
  <c r="J228" i="4" s="1"/>
  <c r="J227" i="4"/>
  <c r="I227" i="4"/>
  <c r="J226" i="4"/>
  <c r="I226" i="4"/>
  <c r="J225" i="4"/>
  <c r="I225" i="4"/>
  <c r="J224" i="4"/>
  <c r="I224" i="4"/>
  <c r="J223" i="4"/>
  <c r="I223" i="4"/>
  <c r="I222" i="4"/>
  <c r="J222" i="4" s="1"/>
  <c r="I221" i="4"/>
  <c r="J221" i="4" s="1"/>
  <c r="I220" i="4"/>
  <c r="J220" i="4" s="1"/>
  <c r="I219" i="4"/>
  <c r="J219" i="4" s="1"/>
  <c r="J218" i="4"/>
  <c r="I218" i="4"/>
  <c r="J217" i="4"/>
  <c r="I217" i="4"/>
  <c r="I216" i="4"/>
  <c r="J216" i="4" s="1"/>
  <c r="I215" i="4"/>
  <c r="J215" i="4" s="1"/>
  <c r="J214" i="4"/>
  <c r="I214" i="4"/>
  <c r="J213" i="4"/>
  <c r="I213" i="4"/>
  <c r="J212" i="4"/>
  <c r="I212" i="4"/>
  <c r="J211" i="4"/>
  <c r="I211" i="4"/>
  <c r="I210" i="4"/>
  <c r="J210" i="4" s="1"/>
  <c r="J209" i="4"/>
  <c r="I209" i="4"/>
  <c r="I208" i="4"/>
  <c r="J208" i="4" s="1"/>
  <c r="I207" i="4"/>
  <c r="J207" i="4" s="1"/>
  <c r="J206" i="4"/>
  <c r="I206" i="4"/>
  <c r="J205" i="4"/>
  <c r="I205" i="4"/>
  <c r="I204" i="4"/>
  <c r="J204" i="4" s="1"/>
  <c r="I203" i="4"/>
  <c r="J203" i="4" s="1"/>
  <c r="I202" i="4"/>
  <c r="J202" i="4" s="1"/>
  <c r="J201" i="4"/>
  <c r="I201" i="4"/>
  <c r="J200" i="4"/>
  <c r="I200" i="4"/>
  <c r="J199" i="4"/>
  <c r="I199" i="4"/>
  <c r="I198" i="4"/>
  <c r="J198" i="4" s="1"/>
  <c r="I197" i="4"/>
  <c r="J197" i="4" s="1"/>
  <c r="J196" i="4"/>
  <c r="I196" i="4"/>
  <c r="I195" i="4"/>
  <c r="J195" i="4" s="1"/>
  <c r="J194" i="4"/>
  <c r="I194" i="4"/>
  <c r="J193" i="4"/>
  <c r="I193" i="4"/>
  <c r="I192" i="4"/>
  <c r="J192" i="4" s="1"/>
  <c r="I191" i="4"/>
  <c r="J191" i="4" s="1"/>
  <c r="I190" i="4"/>
  <c r="J190" i="4" s="1"/>
  <c r="I189" i="4"/>
  <c r="J189" i="4" s="1"/>
  <c r="J188" i="4"/>
  <c r="I188" i="4"/>
  <c r="J187" i="4"/>
  <c r="I187" i="4"/>
  <c r="I186" i="4"/>
  <c r="J186" i="4" s="1"/>
  <c r="J185" i="4"/>
  <c r="I185" i="4"/>
  <c r="I184" i="4"/>
  <c r="J184" i="4" s="1"/>
  <c r="J183" i="4"/>
  <c r="I183" i="4"/>
  <c r="J182" i="4"/>
  <c r="I182" i="4"/>
  <c r="J181" i="4"/>
  <c r="I181" i="4"/>
  <c r="I180" i="4"/>
  <c r="J180" i="4" s="1"/>
  <c r="I179" i="4"/>
  <c r="J179" i="4" s="1"/>
  <c r="I178" i="4"/>
  <c r="J178" i="4" s="1"/>
  <c r="I177" i="4"/>
  <c r="J177" i="4" s="1"/>
  <c r="J176" i="4"/>
  <c r="I176" i="4"/>
  <c r="J175" i="4"/>
  <c r="I175" i="4"/>
  <c r="I174" i="4"/>
  <c r="J174" i="4" s="1"/>
  <c r="I173" i="4"/>
  <c r="J173" i="4" s="1"/>
  <c r="J172" i="4"/>
  <c r="I172" i="4"/>
  <c r="I171" i="4"/>
  <c r="J171" i="4" s="1"/>
  <c r="J170" i="4"/>
  <c r="I170" i="4"/>
  <c r="J169" i="4"/>
  <c r="I169" i="4"/>
  <c r="I168" i="4"/>
  <c r="J168" i="4" s="1"/>
  <c r="J167" i="4"/>
  <c r="I167" i="4"/>
  <c r="I166" i="4"/>
  <c r="J166" i="4" s="1"/>
  <c r="I165" i="4"/>
  <c r="J165" i="4" s="1"/>
  <c r="J164" i="4"/>
  <c r="I164" i="4"/>
  <c r="J163" i="4"/>
  <c r="I163" i="4"/>
  <c r="I162" i="4"/>
  <c r="J162" i="4" s="1"/>
  <c r="I161" i="4"/>
  <c r="J161" i="4" s="1"/>
  <c r="I160" i="4"/>
  <c r="J160" i="4" s="1"/>
  <c r="J159" i="4"/>
  <c r="I159" i="4"/>
  <c r="J158" i="4"/>
  <c r="I158" i="4"/>
  <c r="J157" i="4"/>
  <c r="I157" i="4"/>
  <c r="I156" i="4"/>
  <c r="J156" i="4" s="1"/>
  <c r="J155" i="4"/>
  <c r="I155" i="4"/>
  <c r="J154" i="4"/>
  <c r="I154" i="4"/>
  <c r="I153" i="4"/>
  <c r="J153" i="4" s="1"/>
  <c r="J152" i="4"/>
  <c r="I152" i="4"/>
  <c r="J151" i="4"/>
  <c r="I151" i="4"/>
  <c r="I150" i="4"/>
  <c r="J150" i="4" s="1"/>
  <c r="I149" i="4"/>
  <c r="J149" i="4" s="1"/>
  <c r="I148" i="4"/>
  <c r="J148" i="4" s="1"/>
  <c r="I147" i="4"/>
  <c r="J147" i="4" s="1"/>
  <c r="J146" i="4"/>
  <c r="I146" i="4"/>
  <c r="J145" i="4"/>
  <c r="I145" i="4"/>
  <c r="I144" i="4"/>
  <c r="J144" i="4" s="1"/>
  <c r="I143" i="4"/>
  <c r="J143" i="4" s="1"/>
  <c r="J142" i="4"/>
  <c r="I142" i="4"/>
  <c r="J141" i="4"/>
  <c r="I141" i="4"/>
  <c r="J140" i="4"/>
  <c r="I140" i="4"/>
  <c r="J139" i="4"/>
  <c r="I139" i="4"/>
  <c r="I138" i="4"/>
  <c r="J138" i="4" s="1"/>
  <c r="J137" i="4"/>
  <c r="I137" i="4"/>
  <c r="I136" i="4"/>
  <c r="J136" i="4" s="1"/>
  <c r="I135" i="4"/>
  <c r="J135" i="4" s="1"/>
  <c r="J134" i="4"/>
  <c r="I134" i="4"/>
  <c r="J133" i="4"/>
  <c r="I133" i="4"/>
  <c r="I132" i="4"/>
  <c r="J132" i="4" s="1"/>
  <c r="I131" i="4"/>
  <c r="J131" i="4" s="1"/>
  <c r="I130" i="4"/>
  <c r="J130" i="4" s="1"/>
  <c r="J129" i="4"/>
  <c r="I129" i="4"/>
  <c r="J128" i="4"/>
  <c r="I128" i="4"/>
  <c r="J127" i="4"/>
  <c r="I127" i="4"/>
  <c r="I126" i="4"/>
  <c r="J126" i="4" s="1"/>
  <c r="I125" i="4"/>
  <c r="J125" i="4" s="1"/>
  <c r="J124" i="4"/>
  <c r="I124" i="4"/>
  <c r="I123" i="4"/>
  <c r="J123" i="4" s="1"/>
  <c r="J122" i="4"/>
  <c r="I122" i="4"/>
  <c r="J121" i="4"/>
  <c r="I121" i="4"/>
  <c r="I120" i="4"/>
  <c r="J120" i="4" s="1"/>
  <c r="I119" i="4"/>
  <c r="J119" i="4" s="1"/>
  <c r="I118" i="4"/>
  <c r="J118" i="4" s="1"/>
  <c r="I117" i="4"/>
  <c r="J117" i="4" s="1"/>
  <c r="J116" i="4"/>
  <c r="I116" i="4"/>
  <c r="J115" i="4"/>
  <c r="I115" i="4"/>
  <c r="I114" i="4"/>
  <c r="J114" i="4" s="1"/>
  <c r="J113" i="4"/>
  <c r="I113" i="4"/>
  <c r="I112" i="4"/>
  <c r="J112" i="4" s="1"/>
  <c r="J111" i="4"/>
  <c r="I111" i="4"/>
  <c r="J110" i="4"/>
  <c r="I110" i="4"/>
  <c r="J109" i="4"/>
  <c r="I109" i="4"/>
  <c r="I108" i="4"/>
  <c r="J108" i="4" s="1"/>
  <c r="I107" i="4"/>
  <c r="J107" i="4" s="1"/>
  <c r="I106" i="4"/>
  <c r="J106" i="4" s="1"/>
  <c r="I105" i="4"/>
  <c r="J105" i="4" s="1"/>
  <c r="J104" i="4"/>
  <c r="I104" i="4"/>
  <c r="J103" i="4"/>
  <c r="I103" i="4"/>
  <c r="I102" i="4"/>
  <c r="J102" i="4" s="1"/>
  <c r="I101" i="4"/>
  <c r="J101" i="4" s="1"/>
  <c r="J100" i="4"/>
  <c r="I100" i="4"/>
  <c r="I99" i="4"/>
  <c r="J99" i="4" s="1"/>
  <c r="J98" i="4"/>
  <c r="I98" i="4"/>
  <c r="J97" i="4"/>
  <c r="I97" i="4"/>
  <c r="I96" i="4"/>
  <c r="J96" i="4" s="1"/>
  <c r="J95" i="4"/>
  <c r="I95" i="4"/>
  <c r="I94" i="4"/>
  <c r="J94" i="4" s="1"/>
  <c r="I93" i="4"/>
  <c r="J93" i="4" s="1"/>
  <c r="J92" i="4"/>
  <c r="I92" i="4"/>
  <c r="J91" i="4"/>
  <c r="I91" i="4"/>
  <c r="I90" i="4"/>
  <c r="J90" i="4" s="1"/>
  <c r="I89" i="4"/>
  <c r="J89" i="4" s="1"/>
  <c r="I88" i="4"/>
  <c r="J88" i="4" s="1"/>
  <c r="J87" i="4"/>
  <c r="I87" i="4"/>
  <c r="J86" i="4"/>
  <c r="I86" i="4"/>
  <c r="J85" i="4"/>
  <c r="I85" i="4"/>
  <c r="I84" i="4"/>
  <c r="J84" i="4" s="1"/>
  <c r="J83" i="4"/>
  <c r="I83" i="4"/>
  <c r="J82" i="4"/>
  <c r="I82" i="4"/>
  <c r="I81" i="4"/>
  <c r="J81" i="4" s="1"/>
  <c r="J80" i="4"/>
  <c r="I80" i="4"/>
  <c r="J79" i="4"/>
  <c r="I79" i="4"/>
  <c r="I78" i="4"/>
  <c r="J78" i="4" s="1"/>
  <c r="I77" i="4"/>
  <c r="J77" i="4" s="1"/>
  <c r="I76" i="4"/>
  <c r="J76" i="4" s="1"/>
  <c r="I75" i="4"/>
  <c r="J75" i="4" s="1"/>
  <c r="J74" i="4"/>
  <c r="I74" i="4"/>
  <c r="J73" i="4"/>
  <c r="I73" i="4"/>
  <c r="I72" i="4"/>
  <c r="J72" i="4" s="1"/>
  <c r="I71" i="4"/>
  <c r="J71" i="4" s="1"/>
  <c r="J70" i="4"/>
  <c r="I70" i="4"/>
  <c r="J69" i="4"/>
  <c r="I69" i="4"/>
  <c r="J68" i="4"/>
  <c r="I68" i="4"/>
  <c r="J67" i="4"/>
  <c r="I67" i="4"/>
  <c r="I66" i="4"/>
  <c r="J66" i="4" s="1"/>
  <c r="J65" i="4"/>
  <c r="I65" i="4"/>
  <c r="I64" i="4"/>
  <c r="J64" i="4" s="1"/>
  <c r="I63" i="4"/>
  <c r="J63" i="4" s="1"/>
  <c r="J62" i="4"/>
  <c r="I62" i="4"/>
  <c r="J61" i="4"/>
  <c r="I61" i="4"/>
  <c r="I60" i="4"/>
  <c r="J60" i="4" s="1"/>
  <c r="I59" i="4"/>
  <c r="J59" i="4" s="1"/>
  <c r="I58" i="4"/>
  <c r="J58" i="4" s="1"/>
  <c r="J57" i="4"/>
  <c r="I57" i="4"/>
  <c r="J56" i="4"/>
  <c r="I56" i="4"/>
  <c r="J55" i="4"/>
  <c r="I55" i="4"/>
  <c r="I54" i="4"/>
  <c r="J54" i="4" s="1"/>
  <c r="I53" i="4"/>
  <c r="J53" i="4" s="1"/>
  <c r="J52" i="4"/>
  <c r="I52" i="4"/>
  <c r="I51" i="4"/>
  <c r="J51" i="4" s="1"/>
  <c r="J50" i="4"/>
  <c r="I50" i="4"/>
  <c r="J49" i="4"/>
  <c r="I49" i="4"/>
  <c r="I48" i="4"/>
  <c r="J48" i="4" s="1"/>
  <c r="I47" i="4"/>
  <c r="J47" i="4" s="1"/>
  <c r="I46" i="4"/>
  <c r="J46" i="4" s="1"/>
  <c r="I45" i="4"/>
  <c r="J45" i="4" s="1"/>
  <c r="J44" i="4"/>
  <c r="I44" i="4"/>
  <c r="J43" i="4"/>
  <c r="I43" i="4"/>
  <c r="I42" i="4"/>
  <c r="J42" i="4" s="1"/>
  <c r="J41" i="4"/>
  <c r="I41" i="4"/>
  <c r="I40" i="4"/>
  <c r="J40" i="4" s="1"/>
  <c r="J39" i="4"/>
  <c r="I39" i="4"/>
  <c r="J38" i="4"/>
  <c r="I38" i="4"/>
  <c r="J37" i="4"/>
  <c r="I37" i="4"/>
  <c r="I36" i="4"/>
  <c r="J36" i="4" s="1"/>
  <c r="I35" i="4"/>
  <c r="J35" i="4" s="1"/>
  <c r="I34" i="4"/>
  <c r="J34" i="4" s="1"/>
  <c r="I33" i="4"/>
  <c r="J33" i="4" s="1"/>
  <c r="J32" i="4"/>
  <c r="I32" i="4"/>
  <c r="J31" i="4"/>
  <c r="I31" i="4"/>
  <c r="I30" i="4"/>
  <c r="J30" i="4" s="1"/>
  <c r="I29" i="4"/>
  <c r="J29" i="4" s="1"/>
  <c r="J28" i="4"/>
  <c r="I28" i="4"/>
  <c r="I27" i="4"/>
  <c r="J27" i="4" s="1"/>
  <c r="J26" i="4"/>
  <c r="I26" i="4"/>
  <c r="J25" i="4"/>
  <c r="I25" i="4"/>
  <c r="I24" i="4"/>
  <c r="J24" i="4" s="1"/>
  <c r="J23" i="4"/>
  <c r="I23" i="4"/>
  <c r="I22" i="4"/>
  <c r="J22" i="4" s="1"/>
  <c r="I21" i="4"/>
  <c r="J21" i="4" s="1"/>
  <c r="J20" i="4"/>
  <c r="I20" i="4"/>
  <c r="J19" i="4"/>
  <c r="I19" i="4"/>
  <c r="I18" i="4"/>
  <c r="J18" i="4" s="1"/>
  <c r="I17" i="4"/>
  <c r="J17" i="4" s="1"/>
  <c r="I16" i="4"/>
  <c r="J16" i="4" s="1"/>
  <c r="J15" i="4"/>
  <c r="I15" i="4"/>
  <c r="J14" i="4"/>
  <c r="I14" i="4"/>
  <c r="J13" i="4"/>
  <c r="I13" i="4"/>
  <c r="I12" i="4"/>
  <c r="J12" i="4" s="1"/>
  <c r="J11" i="4"/>
  <c r="I11" i="4"/>
  <c r="J10" i="4"/>
  <c r="I10" i="4"/>
  <c r="I9" i="4"/>
  <c r="J9" i="4" s="1"/>
  <c r="J8" i="4"/>
  <c r="I8" i="4"/>
  <c r="J7" i="4"/>
  <c r="I7" i="4"/>
  <c r="I6" i="4"/>
  <c r="I5" i="4"/>
  <c r="J5" i="4" s="1"/>
  <c r="I4" i="4"/>
  <c r="I3" i="4"/>
  <c r="H2" i="3" s="1"/>
  <c r="J2" i="4"/>
  <c r="I2" i="4"/>
  <c r="T9" i="5" l="1"/>
  <c r="Y1" i="5" s="1"/>
  <c r="B24" i="5"/>
  <c r="T8" i="5"/>
  <c r="I2" i="3"/>
  <c r="EB7" i="5"/>
  <c r="Q327" i="6"/>
  <c r="W213" i="6"/>
  <c r="X213" i="6" s="1"/>
  <c r="O3" i="3"/>
  <c r="D23" i="2" s="1"/>
  <c r="I23" i="2" s="1"/>
  <c r="T33" i="5"/>
  <c r="B108" i="6"/>
  <c r="B106" i="6"/>
  <c r="B107" i="6"/>
  <c r="U217" i="6"/>
  <c r="Q330" i="6" s="1"/>
  <c r="V217" i="6"/>
  <c r="R330" i="6" s="1"/>
  <c r="O330" i="6"/>
  <c r="L248" i="6"/>
  <c r="I248" i="6" s="1"/>
  <c r="K298" i="6"/>
  <c r="I298" i="6" s="1"/>
  <c r="ED11" i="5"/>
  <c r="I242" i="6"/>
  <c r="I258" i="6"/>
  <c r="I274" i="6"/>
  <c r="I280" i="6"/>
  <c r="R2" i="3"/>
  <c r="T2" i="3" s="1"/>
  <c r="Q2" i="3"/>
  <c r="P2" i="3"/>
  <c r="E22" i="2" s="1"/>
  <c r="W29" i="5"/>
  <c r="J3" i="4"/>
  <c r="O2" i="3"/>
  <c r="D22" i="2" s="1"/>
  <c r="C351" i="6"/>
  <c r="B94" i="6"/>
  <c r="V216" i="6"/>
  <c r="R329" i="6" s="1"/>
  <c r="O329" i="6"/>
  <c r="T216" i="6"/>
  <c r="P329" i="6" s="1"/>
  <c r="W216" i="6"/>
  <c r="X216" i="6" s="1"/>
  <c r="U216" i="6"/>
  <c r="Q329" i="6" s="1"/>
  <c r="T217" i="6"/>
  <c r="P330" i="6" s="1"/>
  <c r="K237" i="6"/>
  <c r="I237" i="6" s="1"/>
  <c r="W4" i="3"/>
  <c r="X4" i="3" s="1"/>
  <c r="EE48" i="5"/>
  <c r="EE54" i="5" s="1"/>
  <c r="EE47" i="5"/>
  <c r="EE51" i="5" s="1"/>
  <c r="EB48" i="5" s="1"/>
  <c r="W30" i="5"/>
  <c r="EB14" i="5"/>
  <c r="T5" i="5"/>
  <c r="EB22" i="5" s="1"/>
  <c r="EB8" i="5"/>
  <c r="EB13" i="5"/>
  <c r="K5" i="3"/>
  <c r="K4" i="3"/>
  <c r="K3" i="3"/>
  <c r="G25" i="2"/>
  <c r="G23" i="2"/>
  <c r="T24" i="5"/>
  <c r="EE49" i="5"/>
  <c r="R4" i="3"/>
  <c r="T4" i="3" s="1"/>
  <c r="J24" i="2" s="1"/>
  <c r="I213" i="6"/>
  <c r="O4" i="3"/>
  <c r="I217" i="6"/>
  <c r="AN50" i="5"/>
  <c r="I233" i="6"/>
  <c r="I250" i="6"/>
  <c r="K266" i="6"/>
  <c r="I266" i="6" s="1"/>
  <c r="N4" i="3"/>
  <c r="C24" i="2" s="1"/>
  <c r="W2" i="3"/>
  <c r="X2" i="3" s="1"/>
  <c r="N2" i="3"/>
  <c r="EC53" i="5"/>
  <c r="EB17" i="5"/>
  <c r="I223" i="6"/>
  <c r="J6" i="4"/>
  <c r="W5" i="3" s="1"/>
  <c r="X5" i="3" s="1"/>
  <c r="G22" i="2"/>
  <c r="EE46" i="5"/>
  <c r="W214" i="6"/>
  <c r="X214" i="6" s="1"/>
  <c r="W235" i="6"/>
  <c r="V235" i="6"/>
  <c r="U235" i="6"/>
  <c r="I288" i="6"/>
  <c r="K259" i="6"/>
  <c r="I259" i="6" s="1"/>
  <c r="K267" i="6"/>
  <c r="I267" i="6" s="1"/>
  <c r="K275" i="6"/>
  <c r="I275" i="6" s="1"/>
  <c r="K283" i="6"/>
  <c r="I283" i="6" s="1"/>
  <c r="K291" i="6"/>
  <c r="I291" i="6" s="1"/>
  <c r="K299" i="6"/>
  <c r="I299" i="6" s="1"/>
  <c r="Q4" i="3"/>
  <c r="B349" i="6"/>
  <c r="L233" i="6"/>
  <c r="K238" i="6"/>
  <c r="I238" i="6" s="1"/>
  <c r="K246" i="6"/>
  <c r="I246" i="6" s="1"/>
  <c r="K254" i="6"/>
  <c r="I254" i="6" s="1"/>
  <c r="K262" i="6"/>
  <c r="I262" i="6" s="1"/>
  <c r="K270" i="6"/>
  <c r="I270" i="6" s="1"/>
  <c r="I278" i="6"/>
  <c r="I286" i="6"/>
  <c r="I294" i="6"/>
  <c r="Q3" i="3"/>
  <c r="T326" i="6"/>
  <c r="P3" i="3"/>
  <c r="E23" i="2" s="1"/>
  <c r="K239" i="6"/>
  <c r="I239" i="6" s="1"/>
  <c r="K271" i="6"/>
  <c r="I271" i="6" s="1"/>
  <c r="K279" i="6"/>
  <c r="I279" i="6" s="1"/>
  <c r="K287" i="6"/>
  <c r="I287" i="6" s="1"/>
  <c r="K295" i="6"/>
  <c r="I295" i="6" s="1"/>
  <c r="I218" i="6"/>
  <c r="I224" i="6"/>
  <c r="I229" i="6"/>
  <c r="K255" i="6"/>
  <c r="I255" i="6" s="1"/>
  <c r="B326" i="6" s="1"/>
  <c r="C326" i="6" s="1"/>
  <c r="K263" i="6"/>
  <c r="I263" i="6" s="1"/>
  <c r="R3" i="3"/>
  <c r="T3" i="3" s="1"/>
  <c r="J23" i="2" s="1"/>
  <c r="H5" i="3"/>
  <c r="J5" i="3" s="1"/>
  <c r="L5" i="3" s="1"/>
  <c r="N5" i="3"/>
  <c r="H4" i="3"/>
  <c r="O5" i="3"/>
  <c r="S5" i="3" s="1"/>
  <c r="P5" i="3"/>
  <c r="P4" i="3"/>
  <c r="H25" i="2"/>
  <c r="T6" i="5"/>
  <c r="B27" i="5" s="1"/>
  <c r="ED20" i="5"/>
  <c r="W211" i="6"/>
  <c r="X211" i="6" s="1"/>
  <c r="W212" i="6"/>
  <c r="X212" i="6" s="1"/>
  <c r="L216" i="6"/>
  <c r="I216" i="6" s="1"/>
  <c r="L217" i="6"/>
  <c r="L223" i="6"/>
  <c r="K236" i="6"/>
  <c r="I236" i="6" s="1"/>
  <c r="K244" i="6"/>
  <c r="I244" i="6" s="1"/>
  <c r="K252" i="6"/>
  <c r="I252" i="6" s="1"/>
  <c r="K260" i="6"/>
  <c r="I260" i="6" s="1"/>
  <c r="K268" i="6"/>
  <c r="I268" i="6" s="1"/>
  <c r="K284" i="6"/>
  <c r="I284" i="6" s="1"/>
  <c r="K292" i="6"/>
  <c r="I292" i="6" s="1"/>
  <c r="R5" i="3"/>
  <c r="T5" i="3" s="1"/>
  <c r="N3" i="3"/>
  <c r="C23" i="2" s="1"/>
  <c r="I235" i="6"/>
  <c r="K247" i="6"/>
  <c r="I247" i="6" s="1"/>
  <c r="K225" i="6"/>
  <c r="I225" i="6" s="1"/>
  <c r="I227" i="6"/>
  <c r="I234" i="6"/>
  <c r="Q5" i="3"/>
  <c r="H3" i="3"/>
  <c r="F23" i="2" s="1"/>
  <c r="E3" i="3"/>
  <c r="E4" i="3" s="1"/>
  <c r="E5" i="3" s="1"/>
  <c r="I25" i="2"/>
  <c r="G97" i="3"/>
  <c r="Y97" i="3" s="1"/>
  <c r="U97" i="3"/>
  <c r="G72" i="3"/>
  <c r="Y72" i="3" s="1"/>
  <c r="U72" i="3"/>
  <c r="U68" i="3"/>
  <c r="G68" i="3"/>
  <c r="Y68" i="3" s="1"/>
  <c r="G93" i="3"/>
  <c r="Y93" i="3" s="1"/>
  <c r="U93" i="3"/>
  <c r="G89" i="3"/>
  <c r="Y89" i="3" s="1"/>
  <c r="U89" i="3"/>
  <c r="U78" i="3"/>
  <c r="G78" i="3"/>
  <c r="Y78" i="3" s="1"/>
  <c r="U87" i="3"/>
  <c r="U66" i="3"/>
  <c r="U65" i="3"/>
  <c r="V65" i="3"/>
  <c r="U16" i="3"/>
  <c r="G16" i="3"/>
  <c r="Y16" i="3" s="1"/>
  <c r="G2" i="3"/>
  <c r="Y2" i="3" s="1"/>
  <c r="J97" i="3"/>
  <c r="L97" i="3" s="1"/>
  <c r="J84" i="3"/>
  <c r="L84" i="3" s="1"/>
  <c r="J71" i="3"/>
  <c r="L71" i="3" s="1"/>
  <c r="J58" i="3"/>
  <c r="L58" i="3" s="1"/>
  <c r="J45" i="3"/>
  <c r="L45" i="3" s="1"/>
  <c r="J32" i="3"/>
  <c r="L32" i="3" s="1"/>
  <c r="J19" i="3"/>
  <c r="L19" i="3" s="1"/>
  <c r="J6" i="3"/>
  <c r="L6" i="3" s="1"/>
  <c r="U18" i="3"/>
  <c r="G18" i="3"/>
  <c r="Y18" i="3" s="1"/>
  <c r="V94" i="3"/>
  <c r="J13" i="3"/>
  <c r="L13" i="3" s="1"/>
  <c r="J25" i="3"/>
  <c r="L25" i="3" s="1"/>
  <c r="J37" i="3"/>
  <c r="L37" i="3" s="1"/>
  <c r="J49" i="3"/>
  <c r="L49" i="3" s="1"/>
  <c r="J61" i="3"/>
  <c r="L61" i="3" s="1"/>
  <c r="J73" i="3"/>
  <c r="L73" i="3" s="1"/>
  <c r="J85" i="3"/>
  <c r="L85" i="3" s="1"/>
  <c r="V2" i="3"/>
  <c r="J96" i="3"/>
  <c r="L96" i="3" s="1"/>
  <c r="J83" i="3"/>
  <c r="L83" i="3" s="1"/>
  <c r="J70" i="3"/>
  <c r="L70" i="3" s="1"/>
  <c r="J57" i="3"/>
  <c r="L57" i="3" s="1"/>
  <c r="J44" i="3"/>
  <c r="L44" i="3" s="1"/>
  <c r="J31" i="3"/>
  <c r="L31" i="3" s="1"/>
  <c r="J18" i="3"/>
  <c r="L18" i="3" s="1"/>
  <c r="U94" i="3"/>
  <c r="G86" i="3"/>
  <c r="Y86" i="3" s="1"/>
  <c r="S85" i="3"/>
  <c r="U83" i="3"/>
  <c r="S81" i="3"/>
  <c r="U76" i="3"/>
  <c r="G76" i="3"/>
  <c r="Y76" i="3" s="1"/>
  <c r="V68" i="3"/>
  <c r="S62" i="3"/>
  <c r="S56" i="3"/>
  <c r="U54" i="3"/>
  <c r="J22" i="2"/>
  <c r="J98" i="3"/>
  <c r="L98" i="3" s="1"/>
  <c r="J86" i="3"/>
  <c r="L86" i="3" s="1"/>
  <c r="J72" i="3"/>
  <c r="L72" i="3" s="1"/>
  <c r="J59" i="3"/>
  <c r="L59" i="3" s="1"/>
  <c r="J46" i="3"/>
  <c r="L46" i="3" s="1"/>
  <c r="J33" i="3"/>
  <c r="L33" i="3" s="1"/>
  <c r="J20" i="3"/>
  <c r="L20" i="3" s="1"/>
  <c r="J7" i="3"/>
  <c r="L7" i="3" s="1"/>
  <c r="V86" i="3"/>
  <c r="U64" i="3"/>
  <c r="G64" i="3"/>
  <c r="Y64" i="3" s="1"/>
  <c r="U58" i="3"/>
  <c r="G58" i="3"/>
  <c r="Y58" i="3" s="1"/>
  <c r="V52" i="3"/>
  <c r="V62" i="3"/>
  <c r="V56" i="3"/>
  <c r="U52" i="3"/>
  <c r="G52" i="3"/>
  <c r="Y52" i="3" s="1"/>
  <c r="J94" i="3"/>
  <c r="L94" i="3" s="1"/>
  <c r="J81" i="3"/>
  <c r="L81" i="3" s="1"/>
  <c r="J68" i="3"/>
  <c r="L68" i="3" s="1"/>
  <c r="J55" i="3"/>
  <c r="L55" i="3" s="1"/>
  <c r="J42" i="3"/>
  <c r="L42" i="3" s="1"/>
  <c r="J29" i="3"/>
  <c r="L29" i="3" s="1"/>
  <c r="J16" i="3"/>
  <c r="L16" i="3" s="1"/>
  <c r="J93" i="3"/>
  <c r="L93" i="3" s="1"/>
  <c r="J80" i="3"/>
  <c r="L80" i="3" s="1"/>
  <c r="J67" i="3"/>
  <c r="L67" i="3" s="1"/>
  <c r="J54" i="3"/>
  <c r="L54" i="3" s="1"/>
  <c r="J41" i="3"/>
  <c r="L41" i="3" s="1"/>
  <c r="J28" i="3"/>
  <c r="L28" i="3" s="1"/>
  <c r="J15" i="3"/>
  <c r="L15" i="3" s="1"/>
  <c r="S69" i="3"/>
  <c r="J95" i="3"/>
  <c r="L95" i="3" s="1"/>
  <c r="J82" i="3"/>
  <c r="L82" i="3" s="1"/>
  <c r="J69" i="3"/>
  <c r="L69" i="3" s="1"/>
  <c r="J56" i="3"/>
  <c r="L56" i="3" s="1"/>
  <c r="J43" i="3"/>
  <c r="L43" i="3" s="1"/>
  <c r="J30" i="3"/>
  <c r="L30" i="3" s="1"/>
  <c r="J17" i="3"/>
  <c r="L17" i="3" s="1"/>
  <c r="J4" i="3"/>
  <c r="L4" i="3" s="1"/>
  <c r="F22" i="2"/>
  <c r="V98" i="3"/>
  <c r="J92" i="3"/>
  <c r="L92" i="3" s="1"/>
  <c r="J79" i="3"/>
  <c r="L79" i="3" s="1"/>
  <c r="J66" i="3"/>
  <c r="L66" i="3" s="1"/>
  <c r="J53" i="3"/>
  <c r="L53" i="3" s="1"/>
  <c r="J40" i="3"/>
  <c r="L40" i="3" s="1"/>
  <c r="J27" i="3"/>
  <c r="L27" i="3" s="1"/>
  <c r="J14" i="3"/>
  <c r="L14" i="3" s="1"/>
  <c r="S87" i="3"/>
  <c r="S80" i="3"/>
  <c r="G74" i="3"/>
  <c r="Y74" i="3" s="1"/>
  <c r="S73" i="3"/>
  <c r="V63" i="3"/>
  <c r="U40" i="3"/>
  <c r="G40" i="3"/>
  <c r="Y40" i="3" s="1"/>
  <c r="V85" i="3"/>
  <c r="U28" i="3"/>
  <c r="G28" i="3"/>
  <c r="Y28" i="3" s="1"/>
  <c r="U56" i="3"/>
  <c r="V90" i="3"/>
  <c r="V74" i="3"/>
  <c r="V70" i="3"/>
  <c r="S68" i="3"/>
  <c r="U62" i="3"/>
  <c r="J100" i="3"/>
  <c r="L100" i="3" s="1"/>
  <c r="J88" i="3"/>
  <c r="L88" i="3" s="1"/>
  <c r="J75" i="3"/>
  <c r="L75" i="3" s="1"/>
  <c r="J62" i="3"/>
  <c r="L62" i="3" s="1"/>
  <c r="J48" i="3"/>
  <c r="L48" i="3" s="1"/>
  <c r="J35" i="3"/>
  <c r="L35" i="3" s="1"/>
  <c r="J22" i="3"/>
  <c r="L22" i="3" s="1"/>
  <c r="U90" i="3"/>
  <c r="S86" i="3"/>
  <c r="U77" i="3"/>
  <c r="V77" i="3"/>
  <c r="U22" i="3"/>
  <c r="G22" i="3"/>
  <c r="Y22" i="3" s="1"/>
  <c r="U14" i="3"/>
  <c r="G14" i="3"/>
  <c r="Y14" i="3" s="1"/>
  <c r="U12" i="3"/>
  <c r="G12" i="3"/>
  <c r="Y12" i="3" s="1"/>
  <c r="U10" i="3"/>
  <c r="G10" i="3"/>
  <c r="Y10" i="3" s="1"/>
  <c r="U8" i="3"/>
  <c r="G8" i="3"/>
  <c r="Y8" i="3" s="1"/>
  <c r="U6" i="3"/>
  <c r="G6" i="3"/>
  <c r="Y6" i="3" s="1"/>
  <c r="J2" i="3"/>
  <c r="L2" i="3" s="1"/>
  <c r="J89" i="3"/>
  <c r="L89" i="3" s="1"/>
  <c r="J76" i="3"/>
  <c r="L76" i="3" s="1"/>
  <c r="J63" i="3"/>
  <c r="L63" i="3" s="1"/>
  <c r="J50" i="3"/>
  <c r="L50" i="3" s="1"/>
  <c r="J36" i="3"/>
  <c r="L36" i="3" s="1"/>
  <c r="J23" i="3"/>
  <c r="L23" i="3" s="1"/>
  <c r="J99" i="3"/>
  <c r="L99" i="3" s="1"/>
  <c r="J87" i="3"/>
  <c r="L87" i="3" s="1"/>
  <c r="J74" i="3"/>
  <c r="L74" i="3" s="1"/>
  <c r="J60" i="3"/>
  <c r="L60" i="3" s="1"/>
  <c r="J47" i="3"/>
  <c r="L47" i="3" s="1"/>
  <c r="J34" i="3"/>
  <c r="L34" i="3" s="1"/>
  <c r="J21" i="3"/>
  <c r="L21" i="3" s="1"/>
  <c r="U84" i="3"/>
  <c r="U46" i="3"/>
  <c r="G46" i="3"/>
  <c r="Y46" i="3" s="1"/>
  <c r="U34" i="3"/>
  <c r="G34" i="3"/>
  <c r="Y34" i="3" s="1"/>
  <c r="U20" i="3"/>
  <c r="G20" i="3"/>
  <c r="Y20" i="3" s="1"/>
  <c r="S55" i="3"/>
  <c r="U49" i="3"/>
  <c r="V44" i="3"/>
  <c r="S43" i="3"/>
  <c r="U37" i="3"/>
  <c r="V32" i="3"/>
  <c r="S31" i="3"/>
  <c r="U25" i="3"/>
  <c r="S19" i="3"/>
  <c r="U13" i="3"/>
  <c r="S7" i="3"/>
  <c r="V15" i="3"/>
  <c r="S57" i="3"/>
  <c r="S45" i="3"/>
  <c r="S33" i="3"/>
  <c r="S21" i="3"/>
  <c r="V53" i="3"/>
  <c r="V41" i="3"/>
  <c r="V29" i="3"/>
  <c r="V17" i="3"/>
  <c r="S83" i="3"/>
  <c r="S71" i="3"/>
  <c r="S59" i="3"/>
  <c r="S47" i="3"/>
  <c r="S35" i="3"/>
  <c r="V24" i="3"/>
  <c r="S23" i="3"/>
  <c r="S11" i="3"/>
  <c r="V7" i="3"/>
  <c r="S61" i="3"/>
  <c r="S49" i="3"/>
  <c r="S37" i="3"/>
  <c r="S25" i="3"/>
  <c r="S13" i="3"/>
  <c r="V4" i="3"/>
  <c r="S75" i="3"/>
  <c r="S63" i="3"/>
  <c r="S51" i="3"/>
  <c r="S39" i="3"/>
  <c r="S27" i="3"/>
  <c r="S15" i="3"/>
  <c r="B343" i="6"/>
  <c r="B342" i="6"/>
  <c r="B346" i="6"/>
  <c r="C352" i="6"/>
  <c r="B347" i="6"/>
  <c r="B95" i="6"/>
  <c r="EB39" i="5"/>
  <c r="E24" i="2" l="1"/>
  <c r="T330" i="6"/>
  <c r="B31" i="5"/>
  <c r="Q27" i="5"/>
  <c r="AD16" i="5"/>
  <c r="AD15" i="5"/>
  <c r="EB35" i="5"/>
  <c r="AF3" i="5"/>
  <c r="D46" i="5" s="1"/>
  <c r="Q24" i="5"/>
  <c r="AF4" i="5"/>
  <c r="D47" i="5" s="1"/>
  <c r="AD4" i="5"/>
  <c r="ED26" i="5"/>
  <c r="EI4" i="5"/>
  <c r="AD43" i="5"/>
  <c r="Q26" i="5"/>
  <c r="Y23" i="5"/>
  <c r="Q23" i="5"/>
  <c r="EB50" i="5"/>
  <c r="AD44" i="5"/>
  <c r="Q25" i="5"/>
  <c r="AF2" i="5"/>
  <c r="D45" i="5" s="1"/>
  <c r="D48" i="5" s="1"/>
  <c r="Q29" i="5"/>
  <c r="EB21" i="5"/>
  <c r="ED25" i="5"/>
  <c r="Q30" i="5"/>
  <c r="L64" i="5"/>
  <c r="AD2" i="5"/>
  <c r="Q28" i="5"/>
  <c r="AD3" i="5"/>
  <c r="AD17" i="5"/>
  <c r="Y3" i="5"/>
  <c r="AD42" i="5"/>
  <c r="Q31" i="5"/>
  <c r="ED41" i="5"/>
  <c r="W217" i="6"/>
  <c r="X217" i="6" s="1"/>
  <c r="J4" i="4"/>
  <c r="S4" i="3"/>
  <c r="D24" i="2"/>
  <c r="I24" i="2" s="1"/>
  <c r="K325" i="6"/>
  <c r="L325" i="6" s="1"/>
  <c r="K324" i="6"/>
  <c r="L324" i="6" s="1"/>
  <c r="K326" i="6"/>
  <c r="B325" i="6"/>
  <c r="C325" i="6" s="1"/>
  <c r="V5" i="3"/>
  <c r="F24" i="2"/>
  <c r="H24" i="2" s="1"/>
  <c r="I3" i="3"/>
  <c r="I4" i="3" s="1"/>
  <c r="I5" i="3" s="1"/>
  <c r="G325" i="6"/>
  <c r="H325" i="6" s="1"/>
  <c r="EB49" i="5"/>
  <c r="AD29" i="5" s="1"/>
  <c r="AD28" i="5"/>
  <c r="EI2" i="5"/>
  <c r="EB47" i="5"/>
  <c r="AD30" i="5" s="1"/>
  <c r="H23" i="2"/>
  <c r="EB12" i="5"/>
  <c r="J3" i="3"/>
  <c r="L3" i="3" s="1"/>
  <c r="S3" i="3"/>
  <c r="W3" i="3"/>
  <c r="S2" i="3"/>
  <c r="C22" i="2"/>
  <c r="I22" i="2" s="1"/>
  <c r="T11" i="5"/>
  <c r="EI10" i="5" s="1"/>
  <c r="T10" i="5"/>
  <c r="B26" i="5"/>
  <c r="T329" i="6"/>
  <c r="B11" i="2"/>
  <c r="B17" i="2" s="1"/>
  <c r="B7" i="2" s="1"/>
  <c r="G326" i="6"/>
  <c r="H326" i="6" s="1"/>
  <c r="C349" i="6"/>
  <c r="B93" i="6"/>
  <c r="B324" i="6"/>
  <c r="C324" i="6" s="1"/>
  <c r="B332" i="6" s="1"/>
  <c r="G324" i="6"/>
  <c r="H324" i="6" s="1"/>
  <c r="B333" i="6" s="1"/>
  <c r="B336" i="6" s="1"/>
  <c r="F3" i="3"/>
  <c r="L329" i="6"/>
  <c r="K329" i="6" s="1"/>
  <c r="C329" i="6"/>
  <c r="H329" i="6"/>
  <c r="G329" i="6" s="1"/>
  <c r="T35" i="5"/>
  <c r="T36" i="5"/>
  <c r="AJ4" i="5"/>
  <c r="H22" i="2"/>
  <c r="B356" i="6"/>
  <c r="B37" i="5" s="1"/>
  <c r="EB11" i="5"/>
  <c r="F5" i="3"/>
  <c r="F4" i="3"/>
  <c r="K22" i="2"/>
  <c r="B18" i="2" s="1"/>
  <c r="B87" i="6"/>
  <c r="C346" i="6"/>
  <c r="C347" i="6"/>
  <c r="EB40" i="5"/>
  <c r="B88" i="6"/>
  <c r="Y3" i="3" l="1"/>
  <c r="B45" i="5"/>
  <c r="AE2" i="5"/>
  <c r="C45" i="5" s="1"/>
  <c r="AH2" i="5"/>
  <c r="F10" i="2"/>
  <c r="B60" i="5"/>
  <c r="AF16" i="5"/>
  <c r="D60" i="5" s="1"/>
  <c r="AE16" i="5"/>
  <c r="C60" i="5" s="1"/>
  <c r="AJ16" i="5"/>
  <c r="B59" i="5"/>
  <c r="AF15" i="5"/>
  <c r="D59" i="5" s="1"/>
  <c r="AG15" i="5"/>
  <c r="AE15" i="5"/>
  <c r="C59" i="5" s="1"/>
  <c r="AJ15" i="5"/>
  <c r="B68" i="5"/>
  <c r="AF28" i="5"/>
  <c r="AH28" i="5" s="1"/>
  <c r="AE30" i="5"/>
  <c r="C68" i="5" s="1"/>
  <c r="B12" i="2"/>
  <c r="B15" i="2" s="1"/>
  <c r="B16" i="2" s="1"/>
  <c r="AH43" i="5"/>
  <c r="AE43" i="5"/>
  <c r="C53" i="5" s="1"/>
  <c r="AF43" i="5"/>
  <c r="D53" i="5" s="1"/>
  <c r="B53" i="5"/>
  <c r="AJ43" i="5"/>
  <c r="B46" i="5"/>
  <c r="AH3" i="5"/>
  <c r="ED31" i="5"/>
  <c r="AE3" i="5"/>
  <c r="C46" i="5" s="1"/>
  <c r="EC51" i="5"/>
  <c r="EB30" i="5"/>
  <c r="EB31" i="5"/>
  <c r="EB51" i="5"/>
  <c r="H47" i="5"/>
  <c r="B341" i="6"/>
  <c r="B329" i="6"/>
  <c r="EB46" i="5"/>
  <c r="AE28" i="5"/>
  <c r="C66" i="5" s="1"/>
  <c r="ED22" i="5"/>
  <c r="B66" i="5"/>
  <c r="EI1" i="5"/>
  <c r="EI6" i="5" s="1"/>
  <c r="B67" i="5"/>
  <c r="AE29" i="5"/>
  <c r="C67" i="5" s="1"/>
  <c r="G3" i="3"/>
  <c r="U3" i="3"/>
  <c r="K23" i="2" s="1"/>
  <c r="AJ3" i="5"/>
  <c r="AA19" i="5"/>
  <c r="Z19" i="5"/>
  <c r="B47" i="5"/>
  <c r="ED32" i="5"/>
  <c r="AE4" i="5"/>
  <c r="C47" i="5" s="1"/>
  <c r="AH4" i="5"/>
  <c r="B52" i="5"/>
  <c r="AE42" i="5"/>
  <c r="C52" i="5" s="1"/>
  <c r="C55" i="5" s="1"/>
  <c r="AF42" i="5"/>
  <c r="D52" i="5" s="1"/>
  <c r="D55" i="5" s="1"/>
  <c r="AJ42" i="5"/>
  <c r="AA18" i="5"/>
  <c r="Z18" i="5"/>
  <c r="B338" i="6"/>
  <c r="B335" i="6"/>
  <c r="B340" i="6"/>
  <c r="B339" i="6"/>
  <c r="AF44" i="5"/>
  <c r="D54" i="5" s="1"/>
  <c r="B54" i="5"/>
  <c r="AE44" i="5"/>
  <c r="C54" i="5" s="1"/>
  <c r="AJ44" i="5"/>
  <c r="Z17" i="5"/>
  <c r="AA17" i="5"/>
  <c r="EF4" i="5"/>
  <c r="B61" i="5"/>
  <c r="AH17" i="5"/>
  <c r="AL17" i="5" s="1"/>
  <c r="G61" i="5" s="1"/>
  <c r="AF17" i="5"/>
  <c r="D61" i="5" s="1"/>
  <c r="AE17" i="5"/>
  <c r="C61" i="5" s="1"/>
  <c r="AJ17" i="5"/>
  <c r="AJ2" i="5"/>
  <c r="G4" i="3"/>
  <c r="Y4" i="3" s="1"/>
  <c r="U4" i="3"/>
  <c r="G5" i="3"/>
  <c r="Y5" i="3" s="1"/>
  <c r="U5" i="3"/>
  <c r="B91" i="6"/>
  <c r="B36" i="5"/>
  <c r="B89" i="6"/>
  <c r="F66" i="5" l="1"/>
  <c r="AN26" i="5"/>
  <c r="AN4" i="5"/>
  <c r="F47" i="5"/>
  <c r="EI9" i="5"/>
  <c r="EJ5" i="5" s="1"/>
  <c r="EB55" i="5"/>
  <c r="EE45" i="5"/>
  <c r="H59" i="5"/>
  <c r="H62" i="5" s="1"/>
  <c r="H52" i="5"/>
  <c r="B69" i="5"/>
  <c r="C62" i="5"/>
  <c r="E59" i="5"/>
  <c r="AK17" i="5"/>
  <c r="I61" i="5" s="1"/>
  <c r="H61" i="5"/>
  <c r="C69" i="5"/>
  <c r="AG43" i="5"/>
  <c r="AH15" i="5"/>
  <c r="B34" i="5"/>
  <c r="B97" i="6"/>
  <c r="B99" i="6" s="1"/>
  <c r="B112" i="6" s="1"/>
  <c r="B39" i="5" s="1"/>
  <c r="B357" i="6"/>
  <c r="B110" i="6"/>
  <c r="B38" i="5" s="1"/>
  <c r="EB37" i="5"/>
  <c r="EB38" i="5" s="1"/>
  <c r="H60" i="5"/>
  <c r="AJ30" i="5"/>
  <c r="AJ29" i="5"/>
  <c r="AJ28" i="5"/>
  <c r="F53" i="5"/>
  <c r="AN42" i="5"/>
  <c r="AH42" i="5"/>
  <c r="AH44" i="5"/>
  <c r="H46" i="5"/>
  <c r="AG28" i="5"/>
  <c r="AL3" i="5"/>
  <c r="G46" i="5" s="1"/>
  <c r="AL43" i="5"/>
  <c r="G53" i="5" s="1"/>
  <c r="D62" i="5"/>
  <c r="AN2" i="5"/>
  <c r="F45" i="5"/>
  <c r="F48" i="5" s="1"/>
  <c r="AK44" i="5"/>
  <c r="I54" i="5" s="1"/>
  <c r="H54" i="5"/>
  <c r="AG44" i="5"/>
  <c r="C48" i="5"/>
  <c r="H53" i="5"/>
  <c r="X15" i="5"/>
  <c r="Y14" i="5"/>
  <c r="AK2" i="5"/>
  <c r="I45" i="5" s="1"/>
  <c r="H45" i="5"/>
  <c r="H48" i="5" s="1"/>
  <c r="AG42" i="5"/>
  <c r="X3" i="3"/>
  <c r="V3" i="3"/>
  <c r="EE32" i="5"/>
  <c r="AG30" i="5"/>
  <c r="B62" i="5"/>
  <c r="AG2" i="5"/>
  <c r="EB32" i="5"/>
  <c r="EI3" i="5" s="1"/>
  <c r="EI7" i="5" s="1"/>
  <c r="EI8" i="5" s="1"/>
  <c r="EB34" i="5"/>
  <c r="EB33" i="5"/>
  <c r="Y22" i="5"/>
  <c r="Y4" i="5" s="1"/>
  <c r="F61" i="5"/>
  <c r="AN16" i="5"/>
  <c r="B55" i="5"/>
  <c r="AG3" i="5"/>
  <c r="AK3" i="5" s="1"/>
  <c r="AG16" i="5"/>
  <c r="AK16" i="5" s="1"/>
  <c r="I60" i="5" s="1"/>
  <c r="AL2" i="5"/>
  <c r="AG4" i="5"/>
  <c r="AG29" i="5"/>
  <c r="F46" i="5"/>
  <c r="AN3" i="5"/>
  <c r="AH16" i="5"/>
  <c r="B48" i="5"/>
  <c r="AL4" i="5"/>
  <c r="G47" i="5" s="1"/>
  <c r="AF29" i="5"/>
  <c r="AF30" i="5"/>
  <c r="D66" i="5"/>
  <c r="AG17" i="5"/>
  <c r="K24" i="2"/>
  <c r="I46" i="5" l="1"/>
  <c r="AK28" i="5"/>
  <c r="I66" i="5" s="1"/>
  <c r="H66" i="5"/>
  <c r="AN14" i="5"/>
  <c r="F59" i="5"/>
  <c r="F62" i="5" s="1"/>
  <c r="AL15" i="5"/>
  <c r="D68" i="5"/>
  <c r="AH30" i="5"/>
  <c r="AK29" i="5"/>
  <c r="I67" i="5" s="1"/>
  <c r="H67" i="5"/>
  <c r="AK15" i="5"/>
  <c r="D67" i="5"/>
  <c r="D69" i="5" s="1"/>
  <c r="AH29" i="5"/>
  <c r="H68" i="5"/>
  <c r="AM15" i="5"/>
  <c r="E53" i="5"/>
  <c r="AM43" i="5"/>
  <c r="AM28" i="5"/>
  <c r="J66" i="5" s="1"/>
  <c r="E66" i="5"/>
  <c r="E69" i="5" s="1"/>
  <c r="EB41" i="5"/>
  <c r="EB42" i="5" s="1"/>
  <c r="EE53" i="5"/>
  <c r="EE52" i="5"/>
  <c r="EB23" i="5" s="1"/>
  <c r="E52" i="5"/>
  <c r="AM42" i="5"/>
  <c r="AN15" i="5"/>
  <c r="F60" i="5"/>
  <c r="AL16" i="5"/>
  <c r="G60" i="5" s="1"/>
  <c r="AM29" i="5"/>
  <c r="J67" i="5" s="1"/>
  <c r="E67" i="5"/>
  <c r="AM2" i="5"/>
  <c r="E45" i="5"/>
  <c r="E48" i="5" s="1"/>
  <c r="AK43" i="5"/>
  <c r="I53" i="5" s="1"/>
  <c r="E46" i="5"/>
  <c r="AM3" i="5"/>
  <c r="E47" i="5"/>
  <c r="AM4" i="5"/>
  <c r="AK4" i="5"/>
  <c r="I47" i="5" s="1"/>
  <c r="I48" i="5" s="1"/>
  <c r="J48" i="5" s="1"/>
  <c r="H55" i="5"/>
  <c r="AL28" i="5"/>
  <c r="AD6" i="5"/>
  <c r="AD12" i="5"/>
  <c r="EB20" i="5" s="1"/>
  <c r="G45" i="5"/>
  <c r="G48" i="5" s="1"/>
  <c r="AD7" i="5"/>
  <c r="E68" i="5"/>
  <c r="AN43" i="5"/>
  <c r="F54" i="5"/>
  <c r="AL44" i="5"/>
  <c r="G54" i="5" s="1"/>
  <c r="AK42" i="5"/>
  <c r="EB56" i="5"/>
  <c r="ED57" i="5"/>
  <c r="AM17" i="5"/>
  <c r="E61" i="5"/>
  <c r="E62" i="5" s="1"/>
  <c r="AM16" i="5"/>
  <c r="E60" i="5"/>
  <c r="AM44" i="5"/>
  <c r="E54" i="5"/>
  <c r="AN41" i="5"/>
  <c r="F52" i="5"/>
  <c r="F55" i="5" s="1"/>
  <c r="AL42" i="5"/>
  <c r="K61" i="5" l="1"/>
  <c r="J61" i="5"/>
  <c r="T27" i="5"/>
  <c r="T28" i="5"/>
  <c r="G66" i="5"/>
  <c r="G69" i="5" s="1"/>
  <c r="I52" i="5"/>
  <c r="I55" i="5" s="1"/>
  <c r="J55" i="5" s="1"/>
  <c r="AD51" i="5"/>
  <c r="F67" i="5"/>
  <c r="F69" i="5" s="1"/>
  <c r="AN27" i="5"/>
  <c r="AL29" i="5"/>
  <c r="G67" i="5" s="1"/>
  <c r="H69" i="5"/>
  <c r="J45" i="5"/>
  <c r="K45" i="5"/>
  <c r="AN28" i="5"/>
  <c r="F68" i="5"/>
  <c r="AL30" i="5"/>
  <c r="G68" i="5" s="1"/>
  <c r="AD19" i="5"/>
  <c r="G59" i="5"/>
  <c r="G62" i="5" s="1"/>
  <c r="AD20" i="5"/>
  <c r="AD25" i="5"/>
  <c r="J59" i="5"/>
  <c r="K59" i="5"/>
  <c r="J47" i="5"/>
  <c r="K47" i="5"/>
  <c r="J52" i="5"/>
  <c r="K52" i="5"/>
  <c r="K46" i="5"/>
  <c r="J46" i="5"/>
  <c r="I69" i="5"/>
  <c r="J69" i="5" s="1"/>
  <c r="AM30" i="5"/>
  <c r="J68" i="5" s="1"/>
  <c r="I59" i="5"/>
  <c r="I62" i="5" s="1"/>
  <c r="J62" i="5" s="1"/>
  <c r="AD24" i="5"/>
  <c r="AD11" i="5"/>
  <c r="K53" i="5"/>
  <c r="J53" i="5"/>
  <c r="AD52" i="5"/>
  <c r="AD47" i="5"/>
  <c r="G52" i="5"/>
  <c r="G55" i="5" s="1"/>
  <c r="AD46" i="5"/>
  <c r="AK30" i="5"/>
  <c r="I68" i="5" s="1"/>
  <c r="E55" i="5"/>
  <c r="K54" i="5"/>
  <c r="J54" i="5"/>
  <c r="B33" i="5"/>
  <c r="EF3" i="5"/>
  <c r="EB25" i="5"/>
  <c r="J60" i="5"/>
  <c r="K60" i="5"/>
  <c r="AD8" i="5"/>
  <c r="AD9" i="5" s="1"/>
  <c r="AD10" i="5"/>
  <c r="EB16" i="5"/>
  <c r="EB19" i="5" s="1"/>
  <c r="EB15" i="5"/>
  <c r="EB18" i="5" s="1"/>
  <c r="AD21" i="5" l="1"/>
  <c r="AD22" i="5" s="1"/>
  <c r="AD37" i="5"/>
  <c r="AD32" i="5"/>
  <c r="AD48" i="5"/>
  <c r="AD49" i="5" s="1"/>
  <c r="AD50" i="5"/>
  <c r="AD38" i="5"/>
  <c r="EC18" i="5"/>
  <c r="ED18" i="5" s="1"/>
  <c r="EE18" i="5" s="1"/>
  <c r="B19" i="2" s="1"/>
  <c r="B82" i="6"/>
  <c r="B83" i="6" s="1"/>
  <c r="AD33" i="5"/>
  <c r="EB29" i="5"/>
  <c r="EF7" i="5"/>
  <c r="EF10" i="5"/>
  <c r="EB27" i="5"/>
  <c r="EF8" i="5"/>
  <c r="EF2" i="5"/>
  <c r="EB26" i="5"/>
  <c r="EF5" i="5"/>
  <c r="EB24" i="5"/>
  <c r="EB28" i="5" s="1"/>
  <c r="AD34" i="5" l="1"/>
  <c r="AD35" i="5" s="1"/>
  <c r="B84" i="6"/>
  <c r="B32" i="5"/>
  <c r="AD23" i="5"/>
  <c r="AD3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Cuong dep trai</author>
  </authors>
  <commentList>
    <comment ref="B5" authorId="0" shapeId="0" xr:uid="{00000000-0006-0000-0400-000001000000}">
      <text>
        <r>
          <rPr>
            <sz val="11"/>
            <color rgb="FF000000"/>
            <rFont val="Calibri"/>
            <charset val="1"/>
            <scheme val="minor"/>
          </rPr>
          <t>Current live mid-price of EURUSD. Drives all trend calculations.</t>
        </r>
      </text>
    </comment>
    <comment ref="E5" authorId="0" shapeId="0" xr:uid="{00000000-0006-0000-0400-000002000000}">
      <text>
        <r>
          <rPr>
            <sz val="11"/>
            <color rgb="FF000000"/>
            <rFont val="Calibri"/>
            <charset val="1"/>
            <scheme val="minor"/>
          </rPr>
          <t>Previous Month High. Major monthly liquidity level.</t>
        </r>
      </text>
    </comment>
    <comment ref="B6" authorId="0" shapeId="0" xr:uid="{00000000-0006-0000-0400-000003000000}">
      <text>
        <r>
          <rPr>
            <sz val="11"/>
            <color rgb="FF000000"/>
            <rFont val="Calibri"/>
            <charset val="1"/>
            <scheme val="minor"/>
          </rPr>
          <t>EMA 9 from 15-minute chart. Short-term momentum. If price &gt; EMA9, bullish pressure.</t>
        </r>
      </text>
    </comment>
    <comment ref="E6" authorId="0" shapeId="0" xr:uid="{00000000-0006-0000-0400-000004000000}">
      <text>
        <r>
          <rPr>
            <sz val="11"/>
            <color rgb="FF000000"/>
            <rFont val="Calibri"/>
            <charset val="1"/>
            <scheme val="minor"/>
          </rPr>
          <t>Previous Month Low. Major monthly support level.</t>
        </r>
      </text>
    </comment>
    <comment ref="B7" authorId="0" shapeId="0" xr:uid="{00000000-0006-0000-0400-000005000000}">
      <text>
        <r>
          <rPr>
            <sz val="11"/>
            <color rgb="FF000000"/>
            <rFont val="Calibri"/>
            <charset val="1"/>
            <scheme val="minor"/>
          </rPr>
          <t>EMA 21 from 15-min chart. Cross with EMA9 = momentum shift signal.</t>
        </r>
      </text>
    </comment>
    <comment ref="E7" authorId="0" shapeId="0" xr:uid="{00000000-0006-0000-0400-000006000000}">
      <text>
        <r>
          <rPr>
            <sz val="11"/>
            <color rgb="FF000000"/>
            <rFont val="Calibri"/>
            <charset val="1"/>
            <scheme val="minor"/>
          </rPr>
          <t>Previous Week High. Key liquidity level — price often sweeps these.</t>
        </r>
      </text>
    </comment>
    <comment ref="B8" authorId="0" shapeId="0" xr:uid="{00000000-0006-0000-0400-000007000000}">
      <text>
        <r>
          <rPr>
            <sz val="11"/>
            <color rgb="FF000000"/>
            <rFont val="Calibri"/>
            <charset val="1"/>
            <scheme val="minor"/>
          </rPr>
          <t>EMA 50 on 15min. Key short-term structure level.</t>
        </r>
      </text>
    </comment>
    <comment ref="E8" authorId="0" shapeId="0" xr:uid="{00000000-0006-0000-0400-000008000000}">
      <text>
        <r>
          <rPr>
            <sz val="11"/>
            <color rgb="FF000000"/>
            <rFont val="Calibri"/>
            <charset val="1"/>
            <scheme val="minor"/>
          </rPr>
          <t>Previous Week Low. Key liquidity level — price often sweeps these.</t>
        </r>
      </text>
    </comment>
    <comment ref="B9" authorId="0" shapeId="0" xr:uid="{00000000-0006-0000-0400-000009000000}">
      <text>
        <r>
          <rPr>
            <sz val="11"/>
            <color rgb="FF000000"/>
            <rFont val="Calibri"/>
            <charset val="1"/>
            <scheme val="minor"/>
          </rPr>
          <t>200 SMA on 15min = major intraday support or resistance zone.</t>
        </r>
      </text>
    </comment>
    <comment ref="E9" authorId="0" shapeId="0" xr:uid="{00000000-0006-0000-0400-00000A000000}">
      <text>
        <r>
          <rPr>
            <sz val="11"/>
            <color rgb="FF000000"/>
            <rFont val="Calibri"/>
            <charset val="1"/>
            <scheme val="minor"/>
          </rPr>
          <t>Previous Day High. Nearest intraday resistance.</t>
        </r>
      </text>
    </comment>
    <comment ref="B10" authorId="0" shapeId="0" xr:uid="{00000000-0006-0000-0400-00000B000000}">
      <text>
        <r>
          <rPr>
            <sz val="11"/>
            <color rgb="FF000000"/>
            <rFont val="Calibri"/>
            <charset val="1"/>
            <scheme val="minor"/>
          </rPr>
          <t>1H EMA50 = primary intraday trend filter. Price above = bullish context.</t>
        </r>
      </text>
    </comment>
    <comment ref="E10" authorId="0" shapeId="0" xr:uid="{00000000-0006-0000-0400-00000C000000}">
      <text>
        <r>
          <rPr>
            <sz val="11"/>
            <color rgb="FF000000"/>
            <rFont val="Calibri"/>
            <charset val="1"/>
            <scheme val="minor"/>
          </rPr>
          <t>Previous Day Low. Nearest intraday support.</t>
        </r>
      </text>
    </comment>
    <comment ref="B11" authorId="0" shapeId="0" xr:uid="{00000000-0006-0000-0400-00000D000000}">
      <text>
        <r>
          <rPr>
            <sz val="11"/>
            <color rgb="FF000000"/>
            <rFont val="Calibri"/>
            <charset val="1"/>
            <scheme val="minor"/>
          </rPr>
          <t>4H EMA50 = medium-term bias. Core filter for LONG vs SHORT decision.</t>
        </r>
      </text>
    </comment>
    <comment ref="E11" authorId="0" shapeId="0" xr:uid="{00000000-0006-0000-0400-00000E000000}">
      <text>
        <r>
          <rPr>
            <sz val="11"/>
            <color rgb="FF000000"/>
            <rFont val="Calibri"/>
            <charset val="1"/>
            <scheme val="minor"/>
          </rPr>
          <t>Equal Highs above market = liquidity pool. May be targeted by stop hunt.</t>
        </r>
      </text>
    </comment>
    <comment ref="B12" authorId="0" shapeId="0" xr:uid="{00000000-0006-0000-0400-00000F000000}">
      <text>
        <r>
          <rPr>
            <sz val="11"/>
            <color rgb="FF000000"/>
            <rFont val="Calibri"/>
            <charset val="1"/>
            <scheme val="minor"/>
          </rPr>
          <t>Daily EMA50 = long-term trend anchor.</t>
        </r>
      </text>
    </comment>
    <comment ref="E12" authorId="0" shapeId="0" xr:uid="{00000000-0006-0000-0400-000010000000}">
      <text>
        <r>
          <rPr>
            <sz val="11"/>
            <color rgb="FF000000"/>
            <rFont val="Calibri"/>
            <charset val="1"/>
            <scheme val="minor"/>
          </rPr>
          <t>Equal Lows below market = buy-side liquidity below price.</t>
        </r>
      </text>
    </comment>
    <comment ref="B13" authorId="0" shapeId="0" xr:uid="{00000000-0006-0000-0400-000011000000}">
      <text>
        <r>
          <rPr>
            <sz val="11"/>
            <color rgb="FF000000"/>
            <rFont val="Calibri"/>
            <charset val="1"/>
            <scheme val="minor"/>
          </rPr>
          <t>Daily EMA100 = intermediate trend level between EMA50 and EMA200.</t>
        </r>
      </text>
    </comment>
    <comment ref="E13" authorId="0" shapeId="0" xr:uid="{00000000-0006-0000-0400-000012000000}">
      <text>
        <r>
          <rPr>
            <sz val="11"/>
            <color rgb="FF000000"/>
            <rFont val="Calibri"/>
            <charset val="1"/>
            <scheme val="minor"/>
          </rPr>
          <t>15m Swing Leg Low — lower bound of most recent impulse move.</t>
        </r>
      </text>
    </comment>
    <comment ref="B14" authorId="0" shapeId="0" xr:uid="{00000000-0006-0000-0400-000013000000}">
      <text>
        <r>
          <rPr>
            <sz val="11"/>
            <color rgb="FF000000"/>
            <rFont val="Calibri"/>
            <charset val="1"/>
            <scheme val="minor"/>
          </rPr>
          <t>Daily EMA200 = The golden line. Above = long-term bull regime.</t>
        </r>
      </text>
    </comment>
    <comment ref="E14" authorId="0" shapeId="0" xr:uid="{00000000-0006-0000-0400-000014000000}">
      <text>
        <r>
          <rPr>
            <sz val="11"/>
            <color rgb="FF000000"/>
            <rFont val="Calibri"/>
            <charset val="1"/>
            <scheme val="minor"/>
          </rPr>
          <t>15m Swing Leg High — upper bound of most recent impulse move.</t>
        </r>
      </text>
    </comment>
    <comment ref="K14" authorId="0" shapeId="0" xr:uid="{00000000-0006-0000-0400-000015000000}">
      <text>
        <r>
          <rPr>
            <sz val="11"/>
            <color rgb="FF000000"/>
            <rFont val="Calibri"/>
            <charset val="1"/>
            <scheme val="minor"/>
          </rPr>
          <t>Options gamma clamp percentage. Controls how much gamma influences price.</t>
        </r>
      </text>
    </comment>
    <comment ref="B15" authorId="0" shapeId="0" xr:uid="{00000000-0006-0000-0400-000016000000}">
      <text>
        <r>
          <rPr>
            <sz val="11"/>
            <color rgb="FF000000"/>
            <rFont val="Calibri"/>
            <charset val="1"/>
            <scheme val="minor"/>
          </rPr>
          <t>Weekly EMA50 = major trend filter. Changes slowly.</t>
        </r>
      </text>
    </comment>
    <comment ref="E15" authorId="0" shapeId="0" xr:uid="{00000000-0006-0000-0400-000017000000}">
      <text>
        <r>
          <rPr>
            <sz val="11"/>
            <color rgb="FF000000"/>
            <rFont val="Calibri"/>
            <charset val="1"/>
            <scheme val="minor"/>
          </rPr>
          <t>Current session low — intraday floor.</t>
        </r>
      </text>
    </comment>
    <comment ref="K15" authorId="0" shapeId="0" xr:uid="{00000000-0006-0000-0400-000018000000}">
      <text>
        <r>
          <rPr>
            <sz val="11"/>
            <color rgb="FF000000"/>
            <rFont val="Calibri"/>
            <charset val="1"/>
            <scheme val="minor"/>
          </rPr>
          <t>Tolerance zone for price proximity to strike levels.</t>
        </r>
      </text>
    </comment>
    <comment ref="B16" authorId="0" shapeId="0" xr:uid="{00000000-0006-0000-0400-000019000000}">
      <text>
        <r>
          <rPr>
            <sz val="11"/>
            <color rgb="FF000000"/>
            <rFont val="Calibri"/>
            <charset val="1"/>
            <scheme val="minor"/>
          </rPr>
          <t>RSI(14) on 15min chart. Below 45 = bearish momentum. Above 55 = bullish.</t>
        </r>
      </text>
    </comment>
    <comment ref="E16" authorId="0" shapeId="0" xr:uid="{00000000-0006-0000-0400-00001A000000}">
      <text>
        <r>
          <rPr>
            <sz val="11"/>
            <color rgb="FF000000"/>
            <rFont val="Calibri"/>
            <charset val="1"/>
            <scheme val="minor"/>
          </rPr>
          <t>Current session high — intraday ceiling.</t>
        </r>
      </text>
    </comment>
    <comment ref="K16" authorId="0" shapeId="0" xr:uid="{00000000-0006-0000-0400-00001B000000}">
      <text>
        <r>
          <rPr>
            <sz val="11"/>
            <color rgb="FF000000"/>
            <rFont val="Calibri"/>
            <charset val="1"/>
            <scheme val="minor"/>
          </rPr>
          <t>Position size weight for Fib 0.382 entry rung. Default: 0.20. Must sum to 1.0.</t>
        </r>
      </text>
    </comment>
    <comment ref="E17" authorId="0" shapeId="0" xr:uid="{00000000-0006-0000-0400-00001C000000}">
      <text>
        <r>
          <rPr>
            <sz val="11"/>
            <color rgb="FF000000"/>
            <rFont val="Calibri"/>
            <charset val="1"/>
            <scheme val="minor"/>
          </rPr>
          <t>4H HTF Swing Low — higher timeframe support structure.</t>
        </r>
      </text>
    </comment>
    <comment ref="K17" authorId="0" shapeId="0" xr:uid="{00000000-0006-0000-0400-00001D000000}">
      <text>
        <r>
          <rPr>
            <sz val="11"/>
            <color rgb="FF000000"/>
            <rFont val="Calibri"/>
            <charset val="1"/>
            <scheme val="minor"/>
          </rPr>
          <t>Position size weight for Fib 0.500 entry rung. Default: 0.35.</t>
        </r>
      </text>
    </comment>
    <comment ref="B18" authorId="0" shapeId="0" xr:uid="{00000000-0006-0000-0400-00001E000000}">
      <text>
        <r>
          <rPr>
            <sz val="11"/>
            <color rgb="FF000000"/>
            <rFont val="Calibri"/>
            <charset val="1"/>
            <scheme val="minor"/>
          </rPr>
          <t>RSI(14) on 1H chart. Below 45 supports LONG bias in scoring engine.</t>
        </r>
      </text>
    </comment>
    <comment ref="E18" authorId="0" shapeId="0" xr:uid="{00000000-0006-0000-0400-00001F000000}">
      <text>
        <r>
          <rPr>
            <sz val="11"/>
            <color rgb="FF000000"/>
            <rFont val="Calibri"/>
            <charset val="1"/>
            <scheme val="minor"/>
          </rPr>
          <t>4H HTF Swing High — higher timeframe resistance structure.</t>
        </r>
      </text>
    </comment>
    <comment ref="K18" authorId="0" shapeId="0" xr:uid="{00000000-0006-0000-0400-000020000000}">
      <text>
        <r>
          <rPr>
            <sz val="11"/>
            <color rgb="FF000000"/>
            <rFont val="Calibri"/>
            <charset val="1"/>
            <scheme val="minor"/>
          </rPr>
          <t>Position size weight for Fib 0.618 entry rung. Default: 0.45.</t>
        </r>
      </text>
    </comment>
    <comment ref="B19" authorId="0" shapeId="0" xr:uid="{00000000-0006-0000-0400-000021000000}">
      <text>
        <r>
          <rPr>
            <sz val="11"/>
            <color rgb="FF000000"/>
            <rFont val="Calibri"/>
            <charset val="1"/>
            <scheme val="minor"/>
          </rPr>
          <t>RSI(14) on 4H chart. HTF momentum confirmation.</t>
        </r>
      </text>
    </comment>
    <comment ref="K19" authorId="0" shapeId="0" xr:uid="{00000000-0006-0000-0400-000022000000}">
      <text>
        <r>
          <rPr>
            <sz val="11"/>
            <color rgb="FF000000"/>
            <rFont val="Calibri"/>
            <charset val="1"/>
            <scheme val="minor"/>
          </rPr>
          <t>Position size in units. Auto-calculated from risk parameters.</t>
        </r>
      </text>
    </comment>
    <comment ref="B20" authorId="0" shapeId="0" xr:uid="{00000000-0006-0000-0400-000023000000}">
      <text>
        <r>
          <rPr>
            <sz val="11"/>
            <color rgb="FF000000"/>
            <rFont val="Calibri"/>
            <charset val="1"/>
            <scheme val="minor"/>
          </rPr>
          <t>Average True Range on 15min. Auto-sets stop floor in pips.</t>
        </r>
      </text>
    </comment>
    <comment ref="K20" authorId="0" shapeId="0" xr:uid="{00000000-0006-0000-0400-000024000000}">
      <text>
        <r>
          <rPr>
            <sz val="11"/>
            <color rgb="FF000000"/>
            <rFont val="Calibri"/>
            <charset val="1"/>
            <scheme val="minor"/>
          </rPr>
          <t>Minimum R-multiple to accept a trade. Below this threshold = skip. Default: 3.</t>
        </r>
      </text>
    </comment>
    <comment ref="B21" authorId="0" shapeId="0" xr:uid="{00000000-0006-0000-0400-000025000000}">
      <text>
        <r>
          <rPr>
            <sz val="11"/>
            <color rgb="FF000000"/>
            <rFont val="Calibri"/>
            <charset val="1"/>
            <scheme val="minor"/>
          </rPr>
          <t>Average Daily Range in pips. Helps gauge if TP target is realistic today.</t>
        </r>
      </text>
    </comment>
    <comment ref="C24" authorId="0" shapeId="0" xr:uid="{00000000-0006-0000-0400-000026000000}">
      <text>
        <r>
          <rPr>
            <sz val="11"/>
            <color rgb="FF000000"/>
            <rFont val="Calibri"/>
            <charset val="1"/>
            <scheme val="minor"/>
          </rPr>
          <t>Break of Structure on 1D — most recent confirmed BOS direction (from your chart).</t>
        </r>
      </text>
    </comment>
    <comment ref="D24" authorId="0" shapeId="0" xr:uid="{00000000-0006-0000-0400-000027000000}">
      <text>
        <r>
          <rPr>
            <sz val="11"/>
            <color rgb="FF000000"/>
            <rFont val="Calibri"/>
            <charset val="1"/>
            <scheme val="minor"/>
          </rPr>
          <t>Change of Character on 1D — signals potential trend reversal. Observe manually.</t>
        </r>
      </text>
    </comment>
    <comment ref="C25" authorId="0" shapeId="0" xr:uid="{00000000-0006-0000-0400-000028000000}">
      <text>
        <r>
          <rPr>
            <sz val="11"/>
            <color rgb="FF000000"/>
            <rFont val="Calibri"/>
            <charset val="1"/>
            <scheme val="minor"/>
          </rPr>
          <t>Break of Structure on 4H — most recent confirmed BOS direction.</t>
        </r>
      </text>
    </comment>
    <comment ref="D25" authorId="0" shapeId="0" xr:uid="{00000000-0006-0000-0400-000029000000}">
      <text>
        <r>
          <rPr>
            <sz val="11"/>
            <color rgb="FF000000"/>
            <rFont val="Calibri"/>
            <charset val="1"/>
            <scheme val="minor"/>
          </rPr>
          <t>Change of Character on 4H — signals potential trend reversal.</t>
        </r>
      </text>
    </comment>
    <comment ref="C26" authorId="0" shapeId="0" xr:uid="{00000000-0006-0000-0400-00002A000000}">
      <text>
        <r>
          <rPr>
            <sz val="11"/>
            <color rgb="FF000000"/>
            <rFont val="Calibri"/>
            <charset val="1"/>
            <scheme val="minor"/>
          </rPr>
          <t>Break of Structure on 1H — most recent confirmed BOS direction.</t>
        </r>
      </text>
    </comment>
    <comment ref="D26" authorId="0" shapeId="0" xr:uid="{00000000-0006-0000-0400-00002B000000}">
      <text>
        <r>
          <rPr>
            <sz val="11"/>
            <color rgb="FF000000"/>
            <rFont val="Calibri"/>
            <charset val="1"/>
            <scheme val="minor"/>
          </rPr>
          <t>Change of Character on 1H — signals potential trend reversal.</t>
        </r>
      </text>
    </comment>
    <comment ref="C27" authorId="0" shapeId="0" xr:uid="{00000000-0006-0000-0400-00002C000000}">
      <text>
        <r>
          <rPr>
            <sz val="11"/>
            <color rgb="FF000000"/>
            <rFont val="Calibri"/>
            <charset val="1"/>
            <scheme val="minor"/>
          </rPr>
          <t>Break of Structure on 15M — most recent confirmed BOS direction.</t>
        </r>
      </text>
    </comment>
    <comment ref="D27" authorId="0" shapeId="0" xr:uid="{00000000-0006-0000-0400-00002D000000}">
      <text>
        <r>
          <rPr>
            <sz val="11"/>
            <color rgb="FF000000"/>
            <rFont val="Calibri"/>
            <charset val="1"/>
            <scheme val="minor"/>
          </rPr>
          <t>Change of Character on 15M — signals potential trend reversal.</t>
        </r>
      </text>
    </comment>
    <comment ref="B31" authorId="0" shapeId="0" xr:uid="{00000000-0006-0000-0400-00002E000000}">
      <text>
        <r>
          <rPr>
            <sz val="11"/>
            <color rgb="FF000000"/>
            <rFont val="Calibri"/>
            <charset val="1"/>
            <scheme val="minor"/>
          </rPr>
          <t>AUTO. Do not edit. Determined by HTF EMA alignment across 1D + 4H.</t>
        </r>
      </text>
    </comment>
    <comment ref="B33" authorId="0" shapeId="0" xr:uid="{00000000-0006-0000-0400-00002F000000}">
      <text>
        <r>
          <rPr>
            <sz val="11"/>
            <color rgb="FF000000"/>
            <rFont val="Calibri"/>
            <charset val="1"/>
            <scheme val="minor"/>
          </rPr>
          <t>AUTO. CoreLong=follow trend; A+Long=premium entry; CTshort=fade; Avoid=no trade.</t>
        </r>
      </text>
    </comment>
    <comment ref="T37" authorId="0" shapeId="0" xr:uid="{00000000-0006-0000-0400-000030000000}">
      <text>
        <r>
          <rPr>
            <sz val="11"/>
            <color rgb="FF000000"/>
            <rFont val="Calibri"/>
            <charset val="1"/>
            <scheme val="minor"/>
          </rPr>
          <t>Options gamma clamp percentage. Controls how much gamma influences price.</t>
        </r>
      </text>
    </comment>
  </commentList>
</comments>
</file>

<file path=xl/sharedStrings.xml><?xml version="1.0" encoding="utf-8"?>
<sst xmlns="http://schemas.openxmlformats.org/spreadsheetml/2006/main" count="1205" uniqueCount="755">
  <si>
    <t>FOREX TRADING WORKBOOK — USER GUIDE</t>
  </si>
  <si>
    <t>Version 1.0  |  Ready for distribution</t>
  </si>
  <si>
    <t xml:space="preserve">  SECTION 1 — COLOR GUIDE</t>
  </si>
  <si>
    <t xml:space="preserve">  ■  INPUT CELL</t>
  </si>
  <si>
    <t>YOU enter data here — these are your inputs</t>
  </si>
  <si>
    <t xml:space="preserve">  ■  FORMULA CELL</t>
  </si>
  <si>
    <t>Auto-calculated by the workbook — do NOT edit</t>
  </si>
  <si>
    <t xml:space="preserve">  SECTION 2 — HOW THIS WORKBOOK WORKS</t>
  </si>
  <si>
    <t xml:space="preserve">  This workbook has 5 tabs:</t>
  </si>
  <si>
    <t xml:space="preserve">  1.  Instructions</t>
  </si>
  <si>
    <t>You are here. Read this first.</t>
  </si>
  <si>
    <t xml:space="preserve">  2.  Summary</t>
  </si>
  <si>
    <t>Monthly performance dashboard. Fill once per month.</t>
  </si>
  <si>
    <t xml:space="preserve">  3.  Daily Log</t>
  </si>
  <si>
    <t>Your daily trading journal. Fill each trading day.</t>
  </si>
  <si>
    <t xml:space="preserve">  4.  Raw daily data</t>
  </si>
  <si>
    <t>Paste your broker trade history here daily.</t>
  </si>
  <si>
    <t xml:space="preserve">  5.  Setup Planner</t>
  </si>
  <si>
    <t>Fill before each trading session for auto trade plan.</t>
  </si>
  <si>
    <t xml:space="preserve">  Data Flow:</t>
  </si>
  <si>
    <t xml:space="preserve">      Raw daily data  ➜  Daily Log  ➜  Summary          (automatic aggregation)</t>
  </si>
  <si>
    <t xml:space="preserve">      Your inputs  ➜  Setup Planner  ➜  Trade Plan     (automatic calculation)</t>
  </si>
  <si>
    <t xml:space="preserve">  SECTION 3 — SUMMARY TAB</t>
  </si>
  <si>
    <t xml:space="preserve">  Fill these 6 cells at the start of each month:</t>
  </si>
  <si>
    <t xml:space="preserve">  Monthly Target ($)</t>
  </si>
  <si>
    <t>How much you aim to make this month</t>
  </si>
  <si>
    <t xml:space="preserve">  Active Trading Days</t>
  </si>
  <si>
    <t>How many days you plan to trade</t>
  </si>
  <si>
    <t xml:space="preserve">  Weeks in Cycle</t>
  </si>
  <si>
    <t>Usually 4</t>
  </si>
  <si>
    <t xml:space="preserve">  Risk % per trade</t>
  </si>
  <si>
    <t>e.g. 0.07 = 7% of NAV</t>
  </si>
  <si>
    <t xml:space="preserve">  Max Daily Loss (R)</t>
  </si>
  <si>
    <t>e.g. 2 = stop after -2R intraday</t>
  </si>
  <si>
    <t xml:space="preserve">  Current NAV ($)</t>
  </si>
  <si>
    <t>Your account balance on day 1</t>
  </si>
  <si>
    <t xml:space="preserve">  Everything else auto-calculates:</t>
  </si>
  <si>
    <t xml:space="preserve">  Projected P&amp;L</t>
  </si>
  <si>
    <t>Forecast if you maintain current pace</t>
  </si>
  <si>
    <t xml:space="preserve">  Required R/Day</t>
  </si>
  <si>
    <t>How many R you need each remaining day</t>
  </si>
  <si>
    <t xml:space="preserve">  Weekly Table</t>
  </si>
  <si>
    <t>Auto-summary for each of the 4 weeks</t>
  </si>
  <si>
    <t xml:space="preserve">  SECTION 4 — DAILY LOG TAB</t>
  </si>
  <si>
    <t xml:space="preserve">  Each trading day, fill only these 4 columns:</t>
  </si>
  <si>
    <t xml:space="preserve">  Column A</t>
  </si>
  <si>
    <t>Today's date</t>
  </si>
  <si>
    <t xml:space="preserve">  Column B</t>
  </si>
  <si>
    <t>Week of the cycle (1, 2, 3, or 4)</t>
  </si>
  <si>
    <t xml:space="preserve">  Column D</t>
  </si>
  <si>
    <t>Y if you traded, N if not</t>
  </si>
  <si>
    <t xml:space="preserve">  Column M</t>
  </si>
  <si>
    <t>Notes — psychology, conditions, lessons</t>
  </si>
  <si>
    <t xml:space="preserve">  ⚠  Do NOT touch columns E–L, N–Y — they auto-calculate.</t>
  </si>
  <si>
    <t xml:space="preserve">  Column reference:</t>
  </si>
  <si>
    <t xml:space="preserve">  E=NAV | F=Risk$ | G=MaxLoss | H=P&amp;L | I=CumPnL | J=WeekPnL | K=Target | L=Variance</t>
  </si>
  <si>
    <t xml:space="preserve">  N=#Trades | O=#Wins | P=#Loss | Q=Win$ | R=Loss$ | S=WinRate | T=R:R | U=DailyR | V=Loss%</t>
  </si>
  <si>
    <t xml:space="preserve">  SECTION 5 — RAW DAILY DATA TAB</t>
  </si>
  <si>
    <t xml:space="preserve">  How to import from your broker (MT4/MT5):</t>
  </si>
  <si>
    <t xml:space="preserve">      Step 1:   In MT4/MT5, go to Account History</t>
  </si>
  <si>
    <t xml:space="preserve">      Step 2:   Right-click → Save as Report → select date range</t>
  </si>
  <si>
    <t xml:space="preserve">      Step 3:   Open exported file, copy: Symbol | Name | Side | Qty | Price | Profit | DealID | Time</t>
  </si>
  <si>
    <t xml:space="preserve">      Step 4:   Delete rows 2+ in 'Raw daily data' tab</t>
  </si>
  <si>
    <t xml:space="preserve">      Step 5:   Paste data starting from row 2, columns A–H</t>
  </si>
  <si>
    <t xml:space="preserve">  ⚠  IMPORTANT:</t>
  </si>
  <si>
    <t xml:space="preserve">      · Time format must be:  "Wed, 23 Apr 2026 09:00:00 GMT"</t>
  </si>
  <si>
    <t xml:space="preserve">      · Columns I–J are formulas — never overwrite them</t>
  </si>
  <si>
    <t xml:space="preserve">      · Paste in chronological order (oldest first)</t>
  </si>
  <si>
    <t xml:space="preserve">  SECTION 6 — ADVANCED SETUP PLANNER TAB</t>
  </si>
  <si>
    <t xml:space="preserve">  Fill this every morning before your trading session.</t>
  </si>
  <si>
    <t xml:space="preserve">  Step 1 — EMAs</t>
  </si>
  <si>
    <t>EMA 9/21/50 (15m), SMA200 (15m), EMA50 (1H/4H), EMA 50/100/200 (1D), EMA50 (1W), EMA20 (1M), Current Price</t>
  </si>
  <si>
    <t xml:space="preserve">  Step 2 — RSI &amp; Vol</t>
  </si>
  <si>
    <t>RSI(14) from 15m, 1H, 4H  |  ATR(14) 15m  |  ADR(14)</t>
  </si>
  <si>
    <t xml:space="preserve">  Step 3 — Levels</t>
  </si>
  <si>
    <t>PWH/PWL, PDH/PDL, EQH/EQL, 15m Swing Leg, Session H/L, 4H HTF Swing H/L</t>
  </si>
  <si>
    <t xml:space="preserve">  Step 4 — FVG Zones</t>
  </si>
  <si>
    <t>Daily FVG high/low, 1H FVG high/low (leave blank if none)</t>
  </si>
  <si>
    <t xml:space="preserve">  Step 5 — Gamma</t>
  </si>
  <si>
    <t>Up to 4 strikes + size in billions (optional)</t>
  </si>
  <si>
    <t xml:space="preserve">  Step 6 — Read the Outputs (auto-calculated):</t>
  </si>
  <si>
    <t xml:space="preserve">  SIDE</t>
  </si>
  <si>
    <t>LONG or SHORT — based on HTF EMA alignment</t>
  </si>
  <si>
    <t xml:space="preserve">  TRADE MODE</t>
  </si>
  <si>
    <t>CoreLong / A+Long / CTshort / Avoid</t>
  </si>
  <si>
    <t xml:space="preserve">  LADDERS</t>
  </si>
  <si>
    <t>Primary / Value / A+ / CT — Fibonacci entry rungs</t>
  </si>
  <si>
    <t xml:space="preserve">  NARRATIVE</t>
  </si>
  <si>
    <t>Plain English macro + structure summary</t>
  </si>
  <si>
    <t xml:space="preserve">  Trade Mode explained:</t>
  </si>
  <si>
    <t xml:space="preserve">  CoreLong</t>
  </si>
  <si>
    <t>HTF trend aligned — standard continuation trade</t>
  </si>
  <si>
    <t xml:space="preserve">  A+Long</t>
  </si>
  <si>
    <t>Premium deep zone — can size up slightly</t>
  </si>
  <si>
    <t xml:space="preserve">  CTshort</t>
  </si>
  <si>
    <t>Counter-trend fade — reduce size</t>
  </si>
  <si>
    <t xml:space="preserve">  Avoid</t>
  </si>
  <si>
    <t>Conditions not met — do NOT trade today</t>
  </si>
  <si>
    <t xml:space="preserve">  SECTION 7 — MACRO DATA (advanced users)</t>
  </si>
  <si>
    <t xml:space="preserve">  The macro scoring engine is pre-built. Update weekly on Mondays:</t>
  </si>
  <si>
    <t xml:space="preserve">      · Add economic events (CPI, NFP, GDP, rate decisions)</t>
  </si>
  <si>
    <t xml:space="preserve">      · Add central bank remarks: Hawkish / Neutral / Dovish</t>
  </si>
  <si>
    <t xml:space="preserve">      → Contact your account manager for backend access.</t>
  </si>
  <si>
    <t xml:space="preserve">  SECTION 8 — NEW MONTH RESET</t>
  </si>
  <si>
    <t xml:space="preserve">  At the start of each new month:</t>
  </si>
  <si>
    <t xml:space="preserve">      1.  Save current file as Trading_[Month][Year].xlsx</t>
  </si>
  <si>
    <t xml:space="preserve">      2.  Open master template (this file)</t>
  </si>
  <si>
    <t xml:space="preserve">      3.  Update Summary → Current NAV = last month's ending balance</t>
  </si>
  <si>
    <t xml:space="preserve">      4.  Update Summary → Monthly Target if changed</t>
  </si>
  <si>
    <t xml:space="preserve">      5.  Delete Daily Log columns A, B, D, M content (keep formulas)</t>
  </si>
  <si>
    <t xml:space="preserve">      6.  Delete rows 2+ in Raw daily data</t>
  </si>
  <si>
    <t xml:space="preserve">      7.  Clear all blue input cells in Advanced Setup Planner</t>
  </si>
  <si>
    <t xml:space="preserve">      8.  Save — ready for the new month ✓</t>
  </si>
  <si>
    <t xml:space="preserve">  SECTION 9 — FREQUENTLY ASKED QUESTIONS</t>
  </si>
  <si>
    <t xml:space="preserve">  Q:  Cells show "" (empty) instead of numbers?</t>
  </si>
  <si>
    <t xml:space="preserve">  A:  Normal. Cells stay blank until you enter data — prevents errors.</t>
  </si>
  <si>
    <t xml:space="preserve">  Q:  Can I add more rows to Daily Log?</t>
  </si>
  <si>
    <t xml:space="preserve">  A:  Yes. Insert row, then copy formulas from the row above.</t>
  </si>
  <si>
    <t xml:space="preserve">  Q:  CT Ladder shows "CT inactive"?</t>
  </si>
  <si>
    <t xml:space="preserve">  A:  CT trades only apply when SIDE = SHORT. Disabled when LONG.</t>
  </si>
  <si>
    <t xml:space="preserve">  Q:  Macro Bias = "Neutral" — should I trade?</t>
  </si>
  <si>
    <t xml:space="preserve">  A:  Neutral = balanced. Check technicals. If Trade Mode = Avoid, skip.</t>
  </si>
  <si>
    <t xml:space="preserve">  QUICK NAVIGATION — CLICK TO JUMP</t>
  </si>
  <si>
    <t>→  Summary</t>
  </si>
  <si>
    <t>→  Daily Log</t>
  </si>
  <si>
    <t>→  Raw Data</t>
  </si>
  <si>
    <t>→  Setup Planner</t>
  </si>
  <si>
    <t>TRADING PERFORMANCE SUMMARY</t>
  </si>
  <si>
    <t>TRADING PERFORMANCE SUMMARY2</t>
  </si>
  <si>
    <t>Monthly Target ($)</t>
  </si>
  <si>
    <t>Planned Active Trading Days</t>
  </si>
  <si>
    <t>Average Target per Trading Day ($)</t>
  </si>
  <si>
    <t>Weeks in Cycle</t>
  </si>
  <si>
    <t>Average Target per Week ($)</t>
  </si>
  <si>
    <t>Required R per week</t>
  </si>
  <si>
    <t>Risk % of NAV per trade</t>
  </si>
  <si>
    <t>Max Daily Loss (R multiples)</t>
  </si>
  <si>
    <t>Starting NAV ($)</t>
  </si>
  <si>
    <t>Current NAV ➔</t>
  </si>
  <si>
    <t>Cumulative P&amp;L Month ($)</t>
  </si>
  <si>
    <t>Remaining Target ($)</t>
  </si>
  <si>
    <t>Trading Days Used</t>
  </si>
  <si>
    <t>Trading Days Remaining</t>
  </si>
  <si>
    <t>Required P&amp;L per Remaining Day</t>
  </si>
  <si>
    <t>Target R per Day (approx)</t>
  </si>
  <si>
    <t>Projected Month P&amp;L ($)</t>
  </si>
  <si>
    <t>Average R value ($)</t>
  </si>
  <si>
    <t>Today’s expected plan P&amp;L ($)</t>
  </si>
  <si>
    <t>Week #</t>
  </si>
  <si>
    <t>Active Days</t>
  </si>
  <si>
    <t>Total Trades</t>
  </si>
  <si>
    <t>Total Wins</t>
  </si>
  <si>
    <t>Total Losses</t>
  </si>
  <si>
    <t>Week Net P&amp;L</t>
  </si>
  <si>
    <t>Weekly Target</t>
  </si>
  <si>
    <t>Week Variance ($)</t>
  </si>
  <si>
    <t>Avg Win Rate %</t>
  </si>
  <si>
    <t>Avg Reward:Risk</t>
  </si>
  <si>
    <t>Total R</t>
  </si>
  <si>
    <t>Date</t>
  </si>
  <si>
    <t>Day of Week</t>
  </si>
  <si>
    <t>Active Trading Day? (Y/N)</t>
  </si>
  <si>
    <t>Start NAV ($)</t>
  </si>
  <si>
    <t>Risk per Trade R ($)</t>
  </si>
  <si>
    <t>Max Daily Loss Cap ($)</t>
  </si>
  <si>
    <t>Net P&amp;L ($)</t>
  </si>
  <si>
    <t>Week P&amp;L ($)</t>
  </si>
  <si>
    <t>Weekly Target ($)</t>
  </si>
  <si>
    <t>Week Variance vs Target ($)</t>
  </si>
  <si>
    <t>Notes</t>
  </si>
  <si>
    <t># Trades</t>
  </si>
  <si>
    <t># Wins</t>
  </si>
  <si>
    <t># Losses</t>
  </si>
  <si>
    <t>Total Wins ($)</t>
  </si>
  <si>
    <t>Total Losses ($)</t>
  </si>
  <si>
    <t>Win Rate (%)</t>
  </si>
  <si>
    <t>Reward:Risk</t>
  </si>
  <si>
    <t>Daily R-multiple</t>
  </si>
  <si>
    <t>Losses vs Cap</t>
  </si>
  <si>
    <t>Intraday Net P&amp;L (so far)</t>
  </si>
  <si>
    <t>% of Cap Used (Net)</t>
  </si>
  <si>
    <t>Worst Intraday DD % of Cap</t>
  </si>
  <si>
    <t>Y</t>
  </si>
  <si>
    <t>Symbol  ← Paste broker data into columns A–H only. Do not edit I–J →</t>
  </si>
  <si>
    <t>Name</t>
  </si>
  <si>
    <t>Side</t>
  </si>
  <si>
    <t>Quantity</t>
  </si>
  <si>
    <t>Price</t>
  </si>
  <si>
    <t>Profit</t>
  </si>
  <si>
    <t>Deal ID</t>
  </si>
  <si>
    <t>Time</t>
  </si>
  <si>
    <t>Trade Date</t>
  </si>
  <si>
    <t>Cumulative P&amp;L for the day</t>
  </si>
  <si>
    <t>EURUSD</t>
  </si>
  <si>
    <t>Buy</t>
  </si>
  <si>
    <t>Mon, 01 May 2026 09:00:00 GMT</t>
  </si>
  <si>
    <t>Sell</t>
  </si>
  <si>
    <t>Tue, 09 May 2026 10:00:00 GMT</t>
  </si>
  <si>
    <t>Tue, 09 May 2026 15:00:00 GMT</t>
  </si>
  <si>
    <t>Wed, 17 May 2026 09:00:00 GMT</t>
  </si>
  <si>
    <t>Thu, 18 May 2026 14:00:00 GMT</t>
  </si>
  <si>
    <t>ADVANCED SETUP PLANNER</t>
  </si>
  <si>
    <t>BACKEND CALC — Use Planner_HUD (inputs &amp; ladders)</t>
  </si>
  <si>
    <t>Structure (SMC) – D1 / H4 / H1 / 15m</t>
  </si>
  <si>
    <t>PRIMARY LADDER</t>
  </si>
  <si>
    <t>Entry</t>
  </si>
  <si>
    <t>TP</t>
  </si>
  <si>
    <t>SL</t>
  </si>
  <si>
    <t>Pips to TP1</t>
  </si>
  <si>
    <t>Eff Pips to SL</t>
  </si>
  <si>
    <t>Weight</t>
  </si>
  <si>
    <t>Risk $</t>
  </si>
  <si>
    <t>Reward $</t>
  </si>
  <si>
    <t>Units</t>
  </si>
  <si>
    <t>R per rung</t>
  </si>
  <si>
    <t>CT_Entry</t>
  </si>
  <si>
    <t>Edit BLUE cells only. Planner_v2 reads from here.</t>
  </si>
  <si>
    <t>Market snapshot (15m + HTF EMAs &amp; ATR)</t>
  </si>
  <si>
    <t>TF</t>
  </si>
  <si>
    <t>Trend</t>
  </si>
  <si>
    <t>Last BOS</t>
  </si>
  <si>
    <t>Last CHOCH</t>
  </si>
  <si>
    <t>Entry 0.382</t>
  </si>
  <si>
    <t>Scoring &amp; HUD</t>
  </si>
  <si>
    <t>Ladder Controls</t>
  </si>
  <si>
    <t>Big Picture</t>
  </si>
  <si>
    <t>CT_SL</t>
  </si>
  <si>
    <t>Current Price</t>
  </si>
  <si>
    <t>1D</t>
  </si>
  <si>
    <t>TP1 Price</t>
  </si>
  <si>
    <t>Entry 0.500</t>
  </si>
  <si>
    <t>PipSize</t>
  </si>
  <si>
    <t>CT_TP1</t>
  </si>
  <si>
    <t>Market snapshot (update from chart)</t>
  </si>
  <si>
    <t>Liquidity / Session levels</t>
  </si>
  <si>
    <t>FVG / value blocks</t>
  </si>
  <si>
    <t>Options expiry + risk/weights</t>
  </si>
  <si>
    <t>4H</t>
  </si>
  <si>
    <t>SL Price (Auto)</t>
  </si>
  <si>
    <t>Entry 0.618</t>
  </si>
  <si>
    <t>PipTol_Value</t>
  </si>
  <si>
    <t>MinStopPips</t>
  </si>
  <si>
    <t>Long Zone (A+)</t>
  </si>
  <si>
    <t>CT_TP2</t>
  </si>
  <si>
    <t>EMA9  15m</t>
  </si>
  <si>
    <t>1H</t>
  </si>
  <si>
    <t>Manual SL override?</t>
  </si>
  <si>
    <t>PipTol_Fib</t>
  </si>
  <si>
    <t>ATR_StopMult</t>
  </si>
  <si>
    <t>Trend Long Plan</t>
  </si>
  <si>
    <t>CT_Risk$</t>
  </si>
  <si>
    <t>EMA21 15m</t>
  </si>
  <si>
    <t>15M</t>
  </si>
  <si>
    <t>Avg Pips to SL</t>
  </si>
  <si>
    <t>PipTol_Mid</t>
  </si>
  <si>
    <t>ATR15m_pips</t>
  </si>
  <si>
    <t>CT_PipsSL</t>
  </si>
  <si>
    <t>EMA50 15m</t>
  </si>
  <si>
    <t>Weight 0.382</t>
  </si>
  <si>
    <t>Total Units</t>
  </si>
  <si>
    <t>Long_EMAScore</t>
  </si>
  <si>
    <t>StopFloorPips</t>
  </si>
  <si>
    <t>CT Zone</t>
  </si>
  <si>
    <t>CT_PipsTP</t>
  </si>
  <si>
    <t>SMA200 15m</t>
  </si>
  <si>
    <t>HTF_Long_OK</t>
  </si>
  <si>
    <t>Weight 0.500</t>
  </si>
  <si>
    <t>Avg Entry</t>
  </si>
  <si>
    <t>Short_EMAScore</t>
  </si>
  <si>
    <t>PrimaryRiskMult</t>
  </si>
  <si>
    <t>CT Short Plan</t>
  </si>
  <si>
    <t>CT_Rmult</t>
  </si>
  <si>
    <t>HTF_Short_OK</t>
  </si>
  <si>
    <t>Weight 0.618</t>
  </si>
  <si>
    <t>Long_RSIScore</t>
  </si>
  <si>
    <t>APlusRiskMult</t>
  </si>
  <si>
    <t>CT_Units</t>
  </si>
  <si>
    <t>EMA50 1H</t>
  </si>
  <si>
    <t>LTF_Long_OK</t>
  </si>
  <si>
    <t>Reward at TP1 $</t>
  </si>
  <si>
    <t>Short_RSIScore</t>
  </si>
  <si>
    <t>CTRiskMult</t>
  </si>
  <si>
    <t>Avoid</t>
  </si>
  <si>
    <t>CT_NoTradeFlag</t>
  </si>
  <si>
    <t>EMA50 4H</t>
  </si>
  <si>
    <t>LTF_Short_OK</t>
  </si>
  <si>
    <t>Ticket Size</t>
  </si>
  <si>
    <t>R multiple at TP1</t>
  </si>
  <si>
    <t>Long_StructScore</t>
  </si>
  <si>
    <t>PrimaryWgtSum</t>
  </si>
  <si>
    <t>EMA50 1D</t>
  </si>
  <si>
    <t>Min R (R multiple)</t>
  </si>
  <si>
    <t>Avg Eff Pips to SL</t>
  </si>
  <si>
    <t>Short_StructScore</t>
  </si>
  <si>
    <t>APlusWgtSum</t>
  </si>
  <si>
    <t>EMA100 1D</t>
  </si>
  <si>
    <t>Magnet Range (pips)</t>
  </si>
  <si>
    <t>Long_FVGScore</t>
  </si>
  <si>
    <t>CTWgtSum</t>
  </si>
  <si>
    <t>EMA200 1D</t>
  </si>
  <si>
    <t>Options Clamp %</t>
  </si>
  <si>
    <t>Liquidity levels</t>
  </si>
  <si>
    <t>Active Zone</t>
  </si>
  <si>
    <t>A+ LADDER</t>
  </si>
  <si>
    <t>Short_FVGScore</t>
  </si>
  <si>
    <t>Primary_MinStopPips</t>
  </si>
  <si>
    <t>EMA50 1W</t>
  </si>
  <si>
    <t>Zone tolerance</t>
  </si>
  <si>
    <t>PMH</t>
  </si>
  <si>
    <t>upper rung</t>
  </si>
  <si>
    <t>LongScore</t>
  </si>
  <si>
    <t>APlus_MinStopPips</t>
  </si>
  <si>
    <t>EMA20 1M</t>
  </si>
  <si>
    <t>PML</t>
  </si>
  <si>
    <t>Zone</t>
  </si>
  <si>
    <t>Role</t>
  </si>
  <si>
    <t>Low</t>
  </si>
  <si>
    <t>High</t>
  </si>
  <si>
    <t>middle rung</t>
  </si>
  <si>
    <t>ShortScore</t>
  </si>
  <si>
    <t>CT_MinStopPips</t>
  </si>
  <si>
    <t>RSI 15M</t>
  </si>
  <si>
    <t>RSI 4HR</t>
  </si>
  <si>
    <t>PWH</t>
  </si>
  <si>
    <t>Shallow</t>
  </si>
  <si>
    <t>deep rung</t>
  </si>
  <si>
    <t>MaxScore</t>
  </si>
  <si>
    <t>WinProb</t>
  </si>
  <si>
    <t>Expected_R</t>
  </si>
  <si>
    <t>Expected_$</t>
  </si>
  <si>
    <t>RSI 1H</t>
  </si>
  <si>
    <t>ATR(14) 15m</t>
  </si>
  <si>
    <t>PWL</t>
  </si>
  <si>
    <t>Main</t>
  </si>
  <si>
    <t>LongScore_pct</t>
  </si>
  <si>
    <t>ADR(14)</t>
  </si>
  <si>
    <t>PDH</t>
  </si>
  <si>
    <t>HTF</t>
  </si>
  <si>
    <t>ShortScore_pct</t>
  </si>
  <si>
    <t>Primary_StopFloorPips</t>
  </si>
  <si>
    <t>PDL</t>
  </si>
  <si>
    <t>APlus_StopFloorPips</t>
  </si>
  <si>
    <t>EQH_above</t>
  </si>
  <si>
    <t>zone-specific fibs for SL/entries</t>
  </si>
  <si>
    <t>Trend Mode</t>
  </si>
  <si>
    <t>CT_StopFloorPips</t>
  </si>
  <si>
    <t>Structure (SMC) – D1 / 4H / 1H / 15m</t>
  </si>
  <si>
    <t>Legs (Intraday / Session / HTF)</t>
  </si>
  <si>
    <t>Fib outputs</t>
  </si>
  <si>
    <t>EQL_below</t>
  </si>
  <si>
    <t>Zone_618</t>
  </si>
  <si>
    <t>Setup Type</t>
  </si>
  <si>
    <t>CT_ActiveWgtSum</t>
  </si>
  <si>
    <t>Trend (auto)</t>
  </si>
  <si>
    <t>Last BOS (manual)</t>
  </si>
  <si>
    <t>Last CHOCH (manual)</t>
  </si>
  <si>
    <t>LTF Leg Low (15m</t>
  </si>
  <si>
    <t>L1 0.382</t>
  </si>
  <si>
    <t>Distances to nearest liquidity</t>
  </si>
  <si>
    <t>Zone_500</t>
  </si>
  <si>
    <t>TradeMode</t>
  </si>
  <si>
    <t>CT_ATRMult</t>
  </si>
  <si>
    <t>LTF Leg High (15m)</t>
  </si>
  <si>
    <t>L1 0.500</t>
  </si>
  <si>
    <t>Dist_Above (pips)</t>
  </si>
  <si>
    <t>Grade</t>
  </si>
  <si>
    <t>CT_RangePips</t>
  </si>
  <si>
    <t>L1 0.618</t>
  </si>
  <si>
    <t>Dist_Below (pips)</t>
  </si>
  <si>
    <t>NoTradeFlag</t>
  </si>
  <si>
    <t>Session Low</t>
  </si>
  <si>
    <t>L2 0.382</t>
  </si>
  <si>
    <t>MasterSignal</t>
  </si>
  <si>
    <t>Session High</t>
  </si>
  <si>
    <t>L2 0.500</t>
  </si>
  <si>
    <t>Long_RoomOK</t>
  </si>
  <si>
    <t>CT LADDER</t>
  </si>
  <si>
    <t>Setup Summary</t>
  </si>
  <si>
    <t>Primary_SL_Cont</t>
  </si>
  <si>
    <t>L2 0.618</t>
  </si>
  <si>
    <t>Short_RoomOK</t>
  </si>
  <si>
    <t>Trade Plan</t>
  </si>
  <si>
    <t>Primary_SL_Buffer</t>
  </si>
  <si>
    <t>HTF Swing Low (4H)</t>
  </si>
  <si>
    <t>L3 0.382</t>
  </si>
  <si>
    <t>Strike 1</t>
  </si>
  <si>
    <t>Size 1 (bn)</t>
  </si>
  <si>
    <t>Go/No-Go</t>
  </si>
  <si>
    <t>Aplus_SL_Buffer</t>
  </si>
  <si>
    <t>Outputs (auto)</t>
  </si>
  <si>
    <t>HTF Swing High (4H)</t>
  </si>
  <si>
    <t>L3 0.500</t>
  </si>
  <si>
    <t>Strike 2</t>
  </si>
  <si>
    <t>Size 2 (bn)</t>
  </si>
  <si>
    <t>shallow rung</t>
  </si>
  <si>
    <t>Golden_Low (Overlap L1/L3)</t>
  </si>
  <si>
    <t>Aplus_SL</t>
  </si>
  <si>
    <t>Side (LONG/SHORT)</t>
  </si>
  <si>
    <t>L3 0.618</t>
  </si>
  <si>
    <t>Strike 3</t>
  </si>
  <si>
    <t>Size 3 (bn)</t>
  </si>
  <si>
    <t>Golden_High (Overlap L1/L3)</t>
  </si>
  <si>
    <t>(Pips_to_Entry_500)</t>
  </si>
  <si>
    <t>Strike 4</t>
  </si>
  <si>
    <t>Size 4 (bn)</t>
  </si>
  <si>
    <t>Golden_Mid</t>
  </si>
  <si>
    <t>(Pips_to_Entry_618)</t>
  </si>
  <si>
    <t>Trade Mode</t>
  </si>
  <si>
    <t>Magnet Strike</t>
  </si>
  <si>
    <t>In_GoldenPocket_Flag</t>
  </si>
  <si>
    <t>ValueRiskMult</t>
  </si>
  <si>
    <t>Macro Bias (EURUSD)</t>
  </si>
  <si>
    <t>FVGs (4H / Daily / 1H)</t>
  </si>
  <si>
    <t>GoldenProx_Score</t>
  </si>
  <si>
    <t>Value_MinStopPips</t>
  </si>
  <si>
    <t>Rate diff (NOW)</t>
  </si>
  <si>
    <t>4H FVG high</t>
  </si>
  <si>
    <t>Distance to Magnet (pips)</t>
  </si>
  <si>
    <t>CT_TP1 (magnet below entry)</t>
  </si>
  <si>
    <t>Value_StopFloorPips</t>
  </si>
  <si>
    <t>Rate diff change (6M vs NOW)</t>
  </si>
  <si>
    <t>4H FVG low</t>
  </si>
  <si>
    <t>Within Magnet? 0/1</t>
  </si>
  <si>
    <t>Value_SL_Buffer</t>
  </si>
  <si>
    <t>Yield Narrative</t>
  </si>
  <si>
    <t>Daily FVG high</t>
  </si>
  <si>
    <t>MacroBiasScore</t>
  </si>
  <si>
    <t>Value_SL</t>
  </si>
  <si>
    <t>Narrative (plain English)</t>
  </si>
  <si>
    <t>Daily FVG low</t>
  </si>
  <si>
    <t>MacroBias_Direction</t>
  </si>
  <si>
    <t>ValueWgtSum</t>
  </si>
  <si>
    <t>Action (what to do)</t>
  </si>
  <si>
    <t>1H FVG high</t>
  </si>
  <si>
    <t>MacroToneAdj</t>
  </si>
  <si>
    <t>1H FVG low</t>
  </si>
  <si>
    <t>MacroPolicyAdj</t>
  </si>
  <si>
    <t>Definitions</t>
  </si>
  <si>
    <t>VALUE LADDER</t>
  </si>
  <si>
    <t>Macro_TotalBias</t>
  </si>
  <si>
    <t>Execution ladders (auto from Planner_v2)</t>
  </si>
  <si>
    <t>Entry SMA200</t>
  </si>
  <si>
    <t>Primary Ladder (Shallow / Continuation)</t>
  </si>
  <si>
    <t>Entry EMA50_1H</t>
  </si>
  <si>
    <t>Rung</t>
  </si>
  <si>
    <t>Pips→TP</t>
  </si>
  <si>
    <t>EffPips→SL</t>
  </si>
  <si>
    <t>R</t>
  </si>
  <si>
    <t>R2</t>
  </si>
  <si>
    <t>Entry 1H_FVG_L</t>
  </si>
  <si>
    <t>In_Tier1</t>
  </si>
  <si>
    <t>Mid</t>
  </si>
  <si>
    <t>CT_MinEntry</t>
  </si>
  <si>
    <t>In_Tier2</t>
  </si>
  <si>
    <t>Deep</t>
  </si>
  <si>
    <t>CT_Low</t>
  </si>
  <si>
    <t>In_Tier3</t>
  </si>
  <si>
    <t>Total</t>
  </si>
  <si>
    <t>CT_High</t>
  </si>
  <si>
    <t>In_Discount</t>
  </si>
  <si>
    <t>CT_Mid</t>
  </si>
  <si>
    <t>In_CT_Zone</t>
  </si>
  <si>
    <t>Value Ladder (Mid-depth supports)</t>
  </si>
  <si>
    <t>Tier</t>
  </si>
  <si>
    <t>In_Premium</t>
  </si>
  <si>
    <t>L1_0.618-L1_0.382</t>
  </si>
  <si>
    <t>Tier1 Low</t>
  </si>
  <si>
    <t>4H_FVG_low-4H_FVG_high</t>
  </si>
  <si>
    <t>CoreLong_Flag</t>
  </si>
  <si>
    <t>DeepLow-High</t>
  </si>
  <si>
    <t>CTShort_Flag</t>
  </si>
  <si>
    <t>LocationLabel</t>
  </si>
  <si>
    <t>ActiveTier</t>
  </si>
  <si>
    <t>A+ Ladder (Deep value block)</t>
  </si>
  <si>
    <t>Primary_ViewTier (1/2/3, blank=auto)</t>
  </si>
  <si>
    <t>Resolved_PrimaryTier</t>
  </si>
  <si>
    <t>CT Ladder (Fade ceiling; only on rejection)</t>
  </si>
  <si>
    <t>Column1</t>
  </si>
  <si>
    <t>List</t>
  </si>
  <si>
    <t>Bull</t>
  </si>
  <si>
    <t>Bear</t>
  </si>
  <si>
    <t>Range</t>
  </si>
  <si>
    <t>Up</t>
  </si>
  <si>
    <t>Down</t>
  </si>
  <si>
    <t>None</t>
  </si>
  <si>
    <t>Falling</t>
  </si>
  <si>
    <t>Neutral</t>
  </si>
  <si>
    <t>Rising</t>
  </si>
  <si>
    <t>Softening</t>
  </si>
  <si>
    <t>Mixed</t>
  </si>
  <si>
    <t>Tight</t>
  </si>
  <si>
    <t>Slowing</t>
  </si>
  <si>
    <t>Stable</t>
  </si>
  <si>
    <t>Accelerating</t>
  </si>
  <si>
    <t>More cuts</t>
  </si>
  <si>
    <t>Hold/uncertain</t>
  </si>
  <si>
    <t>Fewer cuts</t>
  </si>
  <si>
    <t>Risk-on</t>
  </si>
  <si>
    <t>Risk-off</t>
  </si>
  <si>
    <t>Inflation – US</t>
  </si>
  <si>
    <t>Labour – US</t>
  </si>
  <si>
    <t>Growth - US</t>
  </si>
  <si>
    <t>Inflation – EUR</t>
  </si>
  <si>
    <t>Labour – EUR</t>
  </si>
  <si>
    <t>Growth - EUR</t>
  </si>
  <si>
    <t>Inflation – JPY</t>
  </si>
  <si>
    <t>Labour – JPY</t>
  </si>
  <si>
    <t>Growth - JPY</t>
  </si>
  <si>
    <t>Schnabel</t>
  </si>
  <si>
    <t>Rehn</t>
  </si>
  <si>
    <t>Panetta</t>
  </si>
  <si>
    <t>Lagarde</t>
  </si>
  <si>
    <t>Villeroy</t>
  </si>
  <si>
    <t>Simkus</t>
  </si>
  <si>
    <t>Kazarks</t>
  </si>
  <si>
    <t>Kazimir</t>
  </si>
  <si>
    <t>Musalem</t>
  </si>
  <si>
    <t>Logan</t>
  </si>
  <si>
    <t>Goolsbee</t>
  </si>
  <si>
    <t>Hammack</t>
  </si>
  <si>
    <t>Kashkari</t>
  </si>
  <si>
    <t>Paulson</t>
  </si>
  <si>
    <t>Barkin</t>
  </si>
  <si>
    <t>Collins</t>
  </si>
  <si>
    <t>Miran</t>
  </si>
  <si>
    <t>Waller</t>
  </si>
  <si>
    <t>Daly</t>
  </si>
  <si>
    <t>Williams</t>
  </si>
  <si>
    <t>Powell</t>
  </si>
  <si>
    <t>Narrative Engine (do not edit)</t>
  </si>
  <si>
    <t>SetupScore</t>
  </si>
  <si>
    <t>SetupGrade</t>
  </si>
  <si>
    <t>SetupMeaning</t>
  </si>
  <si>
    <t>RateDiff_Now</t>
  </si>
  <si>
    <t>RateDiff_6M</t>
  </si>
  <si>
    <t>RateDiff_ChangeSteps</t>
  </si>
  <si>
    <t>RateDiff_ChangeBP</t>
  </si>
  <si>
    <t>RateDiff_NowLabel</t>
  </si>
  <si>
    <t>RateDiff_ChangeLabel</t>
  </si>
  <si>
    <t>FedTone</t>
  </si>
  <si>
    <t>ECBTone</t>
  </si>
  <si>
    <t>Strike1</t>
  </si>
  <si>
    <t>Strike2</t>
  </si>
  <si>
    <t>Strike3</t>
  </si>
  <si>
    <t>Strike4</t>
  </si>
  <si>
    <t>NearestStrike</t>
  </si>
  <si>
    <t>NearestSize</t>
  </si>
  <si>
    <t>NearestPips</t>
  </si>
  <si>
    <t>StrikeNote</t>
  </si>
  <si>
    <t>Narrative</t>
  </si>
  <si>
    <t>Action</t>
  </si>
  <si>
    <t>Glossary</t>
  </si>
  <si>
    <t>CentralBank</t>
  </si>
  <si>
    <t>Person</t>
  </si>
  <si>
    <t>Event</t>
  </si>
  <si>
    <t>Topic</t>
  </si>
  <si>
    <t>Tone</t>
  </si>
  <si>
    <t>Tone_Score</t>
  </si>
  <si>
    <t>Link/Source</t>
  </si>
  <si>
    <t>Hawkish</t>
  </si>
  <si>
    <t>FED</t>
  </si>
  <si>
    <t>BOJ</t>
  </si>
  <si>
    <t>Dovish</t>
  </si>
  <si>
    <t>ECB</t>
  </si>
  <si>
    <t>Bostic</t>
  </si>
  <si>
    <t>Takashi</t>
  </si>
  <si>
    <t>Currency</t>
  </si>
  <si>
    <t>Rate1_mid 350-375)</t>
  </si>
  <si>
    <t>Prob1</t>
  </si>
  <si>
    <t>Rate2_mid (375-400)</t>
  </si>
  <si>
    <t>Prob2</t>
  </si>
  <si>
    <t>Rate3_mid (325-350)</t>
  </si>
  <si>
    <t>Prob3</t>
  </si>
  <si>
    <t>ExpRate</t>
  </si>
  <si>
    <t>CutsVsToday</t>
  </si>
  <si>
    <t>US</t>
  </si>
  <si>
    <t>Category</t>
  </si>
  <si>
    <t>Actual</t>
  </si>
  <si>
    <t>Forecast</t>
  </si>
  <si>
    <t>Previous</t>
  </si>
  <si>
    <t>Surprise vs Forecast</t>
  </si>
  <si>
    <t>Change vs Prev</t>
  </si>
  <si>
    <t>Qualitative</t>
  </si>
  <si>
    <t>EffectDirection</t>
  </si>
  <si>
    <t>Adj_Surprise</t>
  </si>
  <si>
    <t>Adj_ChangeAdj_ChangeAdj_ChangeAdj_ChangeAdj_ChangeAdj_ChangeAdj_ChangeAdj_ChangeAdj_Change</t>
  </si>
  <si>
    <t>Tenor</t>
  </si>
  <si>
    <t>Column2</t>
  </si>
  <si>
    <t>Column3</t>
  </si>
  <si>
    <t>Column4</t>
  </si>
  <si>
    <t>Δd (1d)</t>
  </si>
  <si>
    <t xml:space="preserve"> Δ5d</t>
  </si>
  <si>
    <t>Column5</t>
  </si>
  <si>
    <t>Column6</t>
  </si>
  <si>
    <t>Column7</t>
  </si>
  <si>
    <t xml:space="preserve"> German ifo Business Climate </t>
  </si>
  <si>
    <t>US 2y</t>
  </si>
  <si>
    <t>Fed_CurrentRate</t>
  </si>
  <si>
    <t xml:space="preserve"> ADP Weekly Employment Change </t>
  </si>
  <si>
    <t>US 5y</t>
  </si>
  <si>
    <t>ECB_CurrentRate</t>
  </si>
  <si>
    <t xml:space="preserve"> Core Retail Sales m/m </t>
  </si>
  <si>
    <t>US 10y</t>
  </si>
  <si>
    <t>JPY_CurrentRate</t>
  </si>
  <si>
    <t xml:space="preserve"> Retail Sales m/m </t>
  </si>
  <si>
    <t>US 30y</t>
  </si>
  <si>
    <t xml:space="preserve"> CB Consumer Confidence </t>
  </si>
  <si>
    <t xml:space="preserve"> Core PPI m/m </t>
  </si>
  <si>
    <t>US 2s10s</t>
  </si>
  <si>
    <t xml:space="preserve"> Core Durable Goods Orders m/m </t>
  </si>
  <si>
    <t>US 5s30s</t>
  </si>
  <si>
    <t xml:space="preserve"> Durable Goods Orders m/m </t>
  </si>
  <si>
    <t xml:space="preserve"> Unemployment Claims </t>
  </si>
  <si>
    <t xml:space="preserve"> German GfK Consumer Climate </t>
  </si>
  <si>
    <t>DE 2y</t>
  </si>
  <si>
    <t xml:space="preserve"> German Prelim CPI m/m </t>
  </si>
  <si>
    <t>DE 5y</t>
  </si>
  <si>
    <t xml:space="preserve"> German Unemployment Change </t>
  </si>
  <si>
    <t>DE 10y</t>
  </si>
  <si>
    <t xml:space="preserve"> Final Manufacturing PMI </t>
  </si>
  <si>
    <t>DE 30y</t>
  </si>
  <si>
    <t xml:space="preserve"> ISM Manufacturing Prices </t>
  </si>
  <si>
    <t xml:space="preserve"> ISM Manufacturing PMI </t>
  </si>
  <si>
    <t>DE 2s10s</t>
  </si>
  <si>
    <t>DE 5s30s</t>
  </si>
  <si>
    <t xml:space="preserve"> FOMC Member Bowman Speaks </t>
  </si>
  <si>
    <t xml:space="preserve"> (NA) </t>
  </si>
  <si>
    <t xml:space="preserve"> (NA)</t>
  </si>
  <si>
    <t>JP 2y</t>
  </si>
  <si>
    <t xml:space="preserve"> Import Prices m/m </t>
  </si>
  <si>
    <t>JP 5y</t>
  </si>
  <si>
    <t xml:space="preserve"> Capacity Utilization Rate </t>
  </si>
  <si>
    <t>JP 10y</t>
  </si>
  <si>
    <t xml:space="preserve"> ISM Services PMI </t>
  </si>
  <si>
    <t>JP 30y</t>
  </si>
  <si>
    <t xml:space="preserve"> Factory Orders m/m </t>
  </si>
  <si>
    <t>JP 2s10s</t>
  </si>
  <si>
    <t xml:space="preserve"> Italian Retail Sales m/m </t>
  </si>
  <si>
    <t>JP 5s30s</t>
  </si>
  <si>
    <t xml:space="preserve"> Revised GDP q/q </t>
  </si>
  <si>
    <t xml:space="preserve"> Prelim UoM Consumer Sentiment </t>
  </si>
  <si>
    <t xml:space="preserve"> Personal Income m/m </t>
  </si>
  <si>
    <t xml:space="preserve"> Personal Spending m/m </t>
  </si>
  <si>
    <t xml:space="preserve"> Consumer Credit m/m </t>
  </si>
  <si>
    <t xml:space="preserve"> Core PCE Price Index m/m </t>
  </si>
  <si>
    <t xml:space="preserve"> Prelim UoM Inflation Expectations </t>
  </si>
  <si>
    <t>Labour – CAD</t>
  </si>
  <si>
    <t xml:space="preserve"> Employment Change </t>
  </si>
  <si>
    <t>German Trade Balance</t>
  </si>
  <si>
    <t xml:space="preserve"> Unemployment Rate </t>
  </si>
  <si>
    <t>German Industrial Production m/m</t>
  </si>
  <si>
    <t>Sentix Investor Confidence</t>
  </si>
  <si>
    <t>NFIB Small Business Index</t>
  </si>
  <si>
    <t>ADP Weekly Employment Change</t>
  </si>
  <si>
    <t>JOLTS Job Openings</t>
  </si>
  <si>
    <t>CB Leading Index m/m</t>
  </si>
  <si>
    <t>Italian Industrial Production m/m</t>
  </si>
  <si>
    <t>Employment Cost Index q/q</t>
  </si>
  <si>
    <t>Federal Funds Rate</t>
  </si>
  <si>
    <t>Federal Budget Balance</t>
  </si>
  <si>
    <t>Italian Quarterly Unemployment Rate</t>
  </si>
  <si>
    <t>Unemployment Claims</t>
  </si>
  <si>
    <t>Trade Balance</t>
  </si>
  <si>
    <t>Final Wholesale Inventories m/m</t>
  </si>
  <si>
    <t>German Final CPI m/m</t>
  </si>
  <si>
    <t>French Final CPI m/m</t>
  </si>
  <si>
    <t>Spain Final CPI m/m</t>
  </si>
  <si>
    <t>German WPI m/m</t>
  </si>
  <si>
    <t>Industrial Production m/m</t>
  </si>
  <si>
    <t>Empire State Manufacturing Index</t>
  </si>
  <si>
    <t>NAHB Housing Market Index</t>
  </si>
  <si>
    <t>French Flash Manufacturing PMI</t>
  </si>
  <si>
    <t>French Flash Services PMI</t>
  </si>
  <si>
    <t>German Flash Manufacturing PMI</t>
  </si>
  <si>
    <t>German Flash Services PMI</t>
  </si>
  <si>
    <t>Flash Manufacturing PMI</t>
  </si>
  <si>
    <t>Flash Services PMI</t>
  </si>
  <si>
    <t>Italian Trade Balance</t>
  </si>
  <si>
    <t>German ZEW Economic Sentiment</t>
  </si>
  <si>
    <t>38..5</t>
  </si>
  <si>
    <t>ZEW Economic Sentiment</t>
  </si>
  <si>
    <t>Average Hourly Earnings m/m</t>
  </si>
  <si>
    <t>Core Retail Sales m/m</t>
  </si>
  <si>
    <t>Non-Farm Employment Change</t>
  </si>
  <si>
    <t>Retail Sales m/m</t>
  </si>
  <si>
    <t>Unemployment Rate</t>
  </si>
  <si>
    <t>Business Inventories m/m</t>
  </si>
  <si>
    <t>German ifo Business Climate</t>
  </si>
  <si>
    <t>Final Core CPI y/y</t>
  </si>
  <si>
    <t>Final CPI y/y</t>
  </si>
  <si>
    <t>Main Refinancing Rate</t>
  </si>
  <si>
    <t>CPI y/y</t>
  </si>
  <si>
    <t>Philly Fed Manufacturing Index</t>
  </si>
  <si>
    <t>TIC Long-Term Purchases</t>
  </si>
  <si>
    <t>National Core CPI y/y</t>
  </si>
  <si>
    <t>BOJ Policy Rate</t>
  </si>
  <si>
    <t>German GfK Consumer Climate</t>
  </si>
  <si>
    <t>German PPI m/m</t>
  </si>
  <si>
    <t xml:space="preserve"> Final Employment Change q/q </t>
  </si>
  <si>
    <t>Macro Outlook – Weekly Context</t>
  </si>
  <si>
    <t>Daily Macro Dashboard</t>
  </si>
  <si>
    <t>USD</t>
  </si>
  <si>
    <t>Rating</t>
  </si>
  <si>
    <t>EUR</t>
  </si>
  <si>
    <t>JPY</t>
  </si>
  <si>
    <t>Yield Curve Translator (US Treasuries)</t>
  </si>
  <si>
    <t>Inflation Trend</t>
  </si>
  <si>
    <t>Level</t>
  </si>
  <si>
    <t>Δ1d (bp)</t>
  </si>
  <si>
    <t>Δ5d (bp)</t>
  </si>
  <si>
    <t>Δ20d (bp)</t>
  </si>
  <si>
    <t>What this usually means</t>
  </si>
  <si>
    <t>Dynamic read (auto)</t>
  </si>
  <si>
    <t>Labour Trend</t>
  </si>
  <si>
    <t>Front-end: policy path / next 6–18 months expectations</t>
  </si>
  <si>
    <t>Growth Trend</t>
  </si>
  <si>
    <t>Medium: growth + inflation outlook (cycle)</t>
  </si>
  <si>
    <t>Fed Policy Direction</t>
  </si>
  <si>
    <t>Long: long-run growth + inflation + term premium</t>
  </si>
  <si>
    <t>Global Risk Environment</t>
  </si>
  <si>
    <t>Long-end: term premium + supply/duration + inflation tail risk</t>
  </si>
  <si>
    <t>US Yield Trend</t>
  </si>
  <si>
    <t>EUR Yield Trend</t>
  </si>
  <si>
    <t>JPY Yield Trend</t>
  </si>
  <si>
    <t>Curve slope: 10Y−2Y. Negative = inversion (easing/recession risk priced)</t>
  </si>
  <si>
    <t>Long-end steepness: 30Y−5Y. Rising = higher term premium / supply pressure</t>
  </si>
  <si>
    <t>Rule of thumb for FX (USD):</t>
  </si>
  <si>
    <t>Macro_USD_Score</t>
  </si>
  <si>
    <t>• Rising 2Y = tighter Fed priced → tends to support USD.  • Falling 2Y = easier Fed priced → tends to weigh USD.  • Curve steepening driven by falling 2Y often = easing cycle / risk-on.</t>
  </si>
  <si>
    <t>Macro_EUR_Score</t>
  </si>
  <si>
    <t>Macro_JPY_Score</t>
  </si>
  <si>
    <t>Hold</t>
  </si>
  <si>
    <t>Macro_USD_Strength</t>
  </si>
  <si>
    <t>Less cuts</t>
  </si>
  <si>
    <t>Macro_EUR_Strength</t>
  </si>
  <si>
    <t>EURUSD Macro Bias</t>
  </si>
  <si>
    <t>Flat</t>
  </si>
  <si>
    <t>USDJPY Macro Bias</t>
  </si>
  <si>
    <t>Risk Asset Bias</t>
  </si>
  <si>
    <t>US_YieldTrend_Score (-1..+1)</t>
  </si>
  <si>
    <t>Fed_Ease_Score</t>
  </si>
  <si>
    <t>ECB_Ease_Score</t>
  </si>
  <si>
    <t>BoJ_Ease_Score</t>
  </si>
  <si>
    <t>Rate_Diff_Level</t>
  </si>
  <si>
    <t>Rate_Diff_Score</t>
  </si>
  <si>
    <t>Last FOMC date</t>
  </si>
  <si>
    <t>Fed_DailyTone</t>
  </si>
  <si>
    <t xml:space="preserve">Fed_WeeklyTone </t>
  </si>
  <si>
    <t>ECB_DailyTone</t>
  </si>
  <si>
    <t xml:space="preserve">ECB_WeeklyTone </t>
  </si>
  <si>
    <t>JPY_DailyTone</t>
  </si>
  <si>
    <t xml:space="preserve">JPY_WeeklyTone </t>
  </si>
  <si>
    <t>Fed_ForwardCuts_6m</t>
  </si>
  <si>
    <t>ECB_ForwardCuts_6m</t>
  </si>
  <si>
    <t>JPY_ForwardCuts_6m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</si>
</sst>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0.0%"/>
    <numFmt numFmtId="167" formatCode="0.00000"/>
    <numFmt numFmtId="168" formatCode="_(* #,##0.0_);_(* \(#,##0.0\);_(* &quot;-&quot;??_);_(@_)"/>
    <numFmt numFmtId="169" formatCode="_(* #,##0_);_(* \(#,##0\);_(* &quot;-&quot;??_);_(@_)"/>
    <numFmt numFmtId="170" formatCode="&quot;$&quot;#,##0.00"/>
    <numFmt numFmtId="171" formatCode="[Color10]&quot;$&quot;#,##0.00;[Red]\-&quot;$&quot;#,##0.00;0"/>
    <numFmt numFmtId="172" formatCode="_(&quot;$&quot;* #,##0_);_(&quot;$&quot;* \(#,##0\);_(&quot;$&quot;* &quot;-&quot;??_);_(@_)"/>
    <numFmt numFmtId="173" formatCode="[Color10]&quot;$&quot;#,##0.00;[Red]\(&quot;$&quot;#,##0.00\);&quot;-&quot;"/>
  </numFmts>
  <fonts count="5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FF0000"/>
      <name val="Calibri"/>
      <charset val="134"/>
      <scheme val="minor"/>
    </font>
    <font>
      <b/>
      <sz val="11"/>
      <color rgb="FF1F4E79"/>
      <name val="Calibri"/>
      <charset val="134"/>
    </font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sz val="11"/>
      <name val="Calibri"/>
      <charset val="134"/>
    </font>
    <font>
      <b/>
      <sz val="11"/>
      <color theme="0"/>
      <name val="Calibri"/>
      <charset val="134"/>
    </font>
    <font>
      <i/>
      <sz val="11"/>
      <color rgb="FF666666"/>
      <name val="Calibri"/>
      <charset val="134"/>
    </font>
    <font>
      <b/>
      <sz val="11"/>
      <color rgb="FF000000"/>
      <name val="Calibri"/>
      <charset val="134"/>
    </font>
    <font>
      <sz val="11"/>
      <color rgb="FF0000FF"/>
      <name val="Calibri"/>
      <charset val="134"/>
    </font>
    <font>
      <sz val="11"/>
      <color rgb="FF1A3A5C"/>
      <name val="Calibri"/>
      <charset val="134"/>
    </font>
    <font>
      <b/>
      <sz val="14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12"/>
      <color rgb="FFFFFFFF"/>
      <name val="Calibri"/>
      <charset val="134"/>
    </font>
    <font>
      <sz val="11"/>
      <color rgb="FF666666"/>
      <name val="Calibri"/>
      <charset val="134"/>
    </font>
    <font>
      <b/>
      <sz val="11"/>
      <color rgb="FF000000"/>
      <name val="Calibri"/>
      <charset val="134"/>
      <scheme val="minor"/>
    </font>
    <font>
      <b/>
      <sz val="16"/>
      <color rgb="FFFFFFFF"/>
      <name val="Calibri"/>
      <charset val="134"/>
    </font>
    <font>
      <i/>
      <sz val="10"/>
      <color rgb="FF666666"/>
      <name val="Calibri"/>
      <charset val="134"/>
    </font>
    <font>
      <b/>
      <sz val="11"/>
      <color rgb="FF1A3A5C"/>
      <name val="Calibri"/>
      <charset val="134"/>
    </font>
    <font>
      <sz val="11"/>
      <color rgb="FF333333"/>
      <name val="Calibri"/>
      <charset val="134"/>
    </font>
    <font>
      <b/>
      <sz val="11"/>
      <color rgb="FF666666"/>
      <name val="Calibri"/>
      <charset val="134"/>
    </font>
    <font>
      <b/>
      <sz val="11"/>
      <color rgb="FF333333"/>
      <name val="Calibri"/>
      <charset val="134"/>
    </font>
    <font>
      <b/>
      <sz val="10"/>
      <color rgb="FF2E86AB"/>
      <name val="Calibri"/>
      <charset val="134"/>
    </font>
    <font>
      <b/>
      <sz val="10"/>
      <color rgb="FFE67E22"/>
      <name val="Calibri"/>
      <charset val="134"/>
    </font>
    <font>
      <b/>
      <sz val="11"/>
      <color rgb="FFB71C1C"/>
      <name val="Calibri"/>
      <charset val="134"/>
    </font>
    <font>
      <b/>
      <sz val="10"/>
      <color rgb="FF666666"/>
      <name val="Calibri"/>
      <charset val="134"/>
    </font>
    <font>
      <sz val="9"/>
      <color rgb="FF666666"/>
      <name val="Calibri"/>
      <charset val="134"/>
    </font>
    <font>
      <sz val="10"/>
      <color rgb="FF333333"/>
      <name val="Calibri"/>
      <charset val="134"/>
    </font>
    <font>
      <sz val="10"/>
      <color rgb="FFB71C1C"/>
      <name val="Calibri"/>
      <charset val="134"/>
    </font>
    <font>
      <b/>
      <i/>
      <sz val="11"/>
      <color rgb="FF333333"/>
      <name val="Calibri"/>
      <charset val="134"/>
    </font>
    <font>
      <b/>
      <sz val="11"/>
      <color rgb="FF006100"/>
      <name val="Calibri"/>
      <charset val="134"/>
    </font>
    <font>
      <b/>
      <sz val="11"/>
      <color rgb="FF9C0006"/>
      <name val="Calibri"/>
      <charset val="134"/>
    </font>
    <font>
      <b/>
      <sz val="11"/>
      <color rgb="FF7F0000"/>
      <name val="Calibri"/>
      <charset val="134"/>
    </font>
    <font>
      <b/>
      <sz val="10"/>
      <color rgb="FF1A3A5C"/>
      <name val="Calibri"/>
      <charset val="134"/>
    </font>
    <font>
      <u/>
      <sz val="11"/>
      <color rgb="FF0000FF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rgb="FF000000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666666"/>
      <name val="Calibri"/>
    </font>
    <font>
      <sz val="11"/>
      <color rgb="FF1A3A5C"/>
      <name val="Calibri"/>
      <family val="2"/>
    </font>
    <font>
      <sz val="11"/>
      <color rgb="FF666666"/>
      <name val="Calibri"/>
      <family val="2"/>
    </font>
    <font>
      <sz val="11"/>
      <color theme="1"/>
      <name val="Calibri"/>
      <family val="2"/>
    </font>
    <font>
      <sz val="11"/>
      <color rgb="FFD0D0D0"/>
      <name val="Calibri"/>
      <family val="2"/>
    </font>
    <font>
      <sz val="6"/>
      <color rgb="FFD0D0D0"/>
      <name val="Consolas"/>
      <family val="3"/>
    </font>
    <font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D2137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26602984710227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1325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999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E0E0E0"/>
      </bottom>
      <diagonal/>
    </border>
  </borders>
  <cellStyleXfs count="5">
    <xf numFmtId="0" fontId="0" fillId="0" borderId="0"/>
    <xf numFmtId="43" fontId="42" fillId="0" borderId="0"/>
    <xf numFmtId="44" fontId="42" fillId="0" borderId="0"/>
    <xf numFmtId="9" fontId="42" fillId="0" borderId="0"/>
    <xf numFmtId="0" fontId="40" fillId="0" borderId="0">
      <alignment vertical="center"/>
    </xf>
  </cellStyleXfs>
  <cellXfs count="267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4" fontId="0" fillId="2" borderId="1" xfId="0" applyNumberFormat="1" applyFill="1" applyBorder="1"/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4" fontId="0" fillId="2" borderId="5" xfId="0" applyNumberFormat="1" applyFill="1" applyBorder="1"/>
    <xf numFmtId="0" fontId="0" fillId="2" borderId="5" xfId="0" applyFill="1" applyBorder="1"/>
    <xf numFmtId="10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3" borderId="0" xfId="0" applyFont="1" applyFill="1"/>
    <xf numFmtId="49" fontId="0" fillId="2" borderId="5" xfId="0" applyNumberFormat="1" applyFill="1" applyBorder="1"/>
    <xf numFmtId="2" fontId="0" fillId="2" borderId="1" xfId="0" applyNumberFormat="1" applyFill="1" applyBorder="1" applyAlignment="1">
      <alignment horizontal="center"/>
    </xf>
    <xf numFmtId="166" fontId="42" fillId="2" borderId="1" xfId="3" applyNumberFormat="1" applyFill="1" applyBorder="1" applyAlignment="1">
      <alignment horizontal="center"/>
    </xf>
    <xf numFmtId="10" fontId="42" fillId="2" borderId="1" xfId="3" applyNumberFormat="1" applyFill="1" applyBorder="1" applyAlignment="1">
      <alignment horizontal="center"/>
    </xf>
    <xf numFmtId="2" fontId="42" fillId="2" borderId="1" xfId="3" applyNumberFormat="1" applyFill="1" applyBorder="1" applyAlignment="1">
      <alignment horizontal="center"/>
    </xf>
    <xf numFmtId="166" fontId="42" fillId="2" borderId="5" xfId="3" applyNumberFormat="1" applyFill="1" applyBorder="1" applyAlignment="1">
      <alignment horizontal="center"/>
    </xf>
    <xf numFmtId="2" fontId="42" fillId="2" borderId="5" xfId="3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/>
    </xf>
    <xf numFmtId="1" fontId="3" fillId="5" borderId="6" xfId="0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6" xfId="0" applyBorder="1"/>
    <xf numFmtId="164" fontId="0" fillId="0" borderId="6" xfId="0" applyNumberFormat="1" applyBorder="1" applyAlignment="1">
      <alignment vertical="top" wrapText="1"/>
    </xf>
    <xf numFmtId="1" fontId="0" fillId="0" borderId="6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left" vertical="top" wrapText="1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167" fontId="7" fillId="0" borderId="0" xfId="0" applyNumberFormat="1" applyFont="1"/>
    <xf numFmtId="0" fontId="7" fillId="0" borderId="0" xfId="0" applyFont="1" applyAlignment="1">
      <alignment vertical="center" wrapText="1"/>
    </xf>
    <xf numFmtId="44" fontId="7" fillId="0" borderId="0" xfId="2" applyFont="1"/>
    <xf numFmtId="0" fontId="7" fillId="10" borderId="11" xfId="0" applyFont="1" applyFill="1" applyBorder="1" applyAlignment="1">
      <alignment horizontal="center"/>
    </xf>
    <xf numFmtId="167" fontId="7" fillId="10" borderId="1" xfId="0" applyNumberFormat="1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44" fontId="7" fillId="10" borderId="1" xfId="2" applyFont="1" applyFill="1" applyBorder="1" applyAlignment="1">
      <alignment horizontal="center"/>
    </xf>
    <xf numFmtId="1" fontId="7" fillId="10" borderId="1" xfId="1" applyNumberFormat="1" applyFont="1" applyFill="1" applyBorder="1" applyAlignment="1">
      <alignment horizontal="center"/>
    </xf>
    <xf numFmtId="168" fontId="7" fillId="10" borderId="2" xfId="1" applyNumberFormat="1" applyFont="1" applyFill="1" applyBorder="1" applyAlignment="1">
      <alignment horizontal="center"/>
    </xf>
    <xf numFmtId="0" fontId="7" fillId="0" borderId="0" xfId="0" applyFont="1" applyAlignment="1">
      <alignment wrapText="1"/>
    </xf>
    <xf numFmtId="167" fontId="7" fillId="2" borderId="0" xfId="0" applyNumberFormat="1" applyFont="1" applyFill="1"/>
    <xf numFmtId="0" fontId="7" fillId="11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12" borderId="11" xfId="0" applyFont="1" applyFill="1" applyBorder="1" applyAlignment="1">
      <alignment horizontal="center"/>
    </xf>
    <xf numFmtId="167" fontId="7" fillId="12" borderId="1" xfId="0" applyNumberFormat="1" applyFont="1" applyFill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7" fontId="7" fillId="0" borderId="0" xfId="0" applyNumberFormat="1" applyFont="1" applyAlignment="1">
      <alignment wrapText="1"/>
    </xf>
    <xf numFmtId="0" fontId="7" fillId="10" borderId="12" xfId="0" applyFont="1" applyFill="1" applyBorder="1" applyAlignment="1">
      <alignment horizontal="center"/>
    </xf>
    <xf numFmtId="167" fontId="7" fillId="10" borderId="5" xfId="0" applyNumberFormat="1" applyFont="1" applyFill="1" applyBorder="1" applyAlignment="1">
      <alignment horizontal="center"/>
    </xf>
    <xf numFmtId="1" fontId="7" fillId="10" borderId="5" xfId="0" applyNumberFormat="1" applyFont="1" applyFill="1" applyBorder="1" applyAlignment="1">
      <alignment horizontal="center"/>
    </xf>
    <xf numFmtId="2" fontId="7" fillId="10" borderId="5" xfId="0" applyNumberFormat="1" applyFont="1" applyFill="1" applyBorder="1" applyAlignment="1">
      <alignment horizontal="center"/>
    </xf>
    <xf numFmtId="44" fontId="7" fillId="10" borderId="5" xfId="2" applyFont="1" applyFill="1" applyBorder="1" applyAlignment="1">
      <alignment horizontal="center"/>
    </xf>
    <xf numFmtId="1" fontId="7" fillId="10" borderId="5" xfId="1" applyNumberFormat="1" applyFont="1" applyFill="1" applyBorder="1" applyAlignment="1">
      <alignment horizontal="center"/>
    </xf>
    <xf numFmtId="168" fontId="7" fillId="10" borderId="13" xfId="1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12" fillId="0" borderId="6" xfId="0" applyFont="1" applyBorder="1"/>
    <xf numFmtId="0" fontId="12" fillId="0" borderId="0" xfId="0" applyFont="1" applyAlignment="1" applyProtection="1">
      <alignment horizontal="right"/>
      <protection locked="0"/>
    </xf>
    <xf numFmtId="0" fontId="12" fillId="0" borderId="0" xfId="0" applyFont="1" applyProtection="1">
      <protection locked="0"/>
    </xf>
    <xf numFmtId="0" fontId="12" fillId="0" borderId="6" xfId="0" applyFont="1" applyBorder="1" applyProtection="1">
      <protection locked="0"/>
    </xf>
    <xf numFmtId="167" fontId="12" fillId="13" borderId="6" xfId="0" applyNumberFormat="1" applyFont="1" applyFill="1" applyBorder="1" applyProtection="1">
      <protection locked="0"/>
    </xf>
    <xf numFmtId="167" fontId="13" fillId="14" borderId="6" xfId="0" applyNumberFormat="1" applyFont="1" applyFill="1" applyBorder="1"/>
    <xf numFmtId="0" fontId="7" fillId="2" borderId="0" xfId="0" applyFont="1" applyFill="1"/>
    <xf numFmtId="165" fontId="7" fillId="0" borderId="0" xfId="0" applyNumberFormat="1" applyFont="1" applyAlignment="1">
      <alignment horizontal="left"/>
    </xf>
    <xf numFmtId="44" fontId="7" fillId="0" borderId="0" xfId="0" applyNumberFormat="1" applyFont="1"/>
    <xf numFmtId="2" fontId="13" fillId="14" borderId="6" xfId="0" applyNumberFormat="1" applyFont="1" applyFill="1" applyBorder="1"/>
    <xf numFmtId="1" fontId="7" fillId="0" borderId="0" xfId="0" applyNumberFormat="1" applyFont="1"/>
    <xf numFmtId="169" fontId="7" fillId="0" borderId="0" xfId="1" applyNumberFormat="1" applyFont="1"/>
    <xf numFmtId="165" fontId="7" fillId="0" borderId="0" xfId="0" applyNumberFormat="1" applyFont="1"/>
    <xf numFmtId="1" fontId="7" fillId="0" borderId="0" xfId="1" applyNumberFormat="1" applyFont="1"/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left"/>
    </xf>
    <xf numFmtId="167" fontId="14" fillId="13" borderId="6" xfId="0" applyNumberFormat="1" applyFont="1" applyFill="1" applyBorder="1"/>
    <xf numFmtId="167" fontId="12" fillId="13" borderId="6" xfId="0" applyNumberFormat="1" applyFont="1" applyFill="1" applyBorder="1" applyAlignment="1" applyProtection="1">
      <alignment horizontal="right"/>
      <protection locked="0"/>
    </xf>
    <xf numFmtId="1" fontId="13" fillId="14" borderId="6" xfId="0" applyNumberFormat="1" applyFont="1" applyFill="1" applyBorder="1"/>
    <xf numFmtId="166" fontId="13" fillId="14" borderId="6" xfId="0" applyNumberFormat="1" applyFont="1" applyFill="1" applyBorder="1"/>
    <xf numFmtId="0" fontId="10" fillId="9" borderId="8" xfId="0" applyFont="1" applyFill="1" applyBorder="1"/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wrapText="1"/>
    </xf>
    <xf numFmtId="44" fontId="7" fillId="0" borderId="1" xfId="2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Protection="1">
      <protection locked="0"/>
    </xf>
    <xf numFmtId="2" fontId="7" fillId="2" borderId="0" xfId="0" applyNumberFormat="1" applyFont="1" applyFill="1"/>
    <xf numFmtId="167" fontId="7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center"/>
    </xf>
    <xf numFmtId="167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2" fontId="7" fillId="0" borderId="5" xfId="0" applyNumberFormat="1" applyFont="1" applyBorder="1" applyAlignment="1">
      <alignment horizontal="center" wrapText="1"/>
    </xf>
    <xf numFmtId="44" fontId="7" fillId="0" borderId="5" xfId="2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wrapText="1"/>
    </xf>
    <xf numFmtId="2" fontId="7" fillId="0" borderId="0" xfId="0" applyNumberFormat="1" applyFont="1" applyAlignment="1">
      <alignment horizontal="center" wrapText="1"/>
    </xf>
    <xf numFmtId="44" fontId="7" fillId="0" borderId="0" xfId="2" applyFont="1" applyAlignment="1">
      <alignment horizontal="center"/>
    </xf>
    <xf numFmtId="165" fontId="7" fillId="0" borderId="0" xfId="0" applyNumberFormat="1" applyFont="1" applyAlignment="1">
      <alignment horizontal="center"/>
    </xf>
    <xf numFmtId="9" fontId="7" fillId="0" borderId="0" xfId="3" applyFont="1" applyAlignment="1">
      <alignment horizontal="left"/>
    </xf>
    <xf numFmtId="9" fontId="7" fillId="0" borderId="0" xfId="3" applyFont="1" applyAlignment="1">
      <alignment horizontal="center"/>
    </xf>
    <xf numFmtId="9" fontId="7" fillId="0" borderId="0" xfId="3" applyFont="1"/>
    <xf numFmtId="0" fontId="7" fillId="0" borderId="7" xfId="0" applyFont="1" applyBorder="1" applyAlignment="1">
      <alignment horizontal="center" vertical="center" wrapText="1"/>
    </xf>
    <xf numFmtId="167" fontId="12" fillId="13" borderId="6" xfId="0" applyNumberFormat="1" applyFont="1" applyFill="1" applyBorder="1" applyAlignment="1" applyProtection="1">
      <alignment horizontal="center"/>
      <protection locked="0"/>
    </xf>
    <xf numFmtId="2" fontId="7" fillId="0" borderId="0" xfId="0" applyNumberFormat="1" applyFont="1"/>
    <xf numFmtId="1" fontId="7" fillId="11" borderId="0" xfId="0" applyNumberFormat="1" applyFont="1" applyFill="1"/>
    <xf numFmtId="0" fontId="7" fillId="11" borderId="0" xfId="0" applyFont="1" applyFill="1"/>
    <xf numFmtId="0" fontId="3" fillId="15" borderId="0" xfId="0" applyFont="1" applyFill="1"/>
    <xf numFmtId="0" fontId="3" fillId="5" borderId="15" xfId="0" applyFont="1" applyFill="1" applyBorder="1"/>
    <xf numFmtId="0" fontId="3" fillId="5" borderId="6" xfId="0" applyFont="1" applyFill="1" applyBorder="1"/>
    <xf numFmtId="0" fontId="3" fillId="5" borderId="7" xfId="0" applyFont="1" applyFill="1" applyBorder="1" applyAlignment="1">
      <alignment horizontal="center" vertical="center" wrapText="1"/>
    </xf>
    <xf numFmtId="0" fontId="3" fillId="5" borderId="17" xfId="0" applyFont="1" applyFill="1" applyBorder="1"/>
    <xf numFmtId="0" fontId="7" fillId="0" borderId="15" xfId="0" applyFont="1" applyBorder="1"/>
    <xf numFmtId="167" fontId="7" fillId="0" borderId="6" xfId="0" applyNumberFormat="1" applyFont="1" applyBorder="1"/>
    <xf numFmtId="165" fontId="7" fillId="0" borderId="6" xfId="0" applyNumberFormat="1" applyFont="1" applyBorder="1"/>
    <xf numFmtId="3" fontId="7" fillId="0" borderId="7" xfId="0" applyNumberFormat="1" applyFont="1" applyBorder="1" applyAlignment="1">
      <alignment horizontal="center" vertical="center" wrapText="1"/>
    </xf>
    <xf numFmtId="170" fontId="7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165" fontId="7" fillId="0" borderId="17" xfId="0" applyNumberFormat="1" applyFont="1" applyBorder="1"/>
    <xf numFmtId="0" fontId="7" fillId="0" borderId="18" xfId="0" applyFont="1" applyBorder="1"/>
    <xf numFmtId="167" fontId="7" fillId="0" borderId="19" xfId="0" applyNumberFormat="1" applyFont="1" applyBorder="1"/>
    <xf numFmtId="165" fontId="7" fillId="0" borderId="19" xfId="0" applyNumberFormat="1" applyFont="1" applyBorder="1"/>
    <xf numFmtId="3" fontId="7" fillId="0" borderId="20" xfId="0" applyNumberFormat="1" applyFont="1" applyBorder="1" applyAlignment="1">
      <alignment horizontal="center" vertical="center" wrapText="1"/>
    </xf>
    <xf numFmtId="170" fontId="7" fillId="0" borderId="20" xfId="0" applyNumberFormat="1" applyFont="1" applyBorder="1" applyAlignment="1">
      <alignment horizontal="center" vertical="center" wrapText="1"/>
    </xf>
    <xf numFmtId="165" fontId="7" fillId="0" borderId="20" xfId="0" applyNumberFormat="1" applyFont="1" applyBorder="1" applyAlignment="1">
      <alignment horizontal="center" vertical="center" wrapText="1"/>
    </xf>
    <xf numFmtId="165" fontId="7" fillId="0" borderId="21" xfId="0" applyNumberFormat="1" applyFont="1" applyBorder="1"/>
    <xf numFmtId="1" fontId="7" fillId="0" borderId="7" xfId="0" applyNumberFormat="1" applyFont="1" applyBorder="1" applyAlignment="1">
      <alignment horizontal="center" vertical="center" wrapText="1"/>
    </xf>
    <xf numFmtId="0" fontId="7" fillId="0" borderId="21" xfId="0" applyFont="1" applyBorder="1"/>
    <xf numFmtId="0" fontId="4" fillId="17" borderId="0" xfId="0" applyFont="1" applyFill="1" applyAlignment="1">
      <alignment horizontal="center"/>
    </xf>
    <xf numFmtId="0" fontId="17" fillId="18" borderId="0" xfId="0" applyFont="1" applyFill="1" applyProtection="1">
      <protection locked="0"/>
    </xf>
    <xf numFmtId="171" fontId="17" fillId="18" borderId="0" xfId="0" applyNumberFormat="1" applyFont="1" applyFill="1" applyProtection="1">
      <protection locked="0"/>
    </xf>
    <xf numFmtId="22" fontId="17" fillId="18" borderId="0" xfId="0" applyNumberFormat="1" applyFont="1" applyFill="1" applyProtection="1">
      <protection locked="0"/>
    </xf>
    <xf numFmtId="0" fontId="17" fillId="18" borderId="0" xfId="0" applyFont="1" applyFill="1"/>
    <xf numFmtId="0" fontId="17" fillId="19" borderId="0" xfId="0" applyFont="1" applyFill="1" applyProtection="1">
      <protection locked="0"/>
    </xf>
    <xf numFmtId="171" fontId="17" fillId="19" borderId="0" xfId="0" applyNumberFormat="1" applyFont="1" applyFill="1" applyProtection="1">
      <protection locked="0"/>
    </xf>
    <xf numFmtId="22" fontId="17" fillId="19" borderId="0" xfId="0" applyNumberFormat="1" applyFont="1" applyFill="1" applyProtection="1">
      <protection locked="0"/>
    </xf>
    <xf numFmtId="0" fontId="17" fillId="19" borderId="0" xfId="0" applyFont="1" applyFill="1"/>
    <xf numFmtId="0" fontId="18" fillId="17" borderId="1" xfId="0" applyFont="1" applyFill="1" applyBorder="1" applyAlignment="1">
      <alignment horizontal="center" vertical="top"/>
    </xf>
    <xf numFmtId="0" fontId="18" fillId="17" borderId="4" xfId="0" applyFont="1" applyFill="1" applyBorder="1" applyAlignment="1">
      <alignment horizontal="center" vertical="top"/>
    </xf>
    <xf numFmtId="0" fontId="14" fillId="13" borderId="0" xfId="0" applyFont="1" applyFill="1" applyProtection="1">
      <protection locked="0"/>
    </xf>
    <xf numFmtId="0" fontId="19" fillId="20" borderId="0" xfId="0" applyFont="1" applyFill="1"/>
    <xf numFmtId="44" fontId="19" fillId="20" borderId="0" xfId="2" applyFont="1" applyFill="1"/>
    <xf numFmtId="9" fontId="19" fillId="20" borderId="0" xfId="3" applyFont="1" applyFill="1"/>
    <xf numFmtId="165" fontId="19" fillId="20" borderId="0" xfId="0" applyNumberFormat="1" applyFont="1" applyFill="1"/>
    <xf numFmtId="0" fontId="8" fillId="7" borderId="9" xfId="0" applyFont="1" applyFill="1" applyBorder="1" applyAlignment="1">
      <alignment horizontal="center" vertical="top"/>
    </xf>
    <xf numFmtId="0" fontId="8" fillId="7" borderId="9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170" fontId="17" fillId="13" borderId="0" xfId="2" applyNumberFormat="1" applyFont="1" applyFill="1" applyAlignment="1" applyProtection="1">
      <alignment horizontal="right"/>
      <protection locked="0"/>
    </xf>
    <xf numFmtId="0" fontId="17" fillId="13" borderId="0" xfId="0" applyFont="1" applyFill="1" applyAlignment="1" applyProtection="1">
      <alignment horizontal="right"/>
      <protection locked="0"/>
    </xf>
    <xf numFmtId="172" fontId="19" fillId="20" borderId="0" xfId="2" applyNumberFormat="1" applyFont="1" applyFill="1" applyAlignment="1">
      <alignment horizontal="right"/>
    </xf>
    <xf numFmtId="165" fontId="19" fillId="20" borderId="0" xfId="2" applyNumberFormat="1" applyFont="1" applyFill="1" applyAlignment="1">
      <alignment horizontal="right"/>
    </xf>
    <xf numFmtId="166" fontId="17" fillId="13" borderId="0" xfId="3" applyNumberFormat="1" applyFont="1" applyFill="1" applyAlignment="1" applyProtection="1">
      <alignment horizontal="right"/>
      <protection locked="0"/>
    </xf>
    <xf numFmtId="1" fontId="17" fillId="13" borderId="0" xfId="2" applyNumberFormat="1" applyFont="1" applyFill="1" applyAlignment="1" applyProtection="1">
      <alignment horizontal="right"/>
      <protection locked="0"/>
    </xf>
    <xf numFmtId="0" fontId="14" fillId="0" borderId="0" xfId="0" applyFont="1"/>
    <xf numFmtId="0" fontId="2" fillId="0" borderId="0" xfId="0" applyFont="1" applyAlignment="1">
      <alignment horizontal="right"/>
    </xf>
    <xf numFmtId="170" fontId="20" fillId="21" borderId="0" xfId="0" applyNumberFormat="1" applyFont="1" applyFill="1"/>
    <xf numFmtId="170" fontId="19" fillId="20" borderId="0" xfId="2" applyNumberFormat="1" applyFont="1" applyFill="1" applyAlignment="1">
      <alignment horizontal="right"/>
    </xf>
    <xf numFmtId="170" fontId="19" fillId="20" borderId="0" xfId="2" applyNumberFormat="1" applyFont="1" applyFill="1"/>
    <xf numFmtId="44" fontId="19" fillId="20" borderId="0" xfId="2" applyFont="1" applyFill="1" applyAlignment="1">
      <alignment horizontal="right"/>
    </xf>
    <xf numFmtId="0" fontId="18" fillId="17" borderId="22" xfId="0" applyFont="1" applyFill="1" applyBorder="1" applyAlignment="1">
      <alignment horizontal="center" vertical="center" wrapText="1"/>
    </xf>
    <xf numFmtId="0" fontId="4" fillId="22" borderId="22" xfId="0" applyFont="1" applyFill="1" applyBorder="1" applyAlignment="1">
      <alignment horizontal="center"/>
    </xf>
    <xf numFmtId="0" fontId="7" fillId="23" borderId="22" xfId="0" applyFont="1" applyFill="1" applyBorder="1" applyAlignment="1">
      <alignment horizontal="center"/>
    </xf>
    <xf numFmtId="1" fontId="7" fillId="0" borderId="22" xfId="0" applyNumberFormat="1" applyFont="1" applyBorder="1" applyAlignment="1">
      <alignment horizontal="center"/>
    </xf>
    <xf numFmtId="166" fontId="7" fillId="0" borderId="22" xfId="0" applyNumberFormat="1" applyFont="1" applyBorder="1" applyAlignment="1">
      <alignment horizontal="center"/>
    </xf>
    <xf numFmtId="165" fontId="7" fillId="0" borderId="22" xfId="0" applyNumberFormat="1" applyFont="1" applyBorder="1" applyAlignment="1">
      <alignment horizontal="center"/>
    </xf>
    <xf numFmtId="0" fontId="7" fillId="24" borderId="22" xfId="0" applyFont="1" applyFill="1" applyBorder="1" applyAlignment="1">
      <alignment horizontal="center"/>
    </xf>
    <xf numFmtId="0" fontId="7" fillId="24" borderId="0" xfId="0" applyFont="1" applyFill="1"/>
    <xf numFmtId="0" fontId="7" fillId="24" borderId="23" xfId="0" applyFont="1" applyFill="1" applyBorder="1"/>
    <xf numFmtId="9" fontId="43" fillId="20" borderId="0" xfId="3" applyFont="1" applyFill="1"/>
    <xf numFmtId="0" fontId="44" fillId="13" borderId="0" xfId="0" applyFont="1" applyFill="1" applyProtection="1">
      <protection locked="0"/>
    </xf>
    <xf numFmtId="0" fontId="45" fillId="20" borderId="0" xfId="0" applyFont="1" applyFill="1"/>
    <xf numFmtId="172" fontId="45" fillId="20" borderId="0" xfId="2" applyNumberFormat="1" applyFont="1" applyFill="1"/>
    <xf numFmtId="44" fontId="45" fillId="20" borderId="0" xfId="2" applyFont="1" applyFill="1"/>
    <xf numFmtId="172" fontId="1" fillId="20" borderId="0" xfId="2" applyNumberFormat="1" applyFont="1" applyFill="1"/>
    <xf numFmtId="9" fontId="45" fillId="20" borderId="0" xfId="3" applyFont="1" applyFill="1"/>
    <xf numFmtId="2" fontId="45" fillId="20" borderId="0" xfId="0" applyNumberFormat="1" applyFont="1" applyFill="1"/>
    <xf numFmtId="165" fontId="45" fillId="20" borderId="0" xfId="0" applyNumberFormat="1" applyFont="1" applyFill="1"/>
    <xf numFmtId="172" fontId="46" fillId="20" borderId="0" xfId="2" applyNumberFormat="1" applyFont="1" applyFill="1"/>
    <xf numFmtId="16" fontId="47" fillId="13" borderId="0" xfId="0" applyNumberFormat="1" applyFont="1" applyFill="1" applyProtection="1">
      <protection locked="0"/>
    </xf>
    <xf numFmtId="16" fontId="48" fillId="13" borderId="0" xfId="0" applyNumberFormat="1" applyFont="1" applyFill="1" applyProtection="1">
      <protection locked="0"/>
    </xf>
    <xf numFmtId="173" fontId="49" fillId="0" borderId="22" xfId="0" applyNumberFormat="1" applyFont="1" applyBorder="1" applyAlignment="1">
      <alignment horizontal="center"/>
    </xf>
    <xf numFmtId="170" fontId="49" fillId="0" borderId="22" xfId="0" applyNumberFormat="1" applyFont="1" applyBorder="1" applyAlignment="1">
      <alignment horizontal="center"/>
    </xf>
    <xf numFmtId="0" fontId="22" fillId="24" borderId="0" xfId="0" applyFont="1" applyFill="1" applyAlignment="1">
      <alignment horizontal="left" vertical="center" wrapText="1"/>
    </xf>
    <xf numFmtId="0" fontId="7" fillId="0" borderId="0" xfId="0" applyFont="1"/>
    <xf numFmtId="0" fontId="38" fillId="24" borderId="0" xfId="0" applyFont="1" applyFill="1" applyAlignment="1">
      <alignment horizontal="left" vertical="center" wrapText="1"/>
    </xf>
    <xf numFmtId="0" fontId="18" fillId="17" borderId="0" xfId="0" applyFont="1" applyFill="1" applyAlignment="1">
      <alignment horizontal="left" vertical="center" wrapText="1"/>
    </xf>
    <xf numFmtId="0" fontId="39" fillId="0" borderId="0" xfId="4" applyFont="1">
      <alignment vertical="center"/>
    </xf>
    <xf numFmtId="0" fontId="32" fillId="24" borderId="0" xfId="0" applyFont="1" applyFill="1" applyAlignment="1">
      <alignment horizontal="left" vertical="center" wrapText="1"/>
    </xf>
    <xf numFmtId="0" fontId="32" fillId="24" borderId="23" xfId="0" applyFont="1" applyFill="1" applyBorder="1" applyAlignment="1">
      <alignment horizontal="left" vertical="center" wrapText="1"/>
    </xf>
    <xf numFmtId="0" fontId="0" fillId="0" borderId="23" xfId="0" applyBorder="1"/>
    <xf numFmtId="0" fontId="22" fillId="24" borderId="23" xfId="0" applyFont="1" applyFill="1" applyBorder="1" applyAlignment="1">
      <alignment horizontal="left" vertical="center" wrapText="1"/>
    </xf>
    <xf numFmtId="0" fontId="26" fillId="24" borderId="0" xfId="0" applyFont="1" applyFill="1" applyAlignment="1">
      <alignment horizontal="left" vertical="center" wrapText="1"/>
    </xf>
    <xf numFmtId="0" fontId="35" fillId="25" borderId="0" xfId="0" applyFont="1" applyFill="1" applyAlignment="1">
      <alignment horizontal="left" vertical="center"/>
    </xf>
    <xf numFmtId="0" fontId="24" fillId="24" borderId="0" xfId="0" applyFont="1" applyFill="1" applyAlignment="1">
      <alignment horizontal="left" vertical="center"/>
    </xf>
    <xf numFmtId="0" fontId="36" fillId="26" borderId="0" xfId="0" applyFont="1" applyFill="1" applyAlignment="1">
      <alignment horizontal="left" vertical="center"/>
    </xf>
    <xf numFmtId="0" fontId="37" fillId="27" borderId="23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left" vertical="center"/>
    </xf>
    <xf numFmtId="0" fontId="25" fillId="20" borderId="0" xfId="0" applyFont="1" applyFill="1" applyAlignment="1">
      <alignment horizontal="left" vertical="center"/>
    </xf>
    <xf numFmtId="0" fontId="23" fillId="24" borderId="0" xfId="0" applyFont="1" applyFill="1" applyAlignment="1">
      <alignment horizontal="left" vertical="center"/>
    </xf>
    <xf numFmtId="0" fontId="23" fillId="24" borderId="0" xfId="0" applyFont="1" applyFill="1" applyAlignment="1">
      <alignment horizontal="left" vertical="center" wrapText="1"/>
    </xf>
    <xf numFmtId="0" fontId="33" fillId="24" borderId="0" xfId="0" applyFont="1" applyFill="1" applyAlignment="1">
      <alignment horizontal="left" vertical="center" wrapText="1"/>
    </xf>
    <xf numFmtId="0" fontId="33" fillId="24" borderId="23" xfId="0" applyFont="1" applyFill="1" applyBorder="1" applyAlignment="1">
      <alignment horizontal="left" vertical="center" wrapText="1"/>
    </xf>
    <xf numFmtId="0" fontId="34" fillId="24" borderId="0" xfId="0" applyFont="1" applyFill="1" applyAlignment="1">
      <alignment horizontal="left" vertical="center" wrapText="1"/>
    </xf>
    <xf numFmtId="0" fontId="31" fillId="24" borderId="23" xfId="0" applyFont="1" applyFill="1" applyBorder="1" applyAlignment="1">
      <alignment horizontal="left" vertical="center" wrapText="1"/>
    </xf>
    <xf numFmtId="0" fontId="29" fillId="24" borderId="0" xfId="0" applyFont="1" applyFill="1" applyAlignment="1">
      <alignment horizontal="left" vertical="center" wrapText="1"/>
    </xf>
    <xf numFmtId="0" fontId="23" fillId="13" borderId="0" xfId="0" applyFont="1" applyFill="1" applyAlignment="1">
      <alignment horizontal="left" vertical="center"/>
    </xf>
    <xf numFmtId="0" fontId="30" fillId="24" borderId="0" xfId="0" applyFont="1" applyFill="1" applyAlignment="1">
      <alignment horizontal="left" vertical="center" wrapText="1"/>
    </xf>
    <xf numFmtId="0" fontId="31" fillId="24" borderId="0" xfId="0" applyFont="1" applyFill="1" applyAlignment="1">
      <alignment horizontal="left" vertical="center" wrapText="1"/>
    </xf>
    <xf numFmtId="0" fontId="25" fillId="20" borderId="23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 wrapText="1"/>
    </xf>
    <xf numFmtId="0" fontId="27" fillId="24" borderId="0" xfId="0" applyFont="1" applyFill="1" applyAlignment="1">
      <alignment horizontal="left" vertical="center" wrapText="1"/>
    </xf>
    <xf numFmtId="0" fontId="28" fillId="24" borderId="23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2" fillId="24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/>
    <xf numFmtId="0" fontId="7" fillId="1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4">
    <dxf>
      <font>
        <b/>
        <color rgb="FF7F0000"/>
      </font>
      <fill>
        <patternFill patternType="solid">
          <fgColor rgb="FFFF9999"/>
          <bgColor rgb="FFFF9999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7F0000"/>
      </font>
      <fill>
        <patternFill patternType="solid">
          <bgColor rgb="FFFF999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7F0000"/>
      </font>
      <fill>
        <patternFill patternType="solid">
          <bgColor rgb="FFFFCDD2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B71C1C"/>
      </font>
      <fill>
        <patternFill patternType="solid">
          <bgColor rgb="FFFDECEA"/>
        </patternFill>
      </fill>
    </dxf>
    <dxf>
      <font>
        <color rgb="FF1A7A4A"/>
      </font>
      <fill>
        <patternFill patternType="solid">
          <bgColor rgb="FFE8F8F0"/>
        </patternFill>
      </fill>
    </dxf>
    <dxf>
      <font>
        <color rgb="FFB71C1C"/>
      </font>
      <fill>
        <patternFill patternType="solid">
          <bgColor rgb="FFFDECEA"/>
        </patternFill>
      </fill>
    </dxf>
    <dxf>
      <font>
        <color rgb="FF1A7A4A"/>
      </font>
      <fill>
        <patternFill patternType="solid">
          <bgColor rgb="FFE8F8F0"/>
        </patternFill>
      </fill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0" formatCode="General"/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74" formatCode="[$-409]d\-mmm;@"/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27" formatCode="m/d/yyyy\ h:mm"/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71" formatCode="[Color10]&quot;$&quot;#,##0.00;[Red]\-&quot;$&quot;#,##0.00;0"/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75" formatCode="#,##0.0000"/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bgColor rgb="FFFFFFFF"/>
        </patternFill>
      </fill>
      <border>
        <left style="hair">
          <color rgb="FFD8D8D8"/>
        </left>
        <right style="hair">
          <color rgb="FFD8D8D8"/>
        </right>
        <top style="hair">
          <color rgb="FFD8D8D8"/>
        </top>
        <bottom style="hair">
          <color rgb="FFD8D8D8"/>
        </bottom>
      </border>
      <protection locked="0"/>
    </dxf>
    <dxf>
      <font>
        <name val="Calibri"/>
        <scheme val="none"/>
      </font>
    </dxf>
    <dxf>
      <font>
        <name val="Calibri"/>
        <scheme val="none"/>
      </font>
      <numFmt numFmtId="13" formatCode="0%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5" formatCode="0.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protection locked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2" formatCode="_(&quot;$&quot;* #,##0_);_(&quot;$&quot;* \(#,##0\);_(&quot;$&quot;* &quot;-&quot;??_);_(@_)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2" formatCode="_(&quot;$&quot;* #,##0_);_(&quot;$&quot;* \(#,##0\);_(&quot;$&quot;* &quot;-&quot;??_);_(@_)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2" formatCode="_(&quot;$&quot;* #,##0_);_(&quot;$&quot;* \(#,##0\);_(&quot;$&quot;* &quot;-&quot;??_);_(@_)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2" formatCode="_(&quot;$&quot;* #,##0_);_(&quot;$&quot;* \(#,##0\);_(&quot;$&quot;* &quot;-&quot;??_);_(@_)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2" formatCode="_(&quot;$&quot;* #,##0_);_(&quot;$&quot;* \(#,##0\);_(&quot;$&quot;* &quot;-&quot;??_);_(@_)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protection locked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protection locked="0"/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protection locked="0"/>
    </dxf>
    <dxf>
      <font>
        <name val="Calibri"/>
        <scheme val="none"/>
      </font>
    </dxf>
    <dxf>
      <font>
        <sz val="11"/>
        <color rgb="FF1A3A5C"/>
        <name val="Calibri"/>
        <scheme val="none"/>
      </font>
    </dxf>
    <dxf>
      <font>
        <sz val="11"/>
        <name val="Calibri"/>
        <scheme val="none"/>
      </font>
      <numFmt numFmtId="165" formatCode="0.0"/>
      <alignment horizontal="center"/>
    </dxf>
    <dxf>
      <font>
        <sz val="11"/>
        <name val="Calibri"/>
        <scheme val="none"/>
      </font>
      <numFmt numFmtId="165" formatCode="0.0"/>
      <alignment horizontal="center"/>
    </dxf>
    <dxf>
      <font>
        <sz val="11"/>
        <name val="Calibri"/>
        <scheme val="none"/>
      </font>
      <numFmt numFmtId="166" formatCode="0.0%"/>
      <alignment horizontal="center"/>
      <border outline="0">
        <left style="thin">
          <color rgb="FFD9D9D9"/>
        </left>
      </border>
    </dxf>
    <dxf>
      <font>
        <sz val="11"/>
        <color auto="1"/>
        <name val="Calibri"/>
        <scheme val="none"/>
      </font>
      <numFmt numFmtId="173" formatCode="[Color10]&quot;$&quot;#,##0.00;[Red]\(&quot;$&quot;#,##0.00\);&quot;-&quot;"/>
      <alignment horizontal="center"/>
      <border outline="0">
        <left style="thin">
          <color rgb="FFD9D9D9"/>
        </left>
      </border>
    </dxf>
    <dxf>
      <font>
        <sz val="11"/>
        <color auto="1"/>
        <name val="Calibri"/>
        <scheme val="none"/>
      </font>
      <numFmt numFmtId="170" formatCode="&quot;$&quot;#,##0.00"/>
      <alignment horizontal="center"/>
      <border outline="0">
        <left style="thin">
          <color rgb="FFD9D9D9"/>
        </left>
        <right style="thin">
          <color rgb="FFD9D9D9"/>
        </right>
      </border>
    </dxf>
    <dxf>
      <font>
        <sz val="11"/>
        <color auto="1"/>
        <name val="Calibri"/>
        <scheme val="none"/>
      </font>
      <numFmt numFmtId="173" formatCode="[Color10]&quot;$&quot;#,##0.00;[Red]\(&quot;$&quot;#,##0.00\);&quot;-&quot;"/>
      <alignment horizontal="center"/>
      <border outline="0">
        <right style="thin">
          <color rgb="FFD9D9D9"/>
        </right>
      </border>
    </dxf>
    <dxf>
      <font>
        <sz val="11"/>
        <name val="Calibri"/>
        <scheme val="none"/>
      </font>
      <numFmt numFmtId="1" formatCode="0"/>
      <alignment horizontal="center"/>
      <border outline="0">
        <right style="thin">
          <color rgb="FFD9D9D9"/>
        </right>
      </border>
    </dxf>
    <dxf>
      <font>
        <sz val="11"/>
        <name val="Calibri"/>
        <scheme val="none"/>
      </font>
      <numFmt numFmtId="1" formatCode="0"/>
      <alignment horizontal="center"/>
    </dxf>
    <dxf>
      <font>
        <sz val="11"/>
        <name val="Calibri"/>
        <scheme val="none"/>
      </font>
      <numFmt numFmtId="1" formatCode="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21:K25">
  <autoFilter ref="A21:K25" xr:uid="{00000000-0009-0000-0100-000001000000}"/>
  <tableColumns count="11">
    <tableColumn id="1" xr3:uid="{00000000-0010-0000-0000-000001000000}" name="Week #"/>
    <tableColumn id="2" xr3:uid="{00000000-0010-0000-0000-000002000000}" name="Active Days">
      <calculatedColumnFormula>COUNTIFS('Daily Log'!$B:$B,$A22,'Daily Log'!$D:$D,"Y")</calculatedColumnFormula>
    </tableColumn>
    <tableColumn id="3" xr3:uid="{00000000-0010-0000-0000-000003000000}" name="Total Trades" dataDxfId="63">
      <calculatedColumnFormula>SUMIFS('Daily Log'!N:N,'Daily Log'!B:B,$A22)</calculatedColumnFormula>
    </tableColumn>
    <tableColumn id="4" xr3:uid="{00000000-0010-0000-0000-000004000000}" name="Total Wins" dataDxfId="62">
      <calculatedColumnFormula>SUMIFS('Daily Log'!O:O,'Daily Log'!B:B,$A22)</calculatedColumnFormula>
    </tableColumn>
    <tableColumn id="5" xr3:uid="{00000000-0010-0000-0000-000005000000}" name="Total Losses" dataDxfId="61">
      <calculatedColumnFormula>SUMIFS('Daily Log'!P:P,'Daily Log'!B:B,$A22)</calculatedColumnFormula>
    </tableColumn>
    <tableColumn id="6" xr3:uid="{00000000-0010-0000-0000-000006000000}" name="Week Net P&amp;L" dataDxfId="60">
      <calculatedColumnFormula>SUMIFS('Daily Log'!H:H,'Daily Log'!B:B,$A22)</calculatedColumnFormula>
    </tableColumn>
    <tableColumn id="7" xr3:uid="{00000000-0010-0000-0000-000007000000}" name="Weekly Target" dataDxfId="59">
      <calculatedColumnFormula>$B$6</calculatedColumnFormula>
    </tableColumn>
    <tableColumn id="8" xr3:uid="{00000000-0010-0000-0000-000008000000}" name="Week Variance ($)" dataDxfId="58">
      <calculatedColumnFormula>F22-G22</calculatedColumnFormula>
    </tableColumn>
    <tableColumn id="9" xr3:uid="{00000000-0010-0000-0000-000009000000}" name="Avg Win Rate %" dataDxfId="57">
      <calculatedColumnFormula>IFERROR(D22/C22,0)</calculatedColumnFormula>
    </tableColumn>
    <tableColumn id="10" xr3:uid="{00000000-0010-0000-0000-00000A000000}" name="Avg Reward:Risk" dataDxfId="56">
      <calculatedColumnFormula>IFERROR(SUMIFS('Daily Log'!T:T,'Daily Log'!B:B,$A22)/B22,0)</calculatedColumnFormula>
    </tableColumn>
    <tableColumn id="11" xr3:uid="{00000000-0010-0000-0000-00000B000000}" name="Total R" dataDxfId="55">
      <calculatedColumnFormula>SUMIFS('Daily Log'!U:U,'Daily Log'!B:B,$A22)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:B19">
  <autoFilter ref="A1:B19" xr:uid="{00000000-0009-0000-0100-000002000000}"/>
  <tableColumns count="2">
    <tableColumn id="1" xr3:uid="{00000000-0010-0000-0100-000001000000}" name="TRADING PERFORMANCE SUMMARY" dataDxfId="54"/>
    <tableColumn id="2" xr3:uid="{00000000-0010-0000-0100-000002000000}" name="TRADING PERFORMANCE SUMMARY2" dataDxfId="53">
      <calculatedColumnFormula>'Advanced Setup Planner'!EE1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Y100">
  <autoFilter ref="A1:Y100" xr:uid="{00000000-0009-0000-0100-000003000000}"/>
  <tableColumns count="25">
    <tableColumn id="1" xr3:uid="{00000000-0010-0000-0200-000001000000}" name="Date" dataDxfId="52"/>
    <tableColumn id="2" xr3:uid="{00000000-0010-0000-0200-000002000000}" name="Week #" dataDxfId="51"/>
    <tableColumn id="3" xr3:uid="{00000000-0010-0000-0200-000003000000}" name="Day of Week" dataDxfId="50">
      <calculatedColumnFormula>IF($A2="","",TEXT($A2,"dddd"))</calculatedColumnFormula>
    </tableColumn>
    <tableColumn id="4" xr3:uid="{00000000-0010-0000-0200-000004000000}" name="Active Trading Day? (Y/N)" dataDxfId="49"/>
    <tableColumn id="5" xr3:uid="{00000000-0010-0000-0200-000005000000}" name="Start NAV ($)" dataDxfId="48">
      <calculatedColumnFormula>IF($A2="","", E1+H1)</calculatedColumnFormula>
    </tableColumn>
    <tableColumn id="6" xr3:uid="{00000000-0010-0000-0200-000006000000}" name="Risk per Trade R ($)" dataDxfId="47">
      <calculatedColumnFormula>IF($A2="","",$E2*Summary!$B$8)</calculatedColumnFormula>
    </tableColumn>
    <tableColumn id="7" xr3:uid="{00000000-0010-0000-0200-000007000000}" name="Max Daily Loss Cap ($)" dataDxfId="46">
      <calculatedColumnFormula>IF($A2="","",F2*Summary!$B$9)</calculatedColumnFormula>
    </tableColumn>
    <tableColumn id="8" xr3:uid="{00000000-0010-0000-0200-000008000000}" name="Net P&amp;L ($)" dataDxfId="45">
      <calculatedColumnFormula>IF($A2="","",SUMIFS('Raw daily data'!$F:$F,'Raw daily data'!$I:$I,$A2))</calculatedColumnFormula>
    </tableColumn>
    <tableColumn id="9" xr3:uid="{00000000-0010-0000-0200-000009000000}" name="Cumulative P&amp;L Month ($)" dataDxfId="44">
      <calculatedColumnFormula>IF($A2="","", I1+H2)</calculatedColumnFormula>
    </tableColumn>
    <tableColumn id="10" xr3:uid="{00000000-0010-0000-0200-00000A000000}" name="Week P&amp;L ($)" dataDxfId="43">
      <calculatedColumnFormula>IF($A2="","",SUMIF($B$2:$B$100,B2,$H$2:$H$100))</calculatedColumnFormula>
    </tableColumn>
    <tableColumn id="11" xr3:uid="{00000000-0010-0000-0200-00000B000000}" name="Weekly Target ($)" dataDxfId="42">
      <calculatedColumnFormula>IF($A2="","",Summary!$B$6)</calculatedColumnFormula>
    </tableColumn>
    <tableColumn id="12" xr3:uid="{00000000-0010-0000-0200-00000C000000}" name="Week Variance vs Target ($)" dataDxfId="41">
      <calculatedColumnFormula>IF($A2="","",IFERROR(J2-K2,""))</calculatedColumnFormula>
    </tableColumn>
    <tableColumn id="13" xr3:uid="{00000000-0010-0000-0200-00000D000000}" name="Notes" dataDxfId="40"/>
    <tableColumn id="14" xr3:uid="{00000000-0010-0000-0200-00000E000000}" name="# Trades" dataDxfId="39">
      <calculatedColumnFormula>IF($A2="","",COUNTIFS('Raw daily data'!$I:$I,$A2))</calculatedColumnFormula>
    </tableColumn>
    <tableColumn id="15" xr3:uid="{00000000-0010-0000-0200-00000F000000}" name="# Wins" dataDxfId="38">
      <calculatedColumnFormula>IF($A2="","",COUNTIFS('Raw daily data'!$I:$I,$A2,'Raw daily data'!$F:$F,"&gt;0"))</calculatedColumnFormula>
    </tableColumn>
    <tableColumn id="16" xr3:uid="{00000000-0010-0000-0200-000010000000}" name="# Losses" dataDxfId="37">
      <calculatedColumnFormula>IF($A2="","",COUNTIFS('Raw daily data'!$I:$I,$A2,'Raw daily data'!$F:$F,"&lt;0"))</calculatedColumnFormula>
    </tableColumn>
    <tableColumn id="17" xr3:uid="{00000000-0010-0000-0200-000011000000}" name="Total Wins ($)" dataDxfId="36">
      <calculatedColumnFormula>IF($A2="","",SUMIFS('Raw daily data'!$F:$F,'Raw daily data'!$I:$I,$A2,'Raw daily data'!$F:$F,"&gt;0"))</calculatedColumnFormula>
    </tableColumn>
    <tableColumn id="18" xr3:uid="{00000000-0010-0000-0200-000012000000}" name="Total Losses ($)" dataDxfId="35">
      <calculatedColumnFormula>IF($A2="","",ABS(SUMIFS('Raw daily data'!$F:$F,'Raw daily data'!$I:$I,$A2,'Raw daily data'!$F:$F,"&lt;0")))</calculatedColumnFormula>
    </tableColumn>
    <tableColumn id="19" xr3:uid="{00000000-0010-0000-0200-000013000000}" name="Win Rate (%)" dataDxfId="34">
      <calculatedColumnFormula>IF($A2="","",IF(N2&gt;0,O2/N2,""))</calculatedColumnFormula>
    </tableColumn>
    <tableColumn id="20" xr3:uid="{00000000-0010-0000-0200-000014000000}" name="Reward:Risk" dataDxfId="33">
      <calculatedColumnFormula>IF($A2="","",IF(R2&gt;0,Q2/ABS(R2),""))</calculatedColumnFormula>
    </tableColumn>
    <tableColumn id="21" xr3:uid="{00000000-0010-0000-0200-000015000000}" name="Daily R-multiple" dataDxfId="32">
      <calculatedColumnFormula>IF($A2="","",IF(F2&gt;0,H2/F2,""))</calculatedColumnFormula>
    </tableColumn>
    <tableColumn id="23" xr3:uid="{00000000-0010-0000-0200-000017000000}" name="Losses vs Cap" dataDxfId="31">
      <calculatedColumnFormula>IF($A2="","",IFERROR(IF(H2&lt;0,MIN(ABS(H2)/G2,1),0),""))</calculatedColumnFormula>
    </tableColumn>
    <tableColumn id="24" xr3:uid="{00000000-0010-0000-0200-000018000000}" name="Intraday Net P&amp;L (so far)" dataDxfId="30">
      <calculatedColumnFormula>IF($A2="","",_xlfn.MAXIFS('Raw daily data'!$J:$J,'Raw daily data'!$I:$I,$A2))</calculatedColumnFormula>
    </tableColumn>
    <tableColumn id="25" xr3:uid="{00000000-0010-0000-0200-000019000000}" name="% of Cap Used (Net)" dataDxfId="29">
      <calculatedColumnFormula>IF($A2="","",IF(W2&gt;=0,0,ABS(W2)/G2))</calculatedColumnFormula>
    </tableColumn>
    <tableColumn id="26" xr3:uid="{00000000-0010-0000-0200-00001A000000}" name="Worst Intraday DD % of Cap" dataDxfId="28">
      <calculatedColumnFormula>IFERROR(IF($A2="","",ABS(MIN(0,_xlfn.MINIFS('Raw daily data'!$J:$J,'Raw daily data'!$I:$I,$A2)))/G2),"")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J52">
  <autoFilter ref="A1:J52" xr:uid="{00000000-0009-0000-0100-000004000000}"/>
  <tableColumns count="10">
    <tableColumn id="1" xr3:uid="{00000000-0010-0000-0300-000001000000}" name="Symbol  ← Paste broker data into columns A–H only. Do not edit I–J →" dataDxfId="27"/>
    <tableColumn id="2" xr3:uid="{00000000-0010-0000-0300-000002000000}" name="Name" dataDxfId="26"/>
    <tableColumn id="3" xr3:uid="{00000000-0010-0000-0300-000003000000}" name="Side" dataDxfId="25"/>
    <tableColumn id="4" xr3:uid="{00000000-0010-0000-0300-000004000000}" name="Quantity" dataDxfId="24"/>
    <tableColumn id="5" xr3:uid="{00000000-0010-0000-0300-000005000000}" name="Price" dataDxfId="23"/>
    <tableColumn id="6" xr3:uid="{00000000-0010-0000-0300-000006000000}" name="Profit" dataDxfId="22"/>
    <tableColumn id="7" xr3:uid="{00000000-0010-0000-0300-000007000000}" name="Deal ID" dataDxfId="21"/>
    <tableColumn id="8" xr3:uid="{00000000-0010-0000-0300-000008000000}" name="Time" dataDxfId="20"/>
    <tableColumn id="9" xr3:uid="{00000000-0010-0000-0300-000009000000}" name="Trade Date" dataDxfId="19">
      <calculatedColumnFormula>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ERROR(IF(H2="","",DATEVALUE(MID(H2,6,11))),"Check date format"),"")),"")),"")),"")),"")),"")),"")),"")),"")),"")),"")),"")),"")),"")),"")),"")),"")),"")),"")),"")),"")),"")),"")),"")),"")),"")),"")),"")),"")),""))</calculatedColumnFormula>
    </tableColumn>
    <tableColumn id="10" xr3:uid="{00000000-0010-0000-0300-00000A000000}" name="Cumulative P&amp;L for the day" dataDxfId="18">
      <calculatedColumnFormula>IF(OR(F2="",I2=""),"",F2+IF(I2=I1,N(J1),0))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6" displayName="Table16" ref="A44:K48" totalsRowCount="1">
  <autoFilter ref="A44:K47" xr:uid="{00000000-0009-0000-0100-000005000000}"/>
  <tableColumns count="11">
    <tableColumn id="1" xr3:uid="{00000000-0010-0000-0400-000001000000}" name="Rung" totalsRowLabel="Total"/>
    <tableColumn id="2" xr3:uid="{00000000-0010-0000-0400-000002000000}" name="Entry" totalsRowFunction="custom">
      <calculatedColumnFormula>'Advanced Setup Planner'!AD2</calculatedColumnFormula>
      <totalsRowFormula>IFERROR(SUBTOTAL(101,Table16[Entry]),"")</totalsRowFormula>
    </tableColumn>
    <tableColumn id="3" xr3:uid="{00000000-0010-0000-0400-000003000000}" name="TP" totalsRowFunction="custom">
      <calculatedColumnFormula>'Advanced Setup Planner'!AE2</calculatedColumnFormula>
      <totalsRowFormula>IFERROR(SUBTOTAL(101,Table16[TP]),"")</totalsRowFormula>
    </tableColumn>
    <tableColumn id="4" xr3:uid="{00000000-0010-0000-0400-000004000000}" name="SL" totalsRowFunction="custom">
      <calculatedColumnFormula>'Advanced Setup Planner'!AF2</calculatedColumnFormula>
      <totalsRowFormula>IFERROR(SUBTOTAL(101,Table16[SL]),"")</totalsRowFormula>
    </tableColumn>
    <tableColumn id="5" xr3:uid="{00000000-0010-0000-0400-000005000000}" name="Pips→TP" totalsRowFunction="custom">
      <calculatedColumnFormula>'Advanced Setup Planner'!AG2</calculatedColumnFormula>
      <totalsRowFormula>IFERROR(SUBTOTAL(101,Table16[Pips→TP]),"")</totalsRowFormula>
    </tableColumn>
    <tableColumn id="6" xr3:uid="{00000000-0010-0000-0400-000006000000}" name="EffPips→SL" totalsRowFunction="custom">
      <calculatedColumnFormula>'Advanced Setup Planner'!AH2</calculatedColumnFormula>
      <totalsRowFormula>IFERROR(SUBTOTAL(101,Table16[EffPips→SL]),"")</totalsRowFormula>
    </tableColumn>
    <tableColumn id="7" xr3:uid="{00000000-0010-0000-0400-000007000000}" name="Units" totalsRowFunction="sum">
      <calculatedColumnFormula>'Advanced Setup Planner'!AL2</calculatedColumnFormula>
    </tableColumn>
    <tableColumn id="8" xr3:uid="{00000000-0010-0000-0400-000008000000}" name="Risk $" totalsRowFunction="sum">
      <calculatedColumnFormula>'Advanced Setup Planner'!AJ2</calculatedColumnFormula>
    </tableColumn>
    <tableColumn id="9" xr3:uid="{00000000-0010-0000-0400-000009000000}" name="Reward $" totalsRowFunction="sum">
      <calculatedColumnFormula>'Advanced Setup Planner'!AK2</calculatedColumnFormula>
    </tableColumn>
    <tableColumn id="10" xr3:uid="{00000000-0010-0000-0400-00000A000000}" name="R" totalsRowFunction="custom">
      <calculatedColumnFormula>'Advanced Setup Planner'!AM2</calculatedColumnFormula>
      <totalsRowFormula>IFERROR(Table16[[#Totals],[Reward $]]/Table16[[#Totals],[Risk $]],"")</totalsRowFormula>
    </tableColumn>
    <tableColumn id="11" xr3:uid="{00000000-0010-0000-0400-00000B000000}" name="R2">
      <calculatedColumnFormula>'Advanced Setup Planner'!AM2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7" displayName="Table17" ref="A51:K55" totalsRowCount="1">
  <autoFilter ref="A51:K54" xr:uid="{00000000-0009-0000-0100-000006000000}"/>
  <tableColumns count="11">
    <tableColumn id="1" xr3:uid="{00000000-0010-0000-0500-000001000000}" name="Rung" totalsRowLabel="Total"/>
    <tableColumn id="2" xr3:uid="{00000000-0010-0000-0500-000002000000}" name="Entry" totalsRowFunction="custom">
      <calculatedColumnFormula>'Advanced Setup Planner'!AD42</calculatedColumnFormula>
      <totalsRowFormula>IFERROR(SUBTOTAL(101,Table17[Entry]),"")</totalsRowFormula>
    </tableColumn>
    <tableColumn id="3" xr3:uid="{00000000-0010-0000-0500-000003000000}" name="TP" totalsRowFunction="custom">
      <calculatedColumnFormula>'Advanced Setup Planner'!AE42</calculatedColumnFormula>
      <totalsRowFormula>IFERROR(SUBTOTAL(101,Table17[TP]),"")</totalsRowFormula>
    </tableColumn>
    <tableColumn id="4" xr3:uid="{00000000-0010-0000-0500-000004000000}" name="SL" totalsRowFunction="custom">
      <calculatedColumnFormula>'Advanced Setup Planner'!AF42</calculatedColumnFormula>
      <totalsRowFormula>IFERROR(SUBTOTAL(101,Table17[SL]),"")</totalsRowFormula>
    </tableColumn>
    <tableColumn id="5" xr3:uid="{00000000-0010-0000-0500-000005000000}" name="Pips→TP" totalsRowFunction="custom">
      <calculatedColumnFormula>'Advanced Setup Planner'!AG42</calculatedColumnFormula>
      <totalsRowFormula>IFERROR(SUBTOTAL(101,Table17[Pips→TP]),"")</totalsRowFormula>
    </tableColumn>
    <tableColumn id="6" xr3:uid="{00000000-0010-0000-0500-000006000000}" name="EffPips→SL" totalsRowFunction="custom">
      <calculatedColumnFormula>'Advanced Setup Planner'!AH42</calculatedColumnFormula>
      <totalsRowFormula>IFERROR(SUBTOTAL(101,Table17[EffPips→SL]),"")</totalsRowFormula>
    </tableColumn>
    <tableColumn id="7" xr3:uid="{00000000-0010-0000-0500-000007000000}" name="Units" totalsRowFunction="sum">
      <calculatedColumnFormula>'Advanced Setup Planner'!AL42</calculatedColumnFormula>
    </tableColumn>
    <tableColumn id="8" xr3:uid="{00000000-0010-0000-0500-000008000000}" name="Risk $" totalsRowFunction="sum">
      <calculatedColumnFormula>'Advanced Setup Planner'!AJ42</calculatedColumnFormula>
    </tableColumn>
    <tableColumn id="9" xr3:uid="{00000000-0010-0000-0500-000009000000}" name="Reward $" totalsRowFunction="sum">
      <calculatedColumnFormula>'Advanced Setup Planner'!AK42</calculatedColumnFormula>
    </tableColumn>
    <tableColumn id="10" xr3:uid="{00000000-0010-0000-0500-00000A000000}" name="R" totalsRowFunction="custom">
      <calculatedColumnFormula>'Advanced Setup Planner'!AM42</calculatedColumnFormula>
      <totalsRowFormula>IFERROR(Table17[[#Totals],[Reward $]]/Table17[[#Totals],[Risk $]],"")</totalsRowFormula>
    </tableColumn>
    <tableColumn id="11" xr3:uid="{00000000-0010-0000-0500-00000B000000}" name="R2">
      <calculatedColumnFormula>'Advanced Setup Planner'!AM42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8" displayName="Table18" ref="A58:K62" totalsRowCount="1">
  <autoFilter ref="A58:K61" xr:uid="{00000000-0009-0000-0100-000007000000}"/>
  <tableColumns count="11">
    <tableColumn id="1" xr3:uid="{00000000-0010-0000-0600-000001000000}" name="Rung" totalsRowLabel="Total"/>
    <tableColumn id="2" xr3:uid="{00000000-0010-0000-0600-000002000000}" name="Entry" totalsRowFunction="custom">
      <calculatedColumnFormula>'Advanced Setup Planner'!AD15</calculatedColumnFormula>
      <totalsRowFormula>IFERROR(SUBTOTAL(101,Table18[Entry]),"")</totalsRowFormula>
    </tableColumn>
    <tableColumn id="3" xr3:uid="{00000000-0010-0000-0600-000003000000}" name="TP" totalsRowFunction="custom">
      <calculatedColumnFormula>'Advanced Setup Planner'!AE15</calculatedColumnFormula>
      <totalsRowFormula>IFERROR(SUBTOTAL(101,Table18[TP]),"")</totalsRowFormula>
    </tableColumn>
    <tableColumn id="4" xr3:uid="{00000000-0010-0000-0600-000004000000}" name="SL" totalsRowFunction="custom">
      <calculatedColumnFormula>'Advanced Setup Planner'!AF15</calculatedColumnFormula>
      <totalsRowFormula>IFERROR(SUBTOTAL(101,Table18[SL]),"")</totalsRowFormula>
    </tableColumn>
    <tableColumn id="5" xr3:uid="{00000000-0010-0000-0600-000005000000}" name="Pips→TP" totalsRowFunction="custom">
      <calculatedColumnFormula>'Advanced Setup Planner'!AG15</calculatedColumnFormula>
      <totalsRowFormula>IFERROR(SUBTOTAL(101,Table18[Pips→TP]),"")</totalsRowFormula>
    </tableColumn>
    <tableColumn id="6" xr3:uid="{00000000-0010-0000-0600-000006000000}" name="EffPips→SL" totalsRowFunction="custom">
      <calculatedColumnFormula>'Advanced Setup Planner'!AH15</calculatedColumnFormula>
      <totalsRowFormula>IFERROR(SUBTOTAL(101,Table18[EffPips→SL]),"")</totalsRowFormula>
    </tableColumn>
    <tableColumn id="7" xr3:uid="{00000000-0010-0000-0600-000007000000}" name="Units" totalsRowFunction="sum">
      <calculatedColumnFormula>'Advanced Setup Planner'!AL15</calculatedColumnFormula>
    </tableColumn>
    <tableColumn id="8" xr3:uid="{00000000-0010-0000-0600-000008000000}" name="Risk $" totalsRowFunction="sum">
      <calculatedColumnFormula>'Advanced Setup Planner'!AJ15</calculatedColumnFormula>
    </tableColumn>
    <tableColumn id="9" xr3:uid="{00000000-0010-0000-0600-000009000000}" name="Reward $" totalsRowFunction="sum">
      <calculatedColumnFormula>'Advanced Setup Planner'!AK15</calculatedColumnFormula>
    </tableColumn>
    <tableColumn id="10" xr3:uid="{00000000-0010-0000-0600-00000A000000}" name="R" totalsRowFunction="custom">
      <calculatedColumnFormula>'Advanced Setup Planner'!AM15</calculatedColumnFormula>
      <totalsRowFormula>IFERROR(Table18[[#Totals],[Reward $]]/Table18[[#Totals],[Risk $]],"")</totalsRowFormula>
    </tableColumn>
    <tableColumn id="11" xr3:uid="{00000000-0010-0000-0600-00000B000000}" name="R2">
      <calculatedColumnFormula>'Advanced Setup Planner'!AM15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9" displayName="Table19" ref="A65:K69" totalsRowCount="1">
  <autoFilter ref="A65:K68" xr:uid="{00000000-0009-0000-0100-000008000000}"/>
  <tableColumns count="11">
    <tableColumn id="1" xr3:uid="{00000000-0010-0000-0700-000001000000}" name="Rung" totalsRowLabel="Total"/>
    <tableColumn id="2" xr3:uid="{00000000-0010-0000-0700-000002000000}" name="Entry" totalsRowFunction="custom">
      <calculatedColumnFormula>'Advanced Setup Planner'!AD28</calculatedColumnFormula>
      <totalsRowFormula>IFERROR(SUBTOTAL(101,Table19[Entry]),"")</totalsRowFormula>
    </tableColumn>
    <tableColumn id="3" xr3:uid="{00000000-0010-0000-0700-000003000000}" name="TP" totalsRowFunction="custom">
      <calculatedColumnFormula>'Advanced Setup Planner'!AE28</calculatedColumnFormula>
      <totalsRowFormula>IFERROR(SUBTOTAL(101,Table19[TP]),"")</totalsRowFormula>
    </tableColumn>
    <tableColumn id="4" xr3:uid="{00000000-0010-0000-0700-000004000000}" name="SL" totalsRowFunction="custom">
      <calculatedColumnFormula>'Advanced Setup Planner'!AF28</calculatedColumnFormula>
      <totalsRowFormula>IFERROR(SUBTOTAL(101,Table19[SL]),"")</totalsRowFormula>
    </tableColumn>
    <tableColumn id="5" xr3:uid="{00000000-0010-0000-0700-000005000000}" name="Pips→TP" totalsRowFunction="custom">
      <calculatedColumnFormula>'Advanced Setup Planner'!AG28</calculatedColumnFormula>
      <totalsRowFormula>IFERROR(SUBTOTAL(101,Table19[Pips→TP]),"")</totalsRowFormula>
    </tableColumn>
    <tableColumn id="6" xr3:uid="{00000000-0010-0000-0700-000006000000}" name="EffPips→SL" totalsRowFunction="custom">
      <calculatedColumnFormula>'Advanced Setup Planner'!AH28</calculatedColumnFormula>
      <totalsRowFormula>IFERROR(SUBTOTAL(101,Table19[EffPips→SL]),"")</totalsRowFormula>
    </tableColumn>
    <tableColumn id="7" xr3:uid="{00000000-0010-0000-0700-000007000000}" name="Units" totalsRowFunction="sum">
      <calculatedColumnFormula>'Advanced Setup Planner'!AL28</calculatedColumnFormula>
    </tableColumn>
    <tableColumn id="8" xr3:uid="{00000000-0010-0000-0700-000008000000}" name="Risk $" totalsRowFunction="sum">
      <calculatedColumnFormula>'Advanced Setup Planner'!AJ28</calculatedColumnFormula>
    </tableColumn>
    <tableColumn id="9" xr3:uid="{00000000-0010-0000-0700-000009000000}" name="Reward $" totalsRowFunction="sum">
      <calculatedColumnFormula>'Advanced Setup Planner'!AK28</calculatedColumnFormula>
    </tableColumn>
    <tableColumn id="10" xr3:uid="{00000000-0010-0000-0700-00000A000000}" name="R" totalsRowFunction="custom">
      <calculatedColumnFormula>'Advanced Setup Planner'!AM28</calculatedColumnFormula>
      <totalsRowFormula>IFERROR(Table19[[#Totals],[Reward $]]/Table19[[#Totals],[Risk $]],"")</totalsRowFormula>
    </tableColumn>
    <tableColumn id="11" xr3:uid="{00000000-0010-0000-0700-00000B000000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6" displayName="Table6" ref="A1:A55">
  <autoFilter ref="A1:A55" xr:uid="{00000000-0009-0000-0100-000009000000}"/>
  <tableColumns count="1">
    <tableColumn id="1" xr3:uid="{00000000-0010-0000-0800-000001000000}" name="Lis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1" displayName="Table11" ref="A130:J163">
  <autoFilter ref="A130:J163" xr:uid="{00000000-0009-0000-0100-00000A000000}"/>
  <tableColumns count="10">
    <tableColumn id="1" xr3:uid="{00000000-0010-0000-0900-000001000000}" name="Date"/>
    <tableColumn id="2" xr3:uid="{00000000-0010-0000-0900-000002000000}" name="CentralBank"/>
    <tableColumn id="3" xr3:uid="{00000000-0010-0000-0900-000003000000}" name="Person"/>
    <tableColumn id="4" xr3:uid="{00000000-0010-0000-0900-000004000000}" name="Role"/>
    <tableColumn id="5" xr3:uid="{00000000-0010-0000-0900-000005000000}" name="Event"/>
    <tableColumn id="6" xr3:uid="{00000000-0010-0000-0900-000006000000}" name="Topic"/>
    <tableColumn id="7" xr3:uid="{00000000-0010-0000-0900-000007000000}" name="Tone"/>
    <tableColumn id="8" xr3:uid="{00000000-0010-0000-0900-000008000000}" name="Tone_Score">
      <calculatedColumnFormula>IF(G131="","",VLOOKUP(G131,$L$130:$M$132,2,FALSE))</calculatedColumnFormula>
    </tableColumn>
    <tableColumn id="9" xr3:uid="{00000000-0010-0000-0900-000009000000}" name="Notes"/>
    <tableColumn id="10" xr3:uid="{00000000-0010-0000-0900-00000A000000}" name="Link/Sourc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8" displayName="Table8" ref="A180:J191">
  <autoFilter ref="A180:J191" xr:uid="{00000000-0009-0000-0100-00000B000000}"/>
  <tableColumns count="10">
    <tableColumn id="1" xr3:uid="{00000000-0010-0000-0A00-000001000000}" name="Date"/>
    <tableColumn id="2" xr3:uid="{00000000-0010-0000-0A00-000002000000}" name="Currency"/>
    <tableColumn id="3" xr3:uid="{00000000-0010-0000-0A00-000003000000}" name="Rate1_mid 350-375)"/>
    <tableColumn id="4" xr3:uid="{00000000-0010-0000-0A00-000004000000}" name="Prob1"/>
    <tableColumn id="5" xr3:uid="{00000000-0010-0000-0A00-000005000000}" name="Rate2_mid (375-400)"/>
    <tableColumn id="6" xr3:uid="{00000000-0010-0000-0A00-000006000000}" name="Prob2"/>
    <tableColumn id="7" xr3:uid="{00000000-0010-0000-0A00-000007000000}" name="Rate3_mid (325-350)"/>
    <tableColumn id="8" xr3:uid="{00000000-0010-0000-0A00-000008000000}" name="Prob3"/>
    <tableColumn id="9" xr3:uid="{00000000-0010-0000-0A00-000009000000}" name="ExpRate">
      <calculatedColumnFormula>IF(B181="","",IF(SUM(D181,F181,H181)=0,"",(C181*D181+E181*F181+G181*H181)/SUM(D181,F181,H181)))</calculatedColumnFormula>
    </tableColumn>
    <tableColumn id="10" xr3:uid="{00000000-0010-0000-0A00-00000A000000}" name="CutsVsToday">
      <calculatedColumnFormula>IF(I181="","",ROUND((IF(B181="US",Backend!$Z$211,IF(B181="ECB",Backend!$Z$212,""))-I181)/0.25,0))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9" displayName="Table9" ref="A210:L299">
  <autoFilter ref="A210:L299" xr:uid="{00000000-0009-0000-0100-00000C000000}"/>
  <tableColumns count="12">
    <tableColumn id="1" xr3:uid="{00000000-0010-0000-0B00-000001000000}" name="Date"/>
    <tableColumn id="2" xr3:uid="{00000000-0010-0000-0B00-000002000000}" name="Category"/>
    <tableColumn id="3" xr3:uid="{00000000-0010-0000-0B00-000003000000}" name="Event"/>
    <tableColumn id="4" xr3:uid="{00000000-0010-0000-0B00-000004000000}" name="Actual"/>
    <tableColumn id="5" xr3:uid="{00000000-0010-0000-0B00-000005000000}" name="Forecast"/>
    <tableColumn id="6" xr3:uid="{00000000-0010-0000-0B00-000006000000}" name="Previous"/>
    <tableColumn id="7" xr3:uid="{00000000-0010-0000-0B00-000007000000}" name="Surprise vs Forecast">
      <calculatedColumnFormula>IF(NOT(ISNUMBER(Table9[[#This Row],[Actual]])),"",IF(NOT(ISNUMBER(Table9[[#This Row],[Forecast]])),"",Table9[[#This Row],[Actual]]-Table9[[#This Row],[Forecast]]))</calculatedColumnFormula>
    </tableColumn>
    <tableColumn id="8" xr3:uid="{00000000-0010-0000-0B00-000008000000}" name="Change vs Prev">
      <calculatedColumnFormula>IF(NOT(ISNUMBER(Table9[[#This Row],[Actual]])),"",IF(NOT(ISNUMBER(Table9[[#This Row],[Previous]])),"",Table9[[#This Row],[Actual]]-Table9[[#This Row],[Previous]]))</calculatedColumnFormula>
    </tableColumn>
    <tableColumn id="9" xr3:uid="{00000000-0010-0000-0B00-000009000000}" name="Qualitative">
      <calculatedColumnFormula>IF(AND(K211="",L211=""),"N/A",IF(AND(ABS(N(K211))&lt;0.0005,ABS(N(L211))&lt;0.0005),"Stable",IF(AND(L211="",ABS(N(K211))&gt;=0.0005),IF(N(K211)&gt;0,"Accelerating","Slowing"),IF(AND(K211="",ABS(N(L211))&gt;=0.0005),IF(N(L211)&gt;0,"Accelerating","Slowing"),IF(AND(N(K211)&gt;0,N(L211)&gt;=0),"Accelerating",IF(AND(N(K211)&lt;0,N(L211)&lt;=0),"Slowing","Mixed"))))))</calculatedColumnFormula>
    </tableColumn>
    <tableColumn id="10" xr3:uid="{00000000-0010-0000-0B00-00000A000000}" name="EffectDirection">
      <calculatedColumnFormula>IF(OR(ISNUMBER(SEARCH("Unemployment",C211)),ISNUMBER(SEARCH("Claims",C211)),ISNUMBER(SEARCH("Jobless",C211)),ISNUMBER(SEARCH("Inventories",C211)),ISNUMBER(SEARCH("Wholesale Inventories",C211)),ISNUMBER(SEARCH("JOLTS Job Openings",C211)),ISNUMBER(SEARCH("Inflation Expectations",C211))),-1,1)</calculatedColumnFormula>
    </tableColumn>
    <tableColumn id="11" xr3:uid="{00000000-0010-0000-0B00-00000B000000}" name="Adj_Surprise">
      <calculatedColumnFormula>IF(OR(G211="",G211="(NA)"),"",J211*G211)</calculatedColumnFormula>
    </tableColumn>
    <tableColumn id="12" xr3:uid="{00000000-0010-0000-0B00-00000C000000}" name="Adj_ChangeAdj_ChangeAdj_ChangeAdj_ChangeAdj_ChangeAdj_ChangeAdj_ChangeAdj_ChangeAdj_Change">
      <calculatedColumnFormula>IF(OR(H211="",H211="(NA)"),"",J211*H211)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" displayName="Table12" ref="N210:X214">
  <autoFilter ref="N210:X214" xr:uid="{00000000-0009-0000-0100-00000D000000}"/>
  <tableColumns count="11">
    <tableColumn id="1" xr3:uid="{00000000-0010-0000-0C00-000001000000}" name="Date"/>
    <tableColumn id="2" xr3:uid="{00000000-0010-0000-0C00-000002000000}" name="Tenor"/>
    <tableColumn id="3" xr3:uid="{00000000-0010-0000-0C00-000003000000}" name="Column1"/>
    <tableColumn id="4" xr3:uid="{00000000-0010-0000-0C00-000004000000}" name="Column2"/>
    <tableColumn id="5" xr3:uid="{00000000-0010-0000-0C00-000005000000}" name="Column3"/>
    <tableColumn id="6" xr3:uid="{00000000-0010-0000-0C00-000006000000}" name="Column4"/>
    <tableColumn id="7" xr3:uid="{00000000-0010-0000-0C00-000007000000}" name="Δd (1d)">
      <calculatedColumnFormula>IF(OR(P211="",Q211=""),"",P211-Q211)</calculatedColumnFormula>
    </tableColumn>
    <tableColumn id="8" xr3:uid="{00000000-0010-0000-0C00-000008000000}" name=" Δ5d">
      <calculatedColumnFormula>IF(OR(P211="",R211=""),"",P211-R211)</calculatedColumnFormula>
    </tableColumn>
    <tableColumn id="9" xr3:uid="{00000000-0010-0000-0C00-000009000000}" name="Column5">
      <calculatedColumnFormula>IF(OR(P211="",S211=""),"",P211-S211)</calculatedColumnFormula>
    </tableColumn>
    <tableColumn id="10" xr3:uid="{00000000-0010-0000-0C00-00000A000000}" name="Column6">
      <calculatedColumnFormula>IF(P211="","",IF(AND(U211&gt;0.03,V211&gt;0),"Rising",IF(AND(U211&lt;-0.03,V211&lt;0),"Falling","Flat")))</calculatedColumnFormula>
    </tableColumn>
    <tableColumn id="11" xr3:uid="{00000000-0010-0000-0C00-00000B000000}" name="Column7">
      <calculatedColumnFormula>IF(W211="","",IFERROR(VLOOKUP(W211,Backend!$D$324:$E$337,2,FALSE)*1,0))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3" displayName="Table13" ref="N215:X217">
  <autoFilter ref="N215:X217" xr:uid="{00000000-0009-0000-0100-00000E000000}"/>
  <tableColumns count="11">
    <tableColumn id="1" xr3:uid="{00000000-0010-0000-0D00-000001000000}" name="Date"/>
    <tableColumn id="2" xr3:uid="{00000000-0010-0000-0D00-000002000000}" name="Tenor"/>
    <tableColumn id="3" xr3:uid="{00000000-0010-0000-0D00-000003000000}" name="Column1">
      <calculatedColumnFormula>IF(OR(P211="",P213=""),"",P213-P211)</calculatedColumnFormula>
    </tableColumn>
    <tableColumn id="4" xr3:uid="{00000000-0010-0000-0D00-000004000000}" name="Column2">
      <calculatedColumnFormula>IF(OR(Q211="",Q213=""),"",Q213-Q211)</calculatedColumnFormula>
    </tableColumn>
    <tableColumn id="5" xr3:uid="{00000000-0010-0000-0D00-000005000000}" name="Column3">
      <calculatedColumnFormula>IF(OR(R211="",R213=""),"",R213-R211)</calculatedColumnFormula>
    </tableColumn>
    <tableColumn id="6" xr3:uid="{00000000-0010-0000-0D00-000006000000}" name="Column4">
      <calculatedColumnFormula>IF(OR(S211="",S213=""),"",S213-S211)</calculatedColumnFormula>
    </tableColumn>
    <tableColumn id="7" xr3:uid="{00000000-0010-0000-0D00-000007000000}" name="Δd (1d)">
      <calculatedColumnFormula>IF(OR(P216="",Q216=""),"",P216-Q216)</calculatedColumnFormula>
    </tableColumn>
    <tableColumn id="8" xr3:uid="{00000000-0010-0000-0D00-000008000000}" name=" Δ5d">
      <calculatedColumnFormula>IF(OR(P216="",R216=""),"",P216-R216)</calculatedColumnFormula>
    </tableColumn>
    <tableColumn id="9" xr3:uid="{00000000-0010-0000-0D00-000009000000}" name="Column5">
      <calculatedColumnFormula>IF(OR(P216="",S216=""),"",P216-S216)</calculatedColumnFormula>
    </tableColumn>
    <tableColumn id="10" xr3:uid="{00000000-0010-0000-0D00-00000A000000}" name="Column6">
      <calculatedColumnFormula>IF(P216="","",IF(AND(U216&gt;0.03,V216&gt;0),"Rising",IF(AND(U216&lt;-0.03,V216&lt;0),"Falling","Flat")))</calculatedColumnFormula>
    </tableColumn>
    <tableColumn id="11" xr3:uid="{00000000-0010-0000-0D00-00000B000000}" name="Column7">
      <calculatedColumnFormula>IF(W216="","",IFERROR(VLOOKUP(W216,Backend!$D$324:$E$337,2,FALSE)*1,0))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20" displayName="Table20" ref="N219:X226" totalsRowShown="0">
  <autoFilter ref="N219:X226" xr:uid="{00000000-0009-0000-0100-00000F000000}"/>
  <tableColumns count="11">
    <tableColumn id="1" xr3:uid="{00000000-0010-0000-0E00-000001000000}" name="Date"/>
    <tableColumn id="2" xr3:uid="{00000000-0010-0000-0E00-000002000000}" name="Tenor"/>
    <tableColumn id="3" xr3:uid="{00000000-0010-0000-0E00-000003000000}" name="Column1">
      <calculatedColumnFormula>IF(OR(P215="",P217=""),"",(P217-P215)*100)</calculatedColumnFormula>
    </tableColumn>
    <tableColumn id="4" xr3:uid="{00000000-0010-0000-0E00-000004000000}" name="Column2">
      <calculatedColumnFormula>IF(OR(Q215="",Q217=""),"",(Q217-Q215)*100)</calculatedColumnFormula>
    </tableColumn>
    <tableColumn id="5" xr3:uid="{00000000-0010-0000-0E00-000005000000}" name="Column3">
      <calculatedColumnFormula>IF(OR(R215="",R217=""),"",(R217-R215)*100)</calculatedColumnFormula>
    </tableColumn>
    <tableColumn id="6" xr3:uid="{00000000-0010-0000-0E00-000006000000}" name="Column4">
      <calculatedColumnFormula>IF(OR(S215="",S217=""),"",(S217-S215)*100)</calculatedColumnFormula>
    </tableColumn>
    <tableColumn id="7" xr3:uid="{00000000-0010-0000-0E00-000007000000}" name="Δd (1d)">
      <calculatedColumnFormula>IF(OR(P220="",Q220=""),"",P220-Q220)</calculatedColumnFormula>
    </tableColumn>
    <tableColumn id="8" xr3:uid="{00000000-0010-0000-0E00-000008000000}" name=" Δ5d">
      <calculatedColumnFormula>IF(OR(P220="",R220=""),"",P220-R220)</calculatedColumnFormula>
    </tableColumn>
    <tableColumn id="9" xr3:uid="{00000000-0010-0000-0E00-000009000000}" name="Column5">
      <calculatedColumnFormula>IF(OR(P220="",S220=""),"",P220-S220)</calculatedColumnFormula>
    </tableColumn>
    <tableColumn id="10" xr3:uid="{00000000-0010-0000-0E00-00000A000000}" name="Column6">
      <calculatedColumnFormula>IF(P220="","",IF(AND(U220&gt;3,V220&gt;0),"Rising",IF(AND(U220&lt;-3,V220&lt;0),"Falling","Flat")))</calculatedColumnFormula>
    </tableColumn>
    <tableColumn id="11" xr3:uid="{00000000-0010-0000-0E00-00000B000000}" name="Column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21" displayName="Table21" ref="N228:X235" totalsRowShown="0">
  <autoFilter ref="N228:X235" xr:uid="{00000000-0009-0000-0100-000010000000}"/>
  <tableColumns count="11">
    <tableColumn id="1" xr3:uid="{00000000-0010-0000-0F00-000001000000}" name="Date"/>
    <tableColumn id="2" xr3:uid="{00000000-0010-0000-0F00-000002000000}" name="Tenor"/>
    <tableColumn id="3" xr3:uid="{00000000-0010-0000-0F00-000003000000}" name="Column1">
      <calculatedColumnFormula>IF(OR(P224="",P226=""),"",(P226-P224)*100)</calculatedColumnFormula>
    </tableColumn>
    <tableColumn id="4" xr3:uid="{00000000-0010-0000-0F00-000004000000}" name="Column2">
      <calculatedColumnFormula>IF(OR(Q224="",Q226=""),"",(Q226-Q224)*100)</calculatedColumnFormula>
    </tableColumn>
    <tableColumn id="5" xr3:uid="{00000000-0010-0000-0F00-000005000000}" name="Column3">
      <calculatedColumnFormula>IF(OR(R224="",R226=""),"",(R226-R224)*100)</calculatedColumnFormula>
    </tableColumn>
    <tableColumn id="6" xr3:uid="{00000000-0010-0000-0F00-000006000000}" name="Column4">
      <calculatedColumnFormula>IF(OR(S224="",S226=""),"",(S226-S224)*100)</calculatedColumnFormula>
    </tableColumn>
    <tableColumn id="7" xr3:uid="{00000000-0010-0000-0F00-000007000000}" name="Δd (1d)">
      <calculatedColumnFormula>IF(OR(P229="",Q229=""),"",P229-Q229)</calculatedColumnFormula>
    </tableColumn>
    <tableColumn id="8" xr3:uid="{00000000-0010-0000-0F00-000008000000}" name=" Δ5d">
      <calculatedColumnFormula>IF(OR(P229="",R229=""),"",P229-R229)</calculatedColumnFormula>
    </tableColumn>
    <tableColumn id="9" xr3:uid="{00000000-0010-0000-0F00-000009000000}" name="Column5">
      <calculatedColumnFormula>IF(OR(P229="",S229=""),"",P229-S229)</calculatedColumnFormula>
    </tableColumn>
    <tableColumn id="10" xr3:uid="{00000000-0010-0000-0F00-00000A000000}" name="Column6">
      <calculatedColumnFormula>IF(P229="","",IF(AND(U229&gt;3,V229&gt;0),"Rising",IF(AND(U229&lt;-3,V229&lt;0),"Falling","Flat")))</calculatedColumnFormula>
    </tableColumn>
    <tableColumn id="11" xr3:uid="{00000000-0010-0000-0F00-00000B000000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6" Type="http://schemas.openxmlformats.org/officeDocument/2006/relationships/comments" Target="../comments1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A5A6"/>
  </sheetPr>
  <dimension ref="A1:L200"/>
  <sheetViews>
    <sheetView showGridLines="0" workbookViewId="0">
      <pane ySplit="1" topLeftCell="A2" activePane="bottomLeft" state="frozen"/>
      <selection pane="bottomLeft" activeCell="M76" sqref="M76"/>
    </sheetView>
  </sheetViews>
  <sheetFormatPr defaultColWidth="9" defaultRowHeight="14.5"/>
  <cols>
    <col min="1" max="1" width="3.6328125" style="55" customWidth="1"/>
    <col min="2" max="11" width="14.6328125" style="55" customWidth="1"/>
    <col min="12" max="12" width="3.6328125" style="55" customWidth="1"/>
    <col min="13" max="13" width="9" style="55" customWidth="1"/>
    <col min="14" max="16384" width="9" style="55"/>
  </cols>
  <sheetData>
    <row r="1" spans="1:12" ht="44" customHeight="1">
      <c r="A1" s="202"/>
      <c r="B1" s="248" t="s">
        <v>0</v>
      </c>
      <c r="C1" s="219"/>
      <c r="D1" s="219"/>
      <c r="E1" s="219"/>
      <c r="F1" s="219"/>
      <c r="G1" s="219"/>
      <c r="H1" s="219"/>
      <c r="I1" s="219"/>
      <c r="J1" s="219"/>
      <c r="K1" s="219"/>
      <c r="L1" s="202"/>
    </row>
    <row r="2" spans="1:12" ht="24" customHeight="1">
      <c r="A2" s="202"/>
      <c r="B2" s="249" t="s">
        <v>1</v>
      </c>
      <c r="C2" s="219"/>
      <c r="D2" s="219"/>
      <c r="E2" s="219"/>
      <c r="F2" s="219"/>
      <c r="G2" s="219"/>
      <c r="H2" s="219"/>
      <c r="I2" s="219"/>
      <c r="J2" s="219"/>
      <c r="K2" s="219"/>
      <c r="L2" s="202"/>
    </row>
    <row r="3" spans="1:12" ht="12" customHeight="1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</row>
    <row r="4" spans="1:12" ht="30" customHeight="1">
      <c r="A4" s="202"/>
      <c r="B4" s="221" t="s">
        <v>2</v>
      </c>
      <c r="C4" s="219"/>
      <c r="D4" s="219"/>
      <c r="E4" s="219"/>
      <c r="F4" s="219"/>
      <c r="G4" s="219"/>
      <c r="H4" s="219"/>
      <c r="I4" s="219"/>
      <c r="J4" s="219"/>
      <c r="K4" s="219"/>
      <c r="L4" s="202"/>
    </row>
    <row r="5" spans="1:12" ht="8" customHeight="1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</row>
    <row r="6" spans="1:12" ht="22" customHeight="1">
      <c r="A6" s="202"/>
      <c r="B6" s="241" t="s">
        <v>3</v>
      </c>
      <c r="C6" s="219"/>
      <c r="D6" s="219"/>
      <c r="E6" s="229" t="s">
        <v>4</v>
      </c>
      <c r="F6" s="219"/>
      <c r="G6" s="219"/>
      <c r="H6" s="219"/>
      <c r="I6" s="219"/>
      <c r="J6" s="219"/>
      <c r="K6" s="219"/>
      <c r="L6" s="202"/>
    </row>
    <row r="7" spans="1:12" ht="22" customHeight="1">
      <c r="A7" s="202"/>
      <c r="B7" s="244" t="s">
        <v>5</v>
      </c>
      <c r="C7" s="225"/>
      <c r="D7" s="225"/>
      <c r="E7" s="232" t="s">
        <v>6</v>
      </c>
      <c r="F7" s="225"/>
      <c r="G7" s="225"/>
      <c r="H7" s="225"/>
      <c r="I7" s="225"/>
      <c r="J7" s="225"/>
      <c r="K7" s="225"/>
      <c r="L7" s="202"/>
    </row>
    <row r="8" spans="1:12" ht="12" customHeight="1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</row>
    <row r="9" spans="1:12" ht="30" customHeight="1">
      <c r="A9" s="202"/>
      <c r="B9" s="221" t="s">
        <v>7</v>
      </c>
      <c r="C9" s="219"/>
      <c r="D9" s="219"/>
      <c r="E9" s="219"/>
      <c r="F9" s="219"/>
      <c r="G9" s="219"/>
      <c r="H9" s="219"/>
      <c r="I9" s="219"/>
      <c r="J9" s="219"/>
      <c r="K9" s="219"/>
      <c r="L9" s="202"/>
    </row>
    <row r="10" spans="1:12" ht="8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</row>
    <row r="11" spans="1:12" ht="20" customHeight="1">
      <c r="A11" s="202"/>
      <c r="B11" s="227" t="s">
        <v>8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02"/>
    </row>
    <row r="12" spans="1:12" ht="4" customHeight="1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</row>
    <row r="13" spans="1:12" ht="22" customHeight="1">
      <c r="A13" s="202"/>
      <c r="B13" s="234" t="s">
        <v>9</v>
      </c>
      <c r="C13" s="219"/>
      <c r="D13" s="219"/>
      <c r="E13" s="229" t="s">
        <v>10</v>
      </c>
      <c r="F13" s="219"/>
      <c r="G13" s="219"/>
      <c r="H13" s="219"/>
      <c r="I13" s="219"/>
      <c r="J13" s="219"/>
      <c r="K13" s="219"/>
      <c r="L13" s="202"/>
    </row>
    <row r="14" spans="1:12" ht="22" customHeight="1">
      <c r="A14" s="202"/>
      <c r="B14" s="234" t="s">
        <v>11</v>
      </c>
      <c r="C14" s="219"/>
      <c r="D14" s="219"/>
      <c r="E14" s="229" t="s">
        <v>12</v>
      </c>
      <c r="F14" s="219"/>
      <c r="G14" s="219"/>
      <c r="H14" s="219"/>
      <c r="I14" s="219"/>
      <c r="J14" s="219"/>
      <c r="K14" s="219"/>
      <c r="L14" s="202"/>
    </row>
    <row r="15" spans="1:12" ht="22" customHeight="1">
      <c r="A15" s="202"/>
      <c r="B15" s="234" t="s">
        <v>13</v>
      </c>
      <c r="C15" s="219"/>
      <c r="D15" s="219"/>
      <c r="E15" s="229" t="s">
        <v>14</v>
      </c>
      <c r="F15" s="219"/>
      <c r="G15" s="219"/>
      <c r="H15" s="219"/>
      <c r="I15" s="219"/>
      <c r="J15" s="219"/>
      <c r="K15" s="219"/>
      <c r="L15" s="202"/>
    </row>
    <row r="16" spans="1:12" ht="22" customHeight="1">
      <c r="A16" s="202"/>
      <c r="B16" s="234" t="s">
        <v>15</v>
      </c>
      <c r="C16" s="219"/>
      <c r="D16" s="219"/>
      <c r="E16" s="229" t="s">
        <v>16</v>
      </c>
      <c r="F16" s="219"/>
      <c r="G16" s="219"/>
      <c r="H16" s="219"/>
      <c r="I16" s="219"/>
      <c r="J16" s="219"/>
      <c r="K16" s="219"/>
      <c r="L16" s="202"/>
    </row>
    <row r="17" spans="1:12" ht="22" customHeight="1">
      <c r="A17" s="202"/>
      <c r="B17" s="234" t="s">
        <v>17</v>
      </c>
      <c r="C17" s="219"/>
      <c r="D17" s="219"/>
      <c r="E17" s="229" t="s">
        <v>18</v>
      </c>
      <c r="F17" s="219"/>
      <c r="G17" s="219"/>
      <c r="H17" s="219"/>
      <c r="I17" s="219"/>
      <c r="J17" s="219"/>
      <c r="K17" s="219"/>
      <c r="L17" s="202"/>
    </row>
    <row r="18" spans="1:12" ht="8" customHeight="1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</row>
    <row r="19" spans="1:12" ht="20" customHeight="1">
      <c r="A19" s="202"/>
      <c r="B19" s="235" t="s">
        <v>19</v>
      </c>
      <c r="C19" s="219"/>
      <c r="D19" s="219"/>
      <c r="E19" s="219"/>
      <c r="F19" s="219"/>
      <c r="G19" s="219"/>
      <c r="H19" s="219"/>
      <c r="I19" s="219"/>
      <c r="J19" s="219"/>
      <c r="K19" s="219"/>
      <c r="L19" s="202"/>
    </row>
    <row r="20" spans="1:12" ht="20" customHeight="1">
      <c r="A20" s="202"/>
      <c r="B20" s="246" t="s">
        <v>20</v>
      </c>
      <c r="C20" s="219"/>
      <c r="D20" s="219"/>
      <c r="E20" s="219"/>
      <c r="F20" s="219"/>
      <c r="G20" s="219"/>
      <c r="H20" s="219"/>
      <c r="I20" s="219"/>
      <c r="J20" s="219"/>
      <c r="K20" s="219"/>
      <c r="L20" s="202"/>
    </row>
    <row r="21" spans="1:12" ht="20" customHeight="1">
      <c r="A21" s="202"/>
      <c r="B21" s="247" t="s">
        <v>21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02"/>
    </row>
    <row r="22" spans="1:12" ht="12" customHeight="1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</row>
    <row r="23" spans="1:12" ht="30" customHeight="1">
      <c r="A23" s="202"/>
      <c r="B23" s="221" t="s">
        <v>22</v>
      </c>
      <c r="C23" s="219"/>
      <c r="D23" s="219"/>
      <c r="E23" s="219"/>
      <c r="F23" s="219"/>
      <c r="G23" s="219"/>
      <c r="H23" s="219"/>
      <c r="I23" s="219"/>
      <c r="J23" s="219"/>
      <c r="K23" s="219"/>
      <c r="L23" s="202"/>
    </row>
    <row r="24" spans="1:12" ht="8" customHeight="1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</row>
    <row r="25" spans="1:12" ht="20" customHeight="1">
      <c r="A25" s="202"/>
      <c r="B25" s="227" t="s">
        <v>23</v>
      </c>
      <c r="C25" s="219"/>
      <c r="D25" s="219"/>
      <c r="E25" s="219"/>
      <c r="F25" s="219"/>
      <c r="G25" s="219"/>
      <c r="H25" s="219"/>
      <c r="I25" s="219"/>
      <c r="J25" s="219"/>
      <c r="K25" s="219"/>
      <c r="L25" s="202"/>
    </row>
    <row r="26" spans="1:12" ht="4" customHeight="1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</row>
    <row r="27" spans="1:12" ht="22" customHeight="1">
      <c r="A27" s="202"/>
      <c r="B27" s="241" t="s">
        <v>24</v>
      </c>
      <c r="C27" s="219"/>
      <c r="D27" s="219"/>
      <c r="E27" s="229" t="s">
        <v>25</v>
      </c>
      <c r="F27" s="219"/>
      <c r="G27" s="219"/>
      <c r="H27" s="219"/>
      <c r="I27" s="219"/>
      <c r="J27" s="219"/>
      <c r="K27" s="219"/>
      <c r="L27" s="202"/>
    </row>
    <row r="28" spans="1:12" ht="22" customHeight="1">
      <c r="A28" s="202"/>
      <c r="B28" s="241" t="s">
        <v>26</v>
      </c>
      <c r="C28" s="219"/>
      <c r="D28" s="219"/>
      <c r="E28" s="229" t="s">
        <v>27</v>
      </c>
      <c r="F28" s="219"/>
      <c r="G28" s="219"/>
      <c r="H28" s="219"/>
      <c r="I28" s="219"/>
      <c r="J28" s="219"/>
      <c r="K28" s="219"/>
      <c r="L28" s="202"/>
    </row>
    <row r="29" spans="1:12" ht="22" customHeight="1">
      <c r="A29" s="202"/>
      <c r="B29" s="241" t="s">
        <v>28</v>
      </c>
      <c r="C29" s="219"/>
      <c r="D29" s="219"/>
      <c r="E29" s="229" t="s">
        <v>29</v>
      </c>
      <c r="F29" s="219"/>
      <c r="G29" s="219"/>
      <c r="H29" s="219"/>
      <c r="I29" s="219"/>
      <c r="J29" s="219"/>
      <c r="K29" s="219"/>
      <c r="L29" s="202"/>
    </row>
    <row r="30" spans="1:12" ht="22" customHeight="1">
      <c r="A30" s="202"/>
      <c r="B30" s="241" t="s">
        <v>30</v>
      </c>
      <c r="C30" s="219"/>
      <c r="D30" s="219"/>
      <c r="E30" s="229" t="s">
        <v>31</v>
      </c>
      <c r="F30" s="219"/>
      <c r="G30" s="219"/>
      <c r="H30" s="219"/>
      <c r="I30" s="219"/>
      <c r="J30" s="219"/>
      <c r="K30" s="219"/>
      <c r="L30" s="202"/>
    </row>
    <row r="31" spans="1:12" ht="22" customHeight="1">
      <c r="A31" s="202"/>
      <c r="B31" s="241" t="s">
        <v>32</v>
      </c>
      <c r="C31" s="219"/>
      <c r="D31" s="219"/>
      <c r="E31" s="229" t="s">
        <v>33</v>
      </c>
      <c r="F31" s="219"/>
      <c r="G31" s="219"/>
      <c r="H31" s="219"/>
      <c r="I31" s="219"/>
      <c r="J31" s="219"/>
      <c r="K31" s="219"/>
      <c r="L31" s="202"/>
    </row>
    <row r="32" spans="1:12" ht="22" customHeight="1">
      <c r="A32" s="202"/>
      <c r="B32" s="241" t="s">
        <v>34</v>
      </c>
      <c r="C32" s="219"/>
      <c r="D32" s="219"/>
      <c r="E32" s="229" t="s">
        <v>35</v>
      </c>
      <c r="F32" s="219"/>
      <c r="G32" s="219"/>
      <c r="H32" s="219"/>
      <c r="I32" s="219"/>
      <c r="J32" s="219"/>
      <c r="K32" s="219"/>
      <c r="L32" s="202"/>
    </row>
    <row r="33" spans="1:12" ht="6" customHeight="1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</row>
    <row r="34" spans="1:12" ht="20" customHeight="1">
      <c r="A34" s="202"/>
      <c r="B34" s="245" t="s">
        <v>36</v>
      </c>
      <c r="C34" s="219"/>
      <c r="D34" s="219"/>
      <c r="E34" s="219"/>
      <c r="F34" s="219"/>
      <c r="G34" s="219"/>
      <c r="H34" s="219"/>
      <c r="I34" s="219"/>
      <c r="J34" s="219"/>
      <c r="K34" s="219"/>
      <c r="L34" s="202"/>
    </row>
    <row r="35" spans="1:12" ht="22" customHeight="1">
      <c r="A35" s="202"/>
      <c r="B35" s="233" t="s">
        <v>37</v>
      </c>
      <c r="C35" s="219"/>
      <c r="D35" s="219"/>
      <c r="E35" s="229" t="s">
        <v>38</v>
      </c>
      <c r="F35" s="219"/>
      <c r="G35" s="219"/>
      <c r="H35" s="219"/>
      <c r="I35" s="219"/>
      <c r="J35" s="219"/>
      <c r="K35" s="219"/>
      <c r="L35" s="202"/>
    </row>
    <row r="36" spans="1:12" ht="22" customHeight="1">
      <c r="A36" s="202"/>
      <c r="B36" s="233" t="s">
        <v>39</v>
      </c>
      <c r="C36" s="219"/>
      <c r="D36" s="219"/>
      <c r="E36" s="229" t="s">
        <v>40</v>
      </c>
      <c r="F36" s="219"/>
      <c r="G36" s="219"/>
      <c r="H36" s="219"/>
      <c r="I36" s="219"/>
      <c r="J36" s="219"/>
      <c r="K36" s="219"/>
      <c r="L36" s="202"/>
    </row>
    <row r="37" spans="1:12" ht="22" customHeight="1">
      <c r="A37" s="202"/>
      <c r="B37" s="244" t="s">
        <v>41</v>
      </c>
      <c r="C37" s="225"/>
      <c r="D37" s="225"/>
      <c r="E37" s="232" t="s">
        <v>42</v>
      </c>
      <c r="F37" s="225"/>
      <c r="G37" s="225"/>
      <c r="H37" s="225"/>
      <c r="I37" s="225"/>
      <c r="J37" s="225"/>
      <c r="K37" s="225"/>
      <c r="L37" s="202"/>
    </row>
    <row r="38" spans="1:12" ht="12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</row>
    <row r="39" spans="1:12" ht="30" customHeight="1">
      <c r="A39" s="202"/>
      <c r="B39" s="221" t="s">
        <v>43</v>
      </c>
      <c r="C39" s="219"/>
      <c r="D39" s="219"/>
      <c r="E39" s="219"/>
      <c r="F39" s="219"/>
      <c r="G39" s="219"/>
      <c r="H39" s="219"/>
      <c r="I39" s="219"/>
      <c r="J39" s="219"/>
      <c r="K39" s="219"/>
      <c r="L39" s="202"/>
    </row>
    <row r="40" spans="1:12" ht="8" customHeight="1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</row>
    <row r="41" spans="1:12" ht="20" customHeight="1">
      <c r="A41" s="202"/>
      <c r="B41" s="227" t="s">
        <v>44</v>
      </c>
      <c r="C41" s="219"/>
      <c r="D41" s="219"/>
      <c r="E41" s="219"/>
      <c r="F41" s="219"/>
      <c r="G41" s="219"/>
      <c r="H41" s="219"/>
      <c r="I41" s="219"/>
      <c r="J41" s="219"/>
      <c r="K41" s="219"/>
      <c r="L41" s="202"/>
    </row>
    <row r="42" spans="1:12" ht="4" customHeight="1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</row>
    <row r="43" spans="1:12" ht="22" customHeight="1">
      <c r="A43" s="202"/>
      <c r="B43" s="241" t="s">
        <v>45</v>
      </c>
      <c r="C43" s="219"/>
      <c r="D43" s="219"/>
      <c r="E43" s="229" t="s">
        <v>46</v>
      </c>
      <c r="F43" s="219"/>
      <c r="G43" s="219"/>
      <c r="H43" s="219"/>
      <c r="I43" s="219"/>
      <c r="J43" s="219"/>
      <c r="K43" s="219"/>
      <c r="L43" s="202"/>
    </row>
    <row r="44" spans="1:12" ht="22" customHeight="1">
      <c r="A44" s="202"/>
      <c r="B44" s="241" t="s">
        <v>47</v>
      </c>
      <c r="C44" s="219"/>
      <c r="D44" s="219"/>
      <c r="E44" s="229" t="s">
        <v>48</v>
      </c>
      <c r="F44" s="219"/>
      <c r="G44" s="219"/>
      <c r="H44" s="219"/>
      <c r="I44" s="219"/>
      <c r="J44" s="219"/>
      <c r="K44" s="219"/>
      <c r="L44" s="202"/>
    </row>
    <row r="45" spans="1:12" ht="22" customHeight="1">
      <c r="A45" s="202"/>
      <c r="B45" s="241" t="s">
        <v>49</v>
      </c>
      <c r="C45" s="219"/>
      <c r="D45" s="219"/>
      <c r="E45" s="229" t="s">
        <v>50</v>
      </c>
      <c r="F45" s="219"/>
      <c r="G45" s="219"/>
      <c r="H45" s="219"/>
      <c r="I45" s="219"/>
      <c r="J45" s="219"/>
      <c r="K45" s="219"/>
      <c r="L45" s="202"/>
    </row>
    <row r="46" spans="1:12" ht="22" customHeight="1">
      <c r="A46" s="202"/>
      <c r="B46" s="241" t="s">
        <v>51</v>
      </c>
      <c r="C46" s="219"/>
      <c r="D46" s="219"/>
      <c r="E46" s="229" t="s">
        <v>52</v>
      </c>
      <c r="F46" s="219"/>
      <c r="G46" s="219"/>
      <c r="H46" s="219"/>
      <c r="I46" s="219"/>
      <c r="J46" s="219"/>
      <c r="K46" s="219"/>
      <c r="L46" s="202"/>
    </row>
    <row r="47" spans="1:12" ht="6" customHeight="1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</row>
    <row r="48" spans="1:12" ht="20" customHeight="1">
      <c r="A48" s="202"/>
      <c r="B48" s="240" t="s">
        <v>53</v>
      </c>
      <c r="C48" s="219"/>
      <c r="D48" s="219"/>
      <c r="E48" s="219"/>
      <c r="F48" s="219"/>
      <c r="G48" s="219"/>
      <c r="H48" s="219"/>
      <c r="I48" s="219"/>
      <c r="J48" s="219"/>
      <c r="K48" s="219"/>
      <c r="L48" s="202"/>
    </row>
    <row r="49" spans="1:12" ht="4" customHeight="1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</row>
    <row r="50" spans="1:12" ht="20" customHeight="1">
      <c r="A50" s="202"/>
      <c r="B50" s="242" t="s">
        <v>54</v>
      </c>
      <c r="C50" s="219"/>
      <c r="D50" s="219"/>
      <c r="E50" s="219"/>
      <c r="F50" s="219"/>
      <c r="G50" s="219"/>
      <c r="H50" s="219"/>
      <c r="I50" s="219"/>
      <c r="J50" s="219"/>
      <c r="K50" s="219"/>
      <c r="L50" s="202"/>
    </row>
    <row r="51" spans="1:12" ht="20" customHeight="1">
      <c r="A51" s="202"/>
      <c r="B51" s="243" t="s">
        <v>55</v>
      </c>
      <c r="C51" s="219"/>
      <c r="D51" s="219"/>
      <c r="E51" s="219"/>
      <c r="F51" s="219"/>
      <c r="G51" s="219"/>
      <c r="H51" s="219"/>
      <c r="I51" s="219"/>
      <c r="J51" s="219"/>
      <c r="K51" s="219"/>
      <c r="L51" s="202"/>
    </row>
    <row r="52" spans="1:12" ht="20" customHeight="1">
      <c r="A52" s="202"/>
      <c r="B52" s="239" t="s">
        <v>56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02"/>
    </row>
    <row r="53" spans="1:12" ht="12" customHeight="1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</row>
    <row r="54" spans="1:12" ht="30" customHeight="1">
      <c r="A54" s="202"/>
      <c r="B54" s="221" t="s">
        <v>57</v>
      </c>
      <c r="C54" s="219"/>
      <c r="D54" s="219"/>
      <c r="E54" s="219"/>
      <c r="F54" s="219"/>
      <c r="G54" s="219"/>
      <c r="H54" s="219"/>
      <c r="I54" s="219"/>
      <c r="J54" s="219"/>
      <c r="K54" s="219"/>
      <c r="L54" s="202"/>
    </row>
    <row r="55" spans="1:12" ht="8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</row>
    <row r="56" spans="1:12" ht="20" customHeight="1">
      <c r="A56" s="202"/>
      <c r="B56" s="227" t="s">
        <v>58</v>
      </c>
      <c r="C56" s="219"/>
      <c r="D56" s="219"/>
      <c r="E56" s="219"/>
      <c r="F56" s="219"/>
      <c r="G56" s="219"/>
      <c r="H56" s="219"/>
      <c r="I56" s="219"/>
      <c r="J56" s="219"/>
      <c r="K56" s="219"/>
      <c r="L56" s="202"/>
    </row>
    <row r="57" spans="1:12" ht="4" customHeight="1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</row>
    <row r="58" spans="1:12" ht="20" customHeight="1">
      <c r="A58" s="202"/>
      <c r="B58" s="223" t="s">
        <v>59</v>
      </c>
      <c r="C58" s="219"/>
      <c r="D58" s="219"/>
      <c r="E58" s="219"/>
      <c r="F58" s="219"/>
      <c r="G58" s="219"/>
      <c r="H58" s="219"/>
      <c r="I58" s="219"/>
      <c r="J58" s="219"/>
      <c r="K58" s="219"/>
      <c r="L58" s="202"/>
    </row>
    <row r="59" spans="1:12" ht="20" customHeight="1">
      <c r="A59" s="202"/>
      <c r="B59" s="223" t="s">
        <v>60</v>
      </c>
      <c r="C59" s="219"/>
      <c r="D59" s="219"/>
      <c r="E59" s="219"/>
      <c r="F59" s="219"/>
      <c r="G59" s="219"/>
      <c r="H59" s="219"/>
      <c r="I59" s="219"/>
      <c r="J59" s="219"/>
      <c r="K59" s="219"/>
      <c r="L59" s="202"/>
    </row>
    <row r="60" spans="1:12" ht="20" customHeight="1">
      <c r="A60" s="202"/>
      <c r="B60" s="223" t="s">
        <v>61</v>
      </c>
      <c r="C60" s="219"/>
      <c r="D60" s="219"/>
      <c r="E60" s="219"/>
      <c r="F60" s="219"/>
      <c r="G60" s="219"/>
      <c r="H60" s="219"/>
      <c r="I60" s="219"/>
      <c r="J60" s="219"/>
      <c r="K60" s="219"/>
      <c r="L60" s="202"/>
    </row>
    <row r="61" spans="1:12" ht="20" customHeight="1">
      <c r="A61" s="202"/>
      <c r="B61" s="223" t="s">
        <v>62</v>
      </c>
      <c r="C61" s="219"/>
      <c r="D61" s="219"/>
      <c r="E61" s="219"/>
      <c r="F61" s="219"/>
      <c r="G61" s="219"/>
      <c r="H61" s="219"/>
      <c r="I61" s="219"/>
      <c r="J61" s="219"/>
      <c r="K61" s="219"/>
      <c r="L61" s="202"/>
    </row>
    <row r="62" spans="1:12" ht="20" customHeight="1">
      <c r="A62" s="202"/>
      <c r="B62" s="223" t="s">
        <v>63</v>
      </c>
      <c r="C62" s="219"/>
      <c r="D62" s="219"/>
      <c r="E62" s="219"/>
      <c r="F62" s="219"/>
      <c r="G62" s="219"/>
      <c r="H62" s="219"/>
      <c r="I62" s="219"/>
      <c r="J62" s="219"/>
      <c r="K62" s="219"/>
      <c r="L62" s="202"/>
    </row>
    <row r="63" spans="1:12" ht="6" customHeight="1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</row>
    <row r="64" spans="1:12" ht="20" customHeight="1">
      <c r="A64" s="202"/>
      <c r="B64" s="240" t="s">
        <v>64</v>
      </c>
      <c r="C64" s="219"/>
      <c r="D64" s="219"/>
      <c r="E64" s="219"/>
      <c r="F64" s="219"/>
      <c r="G64" s="219"/>
      <c r="H64" s="219"/>
      <c r="I64" s="219"/>
      <c r="J64" s="219"/>
      <c r="K64" s="219"/>
      <c r="L64" s="202"/>
    </row>
    <row r="65" spans="1:12" ht="20" customHeight="1">
      <c r="A65" s="202"/>
      <c r="B65" s="236" t="s">
        <v>65</v>
      </c>
      <c r="C65" s="219"/>
      <c r="D65" s="219"/>
      <c r="E65" s="219"/>
      <c r="F65" s="219"/>
      <c r="G65" s="219"/>
      <c r="H65" s="219"/>
      <c r="I65" s="219"/>
      <c r="J65" s="219"/>
      <c r="K65" s="219"/>
      <c r="L65" s="202"/>
    </row>
    <row r="66" spans="1:12" ht="20" customHeight="1">
      <c r="A66" s="202"/>
      <c r="B66" s="236" t="s">
        <v>66</v>
      </c>
      <c r="C66" s="219"/>
      <c r="D66" s="219"/>
      <c r="E66" s="219"/>
      <c r="F66" s="219"/>
      <c r="G66" s="219"/>
      <c r="H66" s="219"/>
      <c r="I66" s="219"/>
      <c r="J66" s="219"/>
      <c r="K66" s="219"/>
      <c r="L66" s="202"/>
    </row>
    <row r="67" spans="1:12" ht="20" customHeight="1">
      <c r="A67" s="202"/>
      <c r="B67" s="237" t="s">
        <v>67</v>
      </c>
      <c r="C67" s="225"/>
      <c r="D67" s="225"/>
      <c r="E67" s="225"/>
      <c r="F67" s="225"/>
      <c r="G67" s="225"/>
      <c r="H67" s="225"/>
      <c r="I67" s="225"/>
      <c r="J67" s="225"/>
      <c r="K67" s="225"/>
      <c r="L67" s="202"/>
    </row>
    <row r="68" spans="1:12" ht="12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</row>
    <row r="69" spans="1:12" ht="30" customHeight="1">
      <c r="A69" s="202"/>
      <c r="B69" s="221" t="s">
        <v>68</v>
      </c>
      <c r="C69" s="219"/>
      <c r="D69" s="219"/>
      <c r="E69" s="219"/>
      <c r="F69" s="219"/>
      <c r="G69" s="219"/>
      <c r="H69" s="219"/>
      <c r="I69" s="219"/>
      <c r="J69" s="219"/>
      <c r="K69" s="219"/>
      <c r="L69" s="202"/>
    </row>
    <row r="70" spans="1:12" ht="8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1:12" ht="20" customHeight="1">
      <c r="A71" s="202"/>
      <c r="B71" s="238" t="s">
        <v>69</v>
      </c>
      <c r="C71" s="219"/>
      <c r="D71" s="219"/>
      <c r="E71" s="219"/>
      <c r="F71" s="219"/>
      <c r="G71" s="219"/>
      <c r="H71" s="219"/>
      <c r="I71" s="219"/>
      <c r="J71" s="219"/>
      <c r="K71" s="219"/>
      <c r="L71" s="202"/>
    </row>
    <row r="72" spans="1:12" ht="6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</row>
    <row r="73" spans="1:12" ht="22" customHeight="1">
      <c r="A73" s="202"/>
      <c r="B73" s="234" t="s">
        <v>70</v>
      </c>
      <c r="C73" s="219"/>
      <c r="D73" s="219"/>
      <c r="E73" s="229" t="s">
        <v>71</v>
      </c>
      <c r="F73" s="219"/>
      <c r="G73" s="219"/>
      <c r="H73" s="219"/>
      <c r="I73" s="219"/>
      <c r="J73" s="219"/>
      <c r="K73" s="219"/>
      <c r="L73" s="202"/>
    </row>
    <row r="74" spans="1:12" ht="22" customHeight="1">
      <c r="A74" s="202"/>
      <c r="B74" s="234" t="s">
        <v>72</v>
      </c>
      <c r="C74" s="219"/>
      <c r="D74" s="219"/>
      <c r="E74" s="229" t="s">
        <v>73</v>
      </c>
      <c r="F74" s="219"/>
      <c r="G74" s="219"/>
      <c r="H74" s="219"/>
      <c r="I74" s="219"/>
      <c r="J74" s="219"/>
      <c r="K74" s="219"/>
      <c r="L74" s="202"/>
    </row>
    <row r="75" spans="1:12" ht="22" customHeight="1">
      <c r="A75" s="202"/>
      <c r="B75" s="234" t="s">
        <v>74</v>
      </c>
      <c r="C75" s="219"/>
      <c r="D75" s="219"/>
      <c r="E75" s="229" t="s">
        <v>75</v>
      </c>
      <c r="F75" s="219"/>
      <c r="G75" s="219"/>
      <c r="H75" s="219"/>
      <c r="I75" s="219"/>
      <c r="J75" s="219"/>
      <c r="K75" s="219"/>
      <c r="L75" s="202"/>
    </row>
    <row r="76" spans="1:12" ht="22" customHeight="1">
      <c r="A76" s="202"/>
      <c r="B76" s="234" t="s">
        <v>76</v>
      </c>
      <c r="C76" s="219"/>
      <c r="D76" s="219"/>
      <c r="E76" s="229" t="s">
        <v>77</v>
      </c>
      <c r="F76" s="219"/>
      <c r="G76" s="219"/>
      <c r="H76" s="219"/>
      <c r="I76" s="219"/>
      <c r="J76" s="219"/>
      <c r="K76" s="219"/>
      <c r="L76" s="202"/>
    </row>
    <row r="77" spans="1:12" ht="22" customHeight="1">
      <c r="A77" s="202"/>
      <c r="B77" s="234" t="s">
        <v>78</v>
      </c>
      <c r="C77" s="219"/>
      <c r="D77" s="219"/>
      <c r="E77" s="229" t="s">
        <v>79</v>
      </c>
      <c r="F77" s="219"/>
      <c r="G77" s="219"/>
      <c r="H77" s="219"/>
      <c r="I77" s="219"/>
      <c r="J77" s="219"/>
      <c r="K77" s="219"/>
      <c r="L77" s="202"/>
    </row>
    <row r="78" spans="1:12" ht="8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</row>
    <row r="79" spans="1:12" ht="20" customHeight="1">
      <c r="A79" s="202"/>
      <c r="B79" s="235" t="s">
        <v>80</v>
      </c>
      <c r="C79" s="219"/>
      <c r="D79" s="219"/>
      <c r="E79" s="219"/>
      <c r="F79" s="219"/>
      <c r="G79" s="219"/>
      <c r="H79" s="219"/>
      <c r="I79" s="219"/>
      <c r="J79" s="219"/>
      <c r="K79" s="219"/>
      <c r="L79" s="202"/>
    </row>
    <row r="80" spans="1:12" ht="4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</row>
    <row r="81" spans="1:12" ht="22" customHeight="1">
      <c r="A81" s="202"/>
      <c r="B81" s="233" t="s">
        <v>81</v>
      </c>
      <c r="C81" s="219"/>
      <c r="D81" s="219"/>
      <c r="E81" s="229" t="s">
        <v>82</v>
      </c>
      <c r="F81" s="219"/>
      <c r="G81" s="219"/>
      <c r="H81" s="219"/>
      <c r="I81" s="219"/>
      <c r="J81" s="219"/>
      <c r="K81" s="219"/>
      <c r="L81" s="202"/>
    </row>
    <row r="82" spans="1:12" ht="22" customHeight="1">
      <c r="A82" s="202"/>
      <c r="B82" s="233" t="s">
        <v>83</v>
      </c>
      <c r="C82" s="219"/>
      <c r="D82" s="219"/>
      <c r="E82" s="229" t="s">
        <v>84</v>
      </c>
      <c r="F82" s="219"/>
      <c r="G82" s="219"/>
      <c r="H82" s="219"/>
      <c r="I82" s="219"/>
      <c r="J82" s="219"/>
      <c r="K82" s="219"/>
      <c r="L82" s="202"/>
    </row>
    <row r="83" spans="1:12" ht="22" customHeight="1">
      <c r="A83" s="202"/>
      <c r="B83" s="233" t="s">
        <v>85</v>
      </c>
      <c r="C83" s="219"/>
      <c r="D83" s="219"/>
      <c r="E83" s="229" t="s">
        <v>86</v>
      </c>
      <c r="F83" s="219"/>
      <c r="G83" s="219"/>
      <c r="H83" s="219"/>
      <c r="I83" s="219"/>
      <c r="J83" s="219"/>
      <c r="K83" s="219"/>
      <c r="L83" s="202"/>
    </row>
    <row r="84" spans="1:12" ht="22" customHeight="1">
      <c r="A84" s="202"/>
      <c r="B84" s="233" t="s">
        <v>87</v>
      </c>
      <c r="C84" s="219"/>
      <c r="D84" s="219"/>
      <c r="E84" s="229" t="s">
        <v>88</v>
      </c>
      <c r="F84" s="219"/>
      <c r="G84" s="219"/>
      <c r="H84" s="219"/>
      <c r="I84" s="219"/>
      <c r="J84" s="219"/>
      <c r="K84" s="219"/>
      <c r="L84" s="202"/>
    </row>
    <row r="85" spans="1:12" ht="8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</row>
    <row r="86" spans="1:12" ht="20" customHeight="1">
      <c r="A86" s="202"/>
      <c r="B86" s="227" t="s">
        <v>89</v>
      </c>
      <c r="C86" s="219"/>
      <c r="D86" s="219"/>
      <c r="E86" s="219"/>
      <c r="F86" s="219"/>
      <c r="G86" s="219"/>
      <c r="H86" s="219"/>
      <c r="I86" s="219"/>
      <c r="J86" s="219"/>
      <c r="K86" s="219"/>
      <c r="L86" s="202"/>
    </row>
    <row r="87" spans="1:12" ht="4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</row>
    <row r="88" spans="1:12" ht="22" customHeight="1">
      <c r="A88" s="202"/>
      <c r="B88" s="228" t="s">
        <v>90</v>
      </c>
      <c r="C88" s="219"/>
      <c r="D88" s="219"/>
      <c r="E88" s="229" t="s">
        <v>91</v>
      </c>
      <c r="F88" s="219"/>
      <c r="G88" s="219"/>
      <c r="H88" s="219"/>
      <c r="I88" s="219"/>
      <c r="J88" s="219"/>
      <c r="K88" s="219"/>
      <c r="L88" s="202"/>
    </row>
    <row r="89" spans="1:12" ht="22" customHeight="1">
      <c r="A89" s="202"/>
      <c r="B89" s="228" t="s">
        <v>92</v>
      </c>
      <c r="C89" s="219"/>
      <c r="D89" s="219"/>
      <c r="E89" s="229" t="s">
        <v>93</v>
      </c>
      <c r="F89" s="219"/>
      <c r="G89" s="219"/>
      <c r="H89" s="219"/>
      <c r="I89" s="219"/>
      <c r="J89" s="219"/>
      <c r="K89" s="219"/>
      <c r="L89" s="202"/>
    </row>
    <row r="90" spans="1:12" ht="22" customHeight="1">
      <c r="A90" s="202"/>
      <c r="B90" s="230" t="s">
        <v>94</v>
      </c>
      <c r="C90" s="219"/>
      <c r="D90" s="219"/>
      <c r="E90" s="229" t="s">
        <v>95</v>
      </c>
      <c r="F90" s="219"/>
      <c r="G90" s="219"/>
      <c r="H90" s="219"/>
      <c r="I90" s="219"/>
      <c r="J90" s="219"/>
      <c r="K90" s="219"/>
      <c r="L90" s="202"/>
    </row>
    <row r="91" spans="1:12" ht="22" customHeight="1">
      <c r="A91" s="202"/>
      <c r="B91" s="231" t="s">
        <v>96</v>
      </c>
      <c r="C91" s="225"/>
      <c r="D91" s="225"/>
      <c r="E91" s="232" t="s">
        <v>97</v>
      </c>
      <c r="F91" s="225"/>
      <c r="G91" s="225"/>
      <c r="H91" s="225"/>
      <c r="I91" s="225"/>
      <c r="J91" s="225"/>
      <c r="K91" s="225"/>
      <c r="L91" s="202"/>
    </row>
    <row r="92" spans="1:12" ht="12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</row>
    <row r="93" spans="1:12" ht="30" customHeight="1">
      <c r="A93" s="202"/>
      <c r="B93" s="221" t="s">
        <v>98</v>
      </c>
      <c r="C93" s="219"/>
      <c r="D93" s="219"/>
      <c r="E93" s="219"/>
      <c r="F93" s="219"/>
      <c r="G93" s="219"/>
      <c r="H93" s="219"/>
      <c r="I93" s="219"/>
      <c r="J93" s="219"/>
      <c r="K93" s="219"/>
      <c r="L93" s="202"/>
    </row>
    <row r="94" spans="1:12" ht="8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</row>
    <row r="95" spans="1:12" ht="20" customHeight="1">
      <c r="A95" s="202"/>
      <c r="B95" s="223" t="s">
        <v>99</v>
      </c>
      <c r="C95" s="219"/>
      <c r="D95" s="219"/>
      <c r="E95" s="219"/>
      <c r="F95" s="219"/>
      <c r="G95" s="219"/>
      <c r="H95" s="219"/>
      <c r="I95" s="219"/>
      <c r="J95" s="219"/>
      <c r="K95" s="219"/>
      <c r="L95" s="202"/>
    </row>
    <row r="96" spans="1:12" ht="20" customHeight="1">
      <c r="A96" s="202"/>
      <c r="B96" s="223" t="s">
        <v>100</v>
      </c>
      <c r="C96" s="219"/>
      <c r="D96" s="219"/>
      <c r="E96" s="219"/>
      <c r="F96" s="219"/>
      <c r="G96" s="219"/>
      <c r="H96" s="219"/>
      <c r="I96" s="219"/>
      <c r="J96" s="219"/>
      <c r="K96" s="219"/>
      <c r="L96" s="202"/>
    </row>
    <row r="97" spans="1:12" ht="20" customHeight="1">
      <c r="A97" s="202"/>
      <c r="B97" s="223" t="s">
        <v>101</v>
      </c>
      <c r="C97" s="219"/>
      <c r="D97" s="219"/>
      <c r="E97" s="219"/>
      <c r="F97" s="219"/>
      <c r="G97" s="219"/>
      <c r="H97" s="219"/>
      <c r="I97" s="219"/>
      <c r="J97" s="219"/>
      <c r="K97" s="219"/>
      <c r="L97" s="202"/>
    </row>
    <row r="98" spans="1:12" ht="20" customHeight="1">
      <c r="A98" s="202"/>
      <c r="B98" s="226" t="s">
        <v>102</v>
      </c>
      <c r="C98" s="225"/>
      <c r="D98" s="225"/>
      <c r="E98" s="225"/>
      <c r="F98" s="225"/>
      <c r="G98" s="225"/>
      <c r="H98" s="225"/>
      <c r="I98" s="225"/>
      <c r="J98" s="225"/>
      <c r="K98" s="225"/>
      <c r="L98" s="202"/>
    </row>
    <row r="99" spans="1:12" ht="12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</row>
    <row r="100" spans="1:12" ht="30" customHeight="1">
      <c r="A100" s="202"/>
      <c r="B100" s="221" t="s">
        <v>103</v>
      </c>
      <c r="C100" s="219"/>
      <c r="D100" s="219"/>
      <c r="E100" s="219"/>
      <c r="F100" s="219"/>
      <c r="G100" s="219"/>
      <c r="H100" s="219"/>
      <c r="I100" s="219"/>
      <c r="J100" s="219"/>
      <c r="K100" s="219"/>
      <c r="L100" s="202"/>
    </row>
    <row r="101" spans="1:12" ht="8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</row>
    <row r="102" spans="1:12" ht="20" customHeight="1">
      <c r="A102" s="202"/>
      <c r="B102" s="227" t="s">
        <v>104</v>
      </c>
      <c r="C102" s="219"/>
      <c r="D102" s="219"/>
      <c r="E102" s="219"/>
      <c r="F102" s="219"/>
      <c r="G102" s="219"/>
      <c r="H102" s="219"/>
      <c r="I102" s="219"/>
      <c r="J102" s="219"/>
      <c r="K102" s="219"/>
      <c r="L102" s="202"/>
    </row>
    <row r="103" spans="1:12" ht="4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</row>
    <row r="104" spans="1:12" ht="20" customHeight="1">
      <c r="A104" s="202"/>
      <c r="B104" s="223" t="s">
        <v>105</v>
      </c>
      <c r="C104" s="219"/>
      <c r="D104" s="219"/>
      <c r="E104" s="219"/>
      <c r="F104" s="219"/>
      <c r="G104" s="219"/>
      <c r="H104" s="219"/>
      <c r="I104" s="219"/>
      <c r="J104" s="219"/>
      <c r="K104" s="219"/>
      <c r="L104" s="202"/>
    </row>
    <row r="105" spans="1:12" ht="20" customHeight="1">
      <c r="A105" s="202"/>
      <c r="B105" s="223" t="s">
        <v>106</v>
      </c>
      <c r="C105" s="219"/>
      <c r="D105" s="219"/>
      <c r="E105" s="219"/>
      <c r="F105" s="219"/>
      <c r="G105" s="219"/>
      <c r="H105" s="219"/>
      <c r="I105" s="219"/>
      <c r="J105" s="219"/>
      <c r="K105" s="219"/>
      <c r="L105" s="202"/>
    </row>
    <row r="106" spans="1:12" ht="20" customHeight="1">
      <c r="A106" s="202"/>
      <c r="B106" s="223" t="s">
        <v>107</v>
      </c>
      <c r="C106" s="219"/>
      <c r="D106" s="219"/>
      <c r="E106" s="219"/>
      <c r="F106" s="219"/>
      <c r="G106" s="219"/>
      <c r="H106" s="219"/>
      <c r="I106" s="219"/>
      <c r="J106" s="219"/>
      <c r="K106" s="219"/>
      <c r="L106" s="202"/>
    </row>
    <row r="107" spans="1:12" ht="20" customHeight="1">
      <c r="A107" s="202"/>
      <c r="B107" s="223" t="s">
        <v>108</v>
      </c>
      <c r="C107" s="219"/>
      <c r="D107" s="219"/>
      <c r="E107" s="219"/>
      <c r="F107" s="219"/>
      <c r="G107" s="219"/>
      <c r="H107" s="219"/>
      <c r="I107" s="219"/>
      <c r="J107" s="219"/>
      <c r="K107" s="219"/>
      <c r="L107" s="202"/>
    </row>
    <row r="108" spans="1:12" ht="20" customHeight="1">
      <c r="A108" s="202"/>
      <c r="B108" s="223" t="s">
        <v>109</v>
      </c>
      <c r="C108" s="219"/>
      <c r="D108" s="219"/>
      <c r="E108" s="219"/>
      <c r="F108" s="219"/>
      <c r="G108" s="219"/>
      <c r="H108" s="219"/>
      <c r="I108" s="219"/>
      <c r="J108" s="219"/>
      <c r="K108" s="219"/>
      <c r="L108" s="202"/>
    </row>
    <row r="109" spans="1:12" ht="20" customHeight="1">
      <c r="A109" s="202"/>
      <c r="B109" s="223" t="s">
        <v>110</v>
      </c>
      <c r="C109" s="219"/>
      <c r="D109" s="219"/>
      <c r="E109" s="219"/>
      <c r="F109" s="219"/>
      <c r="G109" s="219"/>
      <c r="H109" s="219"/>
      <c r="I109" s="219"/>
      <c r="J109" s="219"/>
      <c r="K109" s="219"/>
      <c r="L109" s="202"/>
    </row>
    <row r="110" spans="1:12" ht="20" customHeight="1">
      <c r="A110" s="202"/>
      <c r="B110" s="223" t="s">
        <v>111</v>
      </c>
      <c r="C110" s="219"/>
      <c r="D110" s="219"/>
      <c r="E110" s="219"/>
      <c r="F110" s="219"/>
      <c r="G110" s="219"/>
      <c r="H110" s="219"/>
      <c r="I110" s="219"/>
      <c r="J110" s="219"/>
      <c r="K110" s="219"/>
      <c r="L110" s="202"/>
    </row>
    <row r="111" spans="1:12" ht="20" customHeight="1">
      <c r="A111" s="202"/>
      <c r="B111" s="224" t="s">
        <v>112</v>
      </c>
      <c r="C111" s="225"/>
      <c r="D111" s="225"/>
      <c r="E111" s="225"/>
      <c r="F111" s="225"/>
      <c r="G111" s="225"/>
      <c r="H111" s="225"/>
      <c r="I111" s="225"/>
      <c r="J111" s="225"/>
      <c r="K111" s="225"/>
      <c r="L111" s="202"/>
    </row>
    <row r="112" spans="1:12" ht="12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</row>
    <row r="113" spans="1:12" ht="30" customHeight="1">
      <c r="A113" s="202"/>
      <c r="B113" s="221" t="s">
        <v>113</v>
      </c>
      <c r="C113" s="219"/>
      <c r="D113" s="219"/>
      <c r="E113" s="219"/>
      <c r="F113" s="219"/>
      <c r="G113" s="219"/>
      <c r="H113" s="219"/>
      <c r="I113" s="219"/>
      <c r="J113" s="219"/>
      <c r="K113" s="219"/>
      <c r="L113" s="202"/>
    </row>
    <row r="114" spans="1:12" ht="8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</row>
    <row r="115" spans="1:12" ht="20" customHeight="1">
      <c r="A115" s="202"/>
      <c r="B115" s="220" t="s">
        <v>114</v>
      </c>
      <c r="C115" s="219"/>
      <c r="D115" s="219"/>
      <c r="E115" s="219"/>
      <c r="F115" s="219"/>
      <c r="G115" s="219"/>
      <c r="H115" s="219"/>
      <c r="I115" s="219"/>
      <c r="J115" s="219"/>
      <c r="K115" s="219"/>
      <c r="L115" s="202"/>
    </row>
    <row r="116" spans="1:12" ht="20" customHeight="1">
      <c r="A116" s="202"/>
      <c r="B116" s="218" t="s">
        <v>115</v>
      </c>
      <c r="C116" s="219"/>
      <c r="D116" s="219"/>
      <c r="E116" s="219"/>
      <c r="F116" s="219"/>
      <c r="G116" s="219"/>
      <c r="H116" s="219"/>
      <c r="I116" s="219"/>
      <c r="J116" s="219"/>
      <c r="K116" s="219"/>
      <c r="L116" s="202"/>
    </row>
    <row r="117" spans="1:12" ht="6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</row>
    <row r="118" spans="1:12" ht="20" customHeight="1">
      <c r="A118" s="202"/>
      <c r="B118" s="220" t="s">
        <v>116</v>
      </c>
      <c r="C118" s="219"/>
      <c r="D118" s="219"/>
      <c r="E118" s="219"/>
      <c r="F118" s="219"/>
      <c r="G118" s="219"/>
      <c r="H118" s="219"/>
      <c r="I118" s="219"/>
      <c r="J118" s="219"/>
      <c r="K118" s="219"/>
      <c r="L118" s="202"/>
    </row>
    <row r="119" spans="1:12" ht="20" customHeight="1">
      <c r="A119" s="202"/>
      <c r="B119" s="218" t="s">
        <v>117</v>
      </c>
      <c r="C119" s="219"/>
      <c r="D119" s="219"/>
      <c r="E119" s="219"/>
      <c r="F119" s="219"/>
      <c r="G119" s="219"/>
      <c r="H119" s="219"/>
      <c r="I119" s="219"/>
      <c r="J119" s="219"/>
      <c r="K119" s="219"/>
      <c r="L119" s="202"/>
    </row>
    <row r="120" spans="1:12" ht="6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</row>
    <row r="121" spans="1:12" ht="20" customHeight="1">
      <c r="A121" s="202"/>
      <c r="B121" s="220" t="s">
        <v>118</v>
      </c>
      <c r="C121" s="219"/>
      <c r="D121" s="219"/>
      <c r="E121" s="219"/>
      <c r="F121" s="219"/>
      <c r="G121" s="219"/>
      <c r="H121" s="219"/>
      <c r="I121" s="219"/>
      <c r="J121" s="219"/>
      <c r="K121" s="219"/>
      <c r="L121" s="202"/>
    </row>
    <row r="122" spans="1:12" ht="20" customHeight="1">
      <c r="A122" s="202"/>
      <c r="B122" s="218" t="s">
        <v>119</v>
      </c>
      <c r="C122" s="219"/>
      <c r="D122" s="219"/>
      <c r="E122" s="219"/>
      <c r="F122" s="219"/>
      <c r="G122" s="219"/>
      <c r="H122" s="219"/>
      <c r="I122" s="219"/>
      <c r="J122" s="219"/>
      <c r="K122" s="219"/>
      <c r="L122" s="202"/>
    </row>
    <row r="123" spans="1:12" ht="6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</row>
    <row r="124" spans="1:12" ht="20" customHeight="1">
      <c r="A124" s="202"/>
      <c r="B124" s="220" t="s">
        <v>120</v>
      </c>
      <c r="C124" s="219"/>
      <c r="D124" s="219"/>
      <c r="E124" s="219"/>
      <c r="F124" s="219"/>
      <c r="G124" s="219"/>
      <c r="H124" s="219"/>
      <c r="I124" s="219"/>
      <c r="J124" s="219"/>
      <c r="K124" s="219"/>
      <c r="L124" s="202"/>
    </row>
    <row r="125" spans="1:12" ht="20" customHeight="1">
      <c r="A125" s="202"/>
      <c r="B125" s="218" t="s">
        <v>121</v>
      </c>
      <c r="C125" s="219"/>
      <c r="D125" s="219"/>
      <c r="E125" s="219"/>
      <c r="F125" s="219"/>
      <c r="G125" s="219"/>
      <c r="H125" s="219"/>
      <c r="I125" s="219"/>
      <c r="J125" s="219"/>
      <c r="K125" s="219"/>
      <c r="L125" s="202"/>
    </row>
    <row r="126" spans="1:12" ht="6" customHeight="1">
      <c r="A126" s="202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2"/>
    </row>
    <row r="127" spans="1:12" ht="16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</row>
    <row r="128" spans="1:12" ht="30" customHeight="1">
      <c r="A128" s="202"/>
      <c r="B128" s="221" t="s">
        <v>122</v>
      </c>
      <c r="C128" s="219"/>
      <c r="D128" s="219"/>
      <c r="E128" s="219"/>
      <c r="F128" s="219"/>
      <c r="G128" s="219"/>
      <c r="H128" s="219"/>
      <c r="I128" s="219"/>
      <c r="J128" s="219"/>
      <c r="K128" s="219"/>
      <c r="L128" s="202"/>
    </row>
    <row r="129" spans="1:12" ht="10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</row>
    <row r="130" spans="1:12" ht="32" customHeight="1">
      <c r="A130" s="202"/>
      <c r="B130" s="222" t="s">
        <v>123</v>
      </c>
      <c r="C130" s="219"/>
      <c r="D130" s="219"/>
      <c r="E130" s="222" t="s">
        <v>124</v>
      </c>
      <c r="F130" s="219"/>
      <c r="G130" s="222" t="s">
        <v>125</v>
      </c>
      <c r="H130" s="219"/>
      <c r="I130" s="222" t="s">
        <v>126</v>
      </c>
      <c r="J130" s="219"/>
      <c r="K130" s="219"/>
      <c r="L130" s="202"/>
    </row>
    <row r="131" spans="1:12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</row>
    <row r="132" spans="1:1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</row>
    <row r="133" spans="1:12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</row>
    <row r="134" spans="1:12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</row>
    <row r="135" spans="1:12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</row>
    <row r="136" spans="1:12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</row>
    <row r="137" spans="1:12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</row>
    <row r="138" spans="1:12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</row>
    <row r="139" spans="1:12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</row>
    <row r="140" spans="1:12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</row>
    <row r="141" spans="1:12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</row>
    <row r="142" spans="1:1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</row>
    <row r="143" spans="1:12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</row>
    <row r="144" spans="1:12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</row>
    <row r="145" spans="1:12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</row>
    <row r="146" spans="1:12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</row>
    <row r="147" spans="1:12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</row>
    <row r="148" spans="1:12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</row>
    <row r="149" spans="1:12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</row>
    <row r="150" spans="1:12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</row>
    <row r="151" spans="1:12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</row>
    <row r="152" spans="1:1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</row>
    <row r="153" spans="1:12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</row>
    <row r="154" spans="1:12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</row>
    <row r="155" spans="1:12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</row>
    <row r="156" spans="1:12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</row>
    <row r="157" spans="1:12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</row>
    <row r="158" spans="1:12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</row>
    <row r="159" spans="1:12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</row>
    <row r="160" spans="1:12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</row>
    <row r="161" spans="1:12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</row>
    <row r="162" spans="1:1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</row>
    <row r="163" spans="1:12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</row>
    <row r="164" spans="1:12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</row>
    <row r="165" spans="1:12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</row>
    <row r="166" spans="1:12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</row>
    <row r="167" spans="1:12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</row>
    <row r="168" spans="1:12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</row>
    <row r="169" spans="1:12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</row>
    <row r="170" spans="1:12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</row>
    <row r="171" spans="1:12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</row>
    <row r="172" spans="1:1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</row>
    <row r="173" spans="1:12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</row>
    <row r="174" spans="1:12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</row>
    <row r="175" spans="1:12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</row>
    <row r="176" spans="1:12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</row>
    <row r="177" spans="1:12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</row>
    <row r="178" spans="1:12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</row>
    <row r="179" spans="1:12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</row>
    <row r="180" spans="1:12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</row>
    <row r="181" spans="1:12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</row>
    <row r="182" spans="1:1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</row>
    <row r="183" spans="1:12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</row>
    <row r="184" spans="1:12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</row>
    <row r="185" spans="1:12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</row>
    <row r="186" spans="1:12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</row>
    <row r="187" spans="1:12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</row>
    <row r="188" spans="1:12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</row>
    <row r="189" spans="1:12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</row>
    <row r="190" spans="1:12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</row>
    <row r="191" spans="1:12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</row>
    <row r="192" spans="1:1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</row>
    <row r="193" spans="1:12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</row>
    <row r="194" spans="1:12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</row>
    <row r="195" spans="1:12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</row>
    <row r="196" spans="1:12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</row>
    <row r="197" spans="1:12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</row>
    <row r="198" spans="1:12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</row>
    <row r="199" spans="1:12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</row>
    <row r="200" spans="1:12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</row>
  </sheetData>
  <sheetProtection algorithmName="SHA-512" hashValue="QqJHkANTonX8D6LQcLcBaTJfmTObnTEf8yXFpScFFasPTiZMvZNQ9wmjMbCkSUxLNQZumD032WH0yPoLg5CbDQ==" saltValue="DmuAVHd4R5SQpKe1sPP0jQ==" spinCount="100000" sheet="1" scenarios="1" formatColumns="0" formatRows="0"/>
  <mergeCells count="127">
    <mergeCell ref="B1:K1"/>
    <mergeCell ref="B2:K2"/>
    <mergeCell ref="B4:K4"/>
    <mergeCell ref="B6:D6"/>
    <mergeCell ref="E6:K6"/>
    <mergeCell ref="B7:D7"/>
    <mergeCell ref="E7:K7"/>
    <mergeCell ref="B9:K9"/>
    <mergeCell ref="B11:K11"/>
    <mergeCell ref="B13:D13"/>
    <mergeCell ref="E13:K13"/>
    <mergeCell ref="B14:D14"/>
    <mergeCell ref="E14:K14"/>
    <mergeCell ref="B15:D15"/>
    <mergeCell ref="E15:K15"/>
    <mergeCell ref="B16:D16"/>
    <mergeCell ref="E16:K16"/>
    <mergeCell ref="B17:D17"/>
    <mergeCell ref="E17:K17"/>
    <mergeCell ref="B19:K19"/>
    <mergeCell ref="B20:K20"/>
    <mergeCell ref="B21:K21"/>
    <mergeCell ref="B23:K23"/>
    <mergeCell ref="B25:K25"/>
    <mergeCell ref="B27:D27"/>
    <mergeCell ref="E27:K27"/>
    <mergeCell ref="B28:D28"/>
    <mergeCell ref="E28:K28"/>
    <mergeCell ref="B29:D29"/>
    <mergeCell ref="E29:K29"/>
    <mergeCell ref="B30:D30"/>
    <mergeCell ref="E30:K30"/>
    <mergeCell ref="B31:D31"/>
    <mergeCell ref="E31:K31"/>
    <mergeCell ref="B32:D32"/>
    <mergeCell ref="E32:K32"/>
    <mergeCell ref="B34:K34"/>
    <mergeCell ref="B35:D35"/>
    <mergeCell ref="E35:K35"/>
    <mergeCell ref="B36:D36"/>
    <mergeCell ref="E36:K36"/>
    <mergeCell ref="B37:D37"/>
    <mergeCell ref="E37:K37"/>
    <mergeCell ref="B39:K39"/>
    <mergeCell ref="B41:K41"/>
    <mergeCell ref="B43:D43"/>
    <mergeCell ref="E43:K43"/>
    <mergeCell ref="B44:D44"/>
    <mergeCell ref="E44:K44"/>
    <mergeCell ref="B45:D45"/>
    <mergeCell ref="E45:K45"/>
    <mergeCell ref="B46:D46"/>
    <mergeCell ref="E46:K46"/>
    <mergeCell ref="B48:K48"/>
    <mergeCell ref="B50:K50"/>
    <mergeCell ref="B51:K51"/>
    <mergeCell ref="B52:K52"/>
    <mergeCell ref="B54:K54"/>
    <mergeCell ref="B56:K56"/>
    <mergeCell ref="B58:K58"/>
    <mergeCell ref="B59:K59"/>
    <mergeCell ref="B60:K60"/>
    <mergeCell ref="B61:K61"/>
    <mergeCell ref="B62:K62"/>
    <mergeCell ref="B64:K64"/>
    <mergeCell ref="B65:K65"/>
    <mergeCell ref="B66:K66"/>
    <mergeCell ref="B67:K67"/>
    <mergeCell ref="B69:K69"/>
    <mergeCell ref="B71:K71"/>
    <mergeCell ref="B73:D73"/>
    <mergeCell ref="E73:K73"/>
    <mergeCell ref="B74:D74"/>
    <mergeCell ref="E74:K74"/>
    <mergeCell ref="B75:D75"/>
    <mergeCell ref="E75:K75"/>
    <mergeCell ref="B76:D76"/>
    <mergeCell ref="E76:K76"/>
    <mergeCell ref="B77:D77"/>
    <mergeCell ref="E77:K77"/>
    <mergeCell ref="B79:K79"/>
    <mergeCell ref="B81:D81"/>
    <mergeCell ref="E81:K81"/>
    <mergeCell ref="B82:D82"/>
    <mergeCell ref="E82:K82"/>
    <mergeCell ref="B83:D83"/>
    <mergeCell ref="E83:K83"/>
    <mergeCell ref="B84:D84"/>
    <mergeCell ref="E84:K84"/>
    <mergeCell ref="B86:K86"/>
    <mergeCell ref="B88:D88"/>
    <mergeCell ref="E88:K88"/>
    <mergeCell ref="B89:D89"/>
    <mergeCell ref="E89:K89"/>
    <mergeCell ref="B90:D90"/>
    <mergeCell ref="E90:K90"/>
    <mergeCell ref="B91:D91"/>
    <mergeCell ref="E91:K91"/>
    <mergeCell ref="B93:K93"/>
    <mergeCell ref="B95:K95"/>
    <mergeCell ref="B96:K96"/>
    <mergeCell ref="B97:K97"/>
    <mergeCell ref="B98:K98"/>
    <mergeCell ref="B100:K100"/>
    <mergeCell ref="B102:K102"/>
    <mergeCell ref="B104:K104"/>
    <mergeCell ref="B105:K105"/>
    <mergeCell ref="B106:K106"/>
    <mergeCell ref="B107:K107"/>
    <mergeCell ref="B108:K108"/>
    <mergeCell ref="B122:K122"/>
    <mergeCell ref="B124:K124"/>
    <mergeCell ref="B125:K125"/>
    <mergeCell ref="B128:K128"/>
    <mergeCell ref="B130:D130"/>
    <mergeCell ref="E130:F130"/>
    <mergeCell ref="G130:H130"/>
    <mergeCell ref="I130:K130"/>
    <mergeCell ref="B109:K109"/>
    <mergeCell ref="B110:K110"/>
    <mergeCell ref="B111:K111"/>
    <mergeCell ref="B113:K113"/>
    <mergeCell ref="B115:K115"/>
    <mergeCell ref="B116:K116"/>
    <mergeCell ref="B118:K118"/>
    <mergeCell ref="B119:K119"/>
    <mergeCell ref="B121:K121"/>
  </mergeCells>
  <hyperlinks>
    <hyperlink ref="B130" location="'Summary'!A1" display="→  Summary" xr:uid="{00000000-0004-0000-0000-000000000000}"/>
    <hyperlink ref="E130" location="'Daily Log'!A1" display="→  Daily Log" xr:uid="{00000000-0004-0000-0000-000001000000}"/>
    <hyperlink ref="G130" location="'Raw daily data'!A1" display="→  Raw Data" xr:uid="{00000000-0004-0000-0000-000002000000}"/>
    <hyperlink ref="I130" location="'Advanced Setup Planner'!A1" display="→  Setup Planner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5C"/>
  </sheetPr>
  <dimension ref="A1:Z25"/>
  <sheetViews>
    <sheetView showGridLines="0" tabSelected="1" zoomScale="90" zoomScaleNormal="90" workbookViewId="0">
      <pane activePane="bottomRight" state="frozen"/>
      <selection activeCell="I14" sqref="I14"/>
    </sheetView>
  </sheetViews>
  <sheetFormatPr defaultColWidth="90.54296875" defaultRowHeight="14.5"/>
  <cols>
    <col min="1" max="1" width="32" style="55" customWidth="1"/>
    <col min="2" max="2" width="24.453125" style="55" customWidth="1"/>
    <col min="3" max="3" width="12.1796875" customWidth="1"/>
    <col min="4" max="4" width="10.54296875" customWidth="1"/>
    <col min="5" max="5" width="14.6328125" customWidth="1"/>
    <col min="6" max="6" width="14.08984375" customWidth="1"/>
    <col min="7" max="7" width="14" customWidth="1"/>
    <col min="8" max="8" width="17.7265625" customWidth="1"/>
    <col min="9" max="9" width="15.1796875" customWidth="1"/>
    <col min="10" max="10" width="16" customWidth="1"/>
    <col min="11" max="11" width="12.7265625" customWidth="1"/>
    <col min="12" max="12" width="17.7265625" customWidth="1"/>
    <col min="13" max="13" width="90.54296875" customWidth="1"/>
    <col min="27" max="16384" width="90.54296875" style="55"/>
  </cols>
  <sheetData>
    <row r="1" spans="1:6" ht="36" customHeight="1">
      <c r="A1" s="180" t="s">
        <v>127</v>
      </c>
      <c r="B1" s="181" t="s">
        <v>128</v>
      </c>
    </row>
    <row r="2" spans="1:6">
      <c r="A2" s="182" t="s">
        <v>129</v>
      </c>
      <c r="B2" s="183">
        <v>2000</v>
      </c>
    </row>
    <row r="3" spans="1:6">
      <c r="A3" s="182" t="s">
        <v>130</v>
      </c>
      <c r="B3" s="184">
        <v>20</v>
      </c>
    </row>
    <row r="4" spans="1:6">
      <c r="A4" s="182" t="s">
        <v>131</v>
      </c>
      <c r="B4" s="185">
        <f>IFERROR(B2/B3,"")</f>
        <v>100</v>
      </c>
    </row>
    <row r="5" spans="1:6">
      <c r="A5" s="182" t="s">
        <v>132</v>
      </c>
      <c r="B5" s="184">
        <v>4</v>
      </c>
    </row>
    <row r="6" spans="1:6">
      <c r="A6" s="182" t="s">
        <v>133</v>
      </c>
      <c r="B6" s="185">
        <f>IFERROR(B2/B5,"")</f>
        <v>500</v>
      </c>
    </row>
    <row r="7" spans="1:6">
      <c r="A7" s="182" t="s">
        <v>134</v>
      </c>
      <c r="B7" s="186">
        <f>IFERROR(B6/B17,"")</f>
        <v>9.5238095238095233E-2</v>
      </c>
    </row>
    <row r="8" spans="1:6">
      <c r="A8" s="182" t="s">
        <v>135</v>
      </c>
      <c r="B8" s="187">
        <v>0.05</v>
      </c>
    </row>
    <row r="9" spans="1:6">
      <c r="A9" s="182" t="s">
        <v>136</v>
      </c>
      <c r="B9" s="188">
        <v>2</v>
      </c>
    </row>
    <row r="10" spans="1:6">
      <c r="A10" s="189" t="s">
        <v>137</v>
      </c>
      <c r="B10" s="183">
        <v>10000</v>
      </c>
      <c r="E10" s="190" t="s">
        <v>138</v>
      </c>
      <c r="F10" s="191">
        <f>B10+B11</f>
        <v>11050</v>
      </c>
    </row>
    <row r="11" spans="1:6">
      <c r="A11" s="182" t="s">
        <v>139</v>
      </c>
      <c r="B11" s="192">
        <f>SUM('Daily Log'!$H$2:$H$100)</f>
        <v>1050</v>
      </c>
    </row>
    <row r="12" spans="1:6">
      <c r="A12" s="182" t="s">
        <v>140</v>
      </c>
      <c r="B12" s="193">
        <f>IFERROR(IF(B11="",B2,B2-B11),"")</f>
        <v>950</v>
      </c>
    </row>
    <row r="13" spans="1:6">
      <c r="A13" s="182" t="s">
        <v>141</v>
      </c>
      <c r="B13" s="176">
        <f>COUNTIFS('Daily Log'!D:D,"Y")</f>
        <v>4</v>
      </c>
    </row>
    <row r="14" spans="1:6">
      <c r="A14" s="182" t="s">
        <v>142</v>
      </c>
      <c r="B14" s="176">
        <f>B3-B13</f>
        <v>16</v>
      </c>
    </row>
    <row r="15" spans="1:6">
      <c r="A15" s="182" t="s">
        <v>143</v>
      </c>
      <c r="B15" s="177">
        <f>IFERROR(IF(B14&gt;0,B12/B14,""),"")</f>
        <v>59.375</v>
      </c>
    </row>
    <row r="16" spans="1:6">
      <c r="A16" s="182" t="s">
        <v>144</v>
      </c>
      <c r="B16" s="179">
        <f>IFERROR(IF(B8&gt;0,B15/(B10*B8),""),"")</f>
        <v>0.11874999999999999</v>
      </c>
    </row>
    <row r="17" spans="1:11">
      <c r="A17" s="182" t="s">
        <v>145</v>
      </c>
      <c r="B17" s="194">
        <f>IFERROR(IF(B11="","",B11/MAX(1,B13)*B3),"")</f>
        <v>5250</v>
      </c>
    </row>
    <row r="18" spans="1:11">
      <c r="A18" s="182" t="s">
        <v>146</v>
      </c>
      <c r="B18" s="194" t="str">
        <f>IFERROR(IF(K22&gt;0,B11/K22,""),"")</f>
        <v/>
      </c>
    </row>
    <row r="19" spans="1:11">
      <c r="A19" s="182" t="s">
        <v>147</v>
      </c>
      <c r="B19" s="185">
        <f ca="1">'Advanced Setup Planner'!EE18</f>
        <v>3796457.0822280729</v>
      </c>
    </row>
    <row r="21" spans="1:11" ht="24" customHeight="1">
      <c r="A21" s="195" t="s">
        <v>148</v>
      </c>
      <c r="B21" s="195" t="s">
        <v>149</v>
      </c>
      <c r="C21" s="196" t="s">
        <v>150</v>
      </c>
      <c r="D21" s="196" t="s">
        <v>151</v>
      </c>
      <c r="E21" s="196" t="s">
        <v>152</v>
      </c>
      <c r="F21" s="196" t="s">
        <v>153</v>
      </c>
      <c r="G21" s="196" t="s">
        <v>154</v>
      </c>
      <c r="H21" s="196" t="s">
        <v>155</v>
      </c>
      <c r="I21" s="196" t="s">
        <v>156</v>
      </c>
      <c r="J21" s="196" t="s">
        <v>157</v>
      </c>
      <c r="K21" s="196" t="s">
        <v>158</v>
      </c>
    </row>
    <row r="22" spans="1:11">
      <c r="A22" s="197">
        <v>1</v>
      </c>
      <c r="B22" s="197">
        <f>COUNTIFS('Daily Log'!$B:$B,$A22,'Daily Log'!$D:$D,"Y")</f>
        <v>1</v>
      </c>
      <c r="C22" s="198">
        <f>SUMIFS('Daily Log'!N:N,'Daily Log'!B:B,$A22)</f>
        <v>1</v>
      </c>
      <c r="D22" s="198">
        <f>SUMIFS('Daily Log'!O:O,'Daily Log'!B:B,$A22)</f>
        <v>1</v>
      </c>
      <c r="E22" s="198">
        <f>SUMIFS('Daily Log'!P:P,'Daily Log'!B:B,$A22)</f>
        <v>0</v>
      </c>
      <c r="F22" s="216">
        <f>SUMIFS('Daily Log'!H:H,'Daily Log'!B:B,$A22)</f>
        <v>250</v>
      </c>
      <c r="G22" s="217">
        <f>$B$6</f>
        <v>500</v>
      </c>
      <c r="H22" s="216">
        <f>F22-G22</f>
        <v>-250</v>
      </c>
      <c r="I22" s="199">
        <f>IFERROR(D22/C22,0)</f>
        <v>1</v>
      </c>
      <c r="J22" s="200">
        <f>IFERROR(SUMIFS('Daily Log'!T:T,'Daily Log'!B:B,$A22)/B22,0)</f>
        <v>0</v>
      </c>
      <c r="K22" s="200" t="e">
        <f>SUMIFS('Daily Log'!U:U,'Daily Log'!B:B,$A22)</f>
        <v>#VALUE!</v>
      </c>
    </row>
    <row r="23" spans="1:11">
      <c r="A23" s="201">
        <v>2</v>
      </c>
      <c r="B23" s="201">
        <f>COUNTIFS('Daily Log'!$B:$B,$A23,'Daily Log'!$D:$D,"Y")</f>
        <v>1</v>
      </c>
      <c r="C23" s="198">
        <f>SUMIFS('Daily Log'!N:N,'Daily Log'!B:B,$A23)</f>
        <v>2</v>
      </c>
      <c r="D23" s="198">
        <f>SUMIFS('Daily Log'!O:O,'Daily Log'!B:B,$A23)</f>
        <v>0</v>
      </c>
      <c r="E23" s="198">
        <f>SUMIFS('Daily Log'!P:P,'Daily Log'!B:B,$A23)</f>
        <v>2</v>
      </c>
      <c r="F23" s="216">
        <f>SUMIFS('Daily Log'!H:H,'Daily Log'!B:B,$A23)</f>
        <v>-200</v>
      </c>
      <c r="G23" s="217">
        <f>$B$6</f>
        <v>500</v>
      </c>
      <c r="H23" s="216">
        <f>F23-G23</f>
        <v>-700</v>
      </c>
      <c r="I23" s="199">
        <f>IFERROR(D23/C23,0)</f>
        <v>0</v>
      </c>
      <c r="J23" s="200">
        <f>IFERROR(SUMIFS('Daily Log'!T:T,'Daily Log'!B:B,$A23)/B23,0)</f>
        <v>0</v>
      </c>
      <c r="K23" s="200" t="e">
        <f>SUMIFS('Daily Log'!U:U,'Daily Log'!B:B,$A23)</f>
        <v>#VALUE!</v>
      </c>
    </row>
    <row r="24" spans="1:11">
      <c r="A24" s="197">
        <v>3</v>
      </c>
      <c r="B24" s="197">
        <f>COUNTIFS('Daily Log'!$B:$B,$A24,'Daily Log'!$D:$D,"Y")</f>
        <v>2</v>
      </c>
      <c r="C24" s="198">
        <f>SUMIFS('Daily Log'!N:N,'Daily Log'!B:B,$A24)</f>
        <v>2</v>
      </c>
      <c r="D24" s="198">
        <f>SUMIFS('Daily Log'!O:O,'Daily Log'!B:B,$A24)</f>
        <v>2</v>
      </c>
      <c r="E24" s="198">
        <f>SUMIFS('Daily Log'!P:P,'Daily Log'!B:B,$A24)</f>
        <v>0</v>
      </c>
      <c r="F24" s="216">
        <f>SUMIFS('Daily Log'!H:H,'Daily Log'!B:B,$A24)</f>
        <v>1000</v>
      </c>
      <c r="G24" s="217">
        <f>$B$6</f>
        <v>500</v>
      </c>
      <c r="H24" s="216">
        <f>F24-G24</f>
        <v>500</v>
      </c>
      <c r="I24" s="199">
        <f>IFERROR(D24/C24,0)</f>
        <v>1</v>
      </c>
      <c r="J24" s="200">
        <f>IFERROR(SUMIFS('Daily Log'!T:T,'Daily Log'!B:B,$A24)/B24,0)</f>
        <v>0</v>
      </c>
      <c r="K24" s="200" t="e">
        <f>SUMIFS('Daily Log'!U:U,'Daily Log'!B:B,$A24)</f>
        <v>#VALUE!</v>
      </c>
    </row>
    <row r="25" spans="1:11">
      <c r="A25" s="201">
        <v>4</v>
      </c>
      <c r="B25" s="201">
        <f>COUNTIFS('Daily Log'!$B:$B,$A25,'Daily Log'!$D:$D,"Y")</f>
        <v>0</v>
      </c>
      <c r="C25" s="198">
        <f>SUMIFS('Daily Log'!N:N,'Daily Log'!B:B,$A25)</f>
        <v>0</v>
      </c>
      <c r="D25" s="198">
        <f>SUMIFS('Daily Log'!O:O,'Daily Log'!B:B,$A25)</f>
        <v>0</v>
      </c>
      <c r="E25" s="198">
        <f>SUMIFS('Daily Log'!P:P,'Daily Log'!B:B,$A25)</f>
        <v>0</v>
      </c>
      <c r="F25" s="216">
        <f>SUMIFS('Daily Log'!H:H,'Daily Log'!B:B,$A25)</f>
        <v>0</v>
      </c>
      <c r="G25" s="217">
        <f>$B$6</f>
        <v>500</v>
      </c>
      <c r="H25" s="216">
        <f>F25-G25</f>
        <v>-500</v>
      </c>
      <c r="I25" s="199">
        <f>IFERROR(D25/C25,0)</f>
        <v>0</v>
      </c>
      <c r="J25" s="200">
        <f>IFERROR(SUMIFS('Daily Log'!T:T,'Daily Log'!B:B,$A25)/B25,0)</f>
        <v>0</v>
      </c>
      <c r="K25" s="200">
        <f>SUMIFS('Daily Log'!U:U,'Daily Log'!B:B,$A25)</f>
        <v>0</v>
      </c>
    </row>
  </sheetData>
  <sheetProtection algorithmName="SHA-512" hashValue="bVgE7YjDBh6QX6jpGeItYXfgHAQTETliU1Y2rzyGYkT9D2jcXxKQvddqPzR5PqIroRMdShL3zBg2p/KfUSX45A==" saltValue="ATwnaGjCnxLOipVvazyelQ==" spinCount="100000" sheet="1" scenarios="1" formatColumns="0" formatRows="0" autoFilter="0"/>
  <conditionalFormatting sqref="B11">
    <cfRule type="cellIs" dxfId="17" priority="5" operator="greaterThan">
      <formula>0</formula>
    </cfRule>
    <cfRule type="cellIs" dxfId="16" priority="6" operator="lessThan">
      <formula>0</formula>
    </cfRule>
  </conditionalFormatting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A1:Y159"/>
  <sheetViews>
    <sheetView showGridLines="0" zoomScale="80" zoomScaleNormal="80" workbookViewId="0">
      <pane activePane="bottomRight" state="frozen"/>
      <selection activeCell="H4" sqref="H4"/>
    </sheetView>
  </sheetViews>
  <sheetFormatPr defaultColWidth="9" defaultRowHeight="14.5"/>
  <cols>
    <col min="1" max="1" width="12.6328125" style="55" customWidth="1"/>
    <col min="2" max="2" width="13.81640625" style="55" customWidth="1"/>
    <col min="3" max="3" width="12.6328125" style="55" customWidth="1"/>
    <col min="4" max="4" width="8.6328125" style="55" customWidth="1"/>
    <col min="5" max="12" width="11.6328125" style="55" customWidth="1"/>
    <col min="13" max="13" width="25.6328125" style="55" customWidth="1"/>
    <col min="14" max="25" width="9.6328125" style="55" customWidth="1"/>
    <col min="26" max="26" width="9" style="55" customWidth="1"/>
    <col min="27" max="16384" width="9" style="55"/>
  </cols>
  <sheetData>
    <row r="1" spans="1:25" ht="24" customHeight="1">
      <c r="A1" s="173" t="s">
        <v>159</v>
      </c>
      <c r="B1" s="173" t="s">
        <v>148</v>
      </c>
      <c r="C1" s="173" t="s">
        <v>160</v>
      </c>
      <c r="D1" s="173" t="s">
        <v>161</v>
      </c>
      <c r="E1" s="173" t="s">
        <v>162</v>
      </c>
      <c r="F1" s="173" t="s">
        <v>163</v>
      </c>
      <c r="G1" s="173" t="s">
        <v>164</v>
      </c>
      <c r="H1" s="173" t="s">
        <v>165</v>
      </c>
      <c r="I1" s="173" t="s">
        <v>139</v>
      </c>
      <c r="J1" s="173" t="s">
        <v>166</v>
      </c>
      <c r="K1" s="173" t="s">
        <v>167</v>
      </c>
      <c r="L1" s="173" t="s">
        <v>168</v>
      </c>
      <c r="M1" s="173" t="s">
        <v>169</v>
      </c>
      <c r="N1" s="174" t="s">
        <v>170</v>
      </c>
      <c r="O1" s="174" t="s">
        <v>171</v>
      </c>
      <c r="P1" s="174" t="s">
        <v>172</v>
      </c>
      <c r="Q1" s="174" t="s">
        <v>173</v>
      </c>
      <c r="R1" s="174" t="s">
        <v>174</v>
      </c>
      <c r="S1" s="174" t="s">
        <v>175</v>
      </c>
      <c r="T1" s="174" t="s">
        <v>176</v>
      </c>
      <c r="U1" s="174" t="s">
        <v>177</v>
      </c>
      <c r="V1" s="174" t="s">
        <v>178</v>
      </c>
      <c r="W1" s="174" t="s">
        <v>179</v>
      </c>
      <c r="X1" s="174" t="s">
        <v>180</v>
      </c>
      <c r="Y1" s="174" t="s">
        <v>181</v>
      </c>
    </row>
    <row r="2" spans="1:25">
      <c r="A2" s="214">
        <v>46143</v>
      </c>
      <c r="B2" s="205">
        <v>1</v>
      </c>
      <c r="C2" s="206" t="str">
        <f t="shared" ref="C2:C65" si="0">IF($A2="","",TEXT($A2,"dddd"))</f>
        <v>Friday</v>
      </c>
      <c r="D2" s="205" t="s">
        <v>182</v>
      </c>
      <c r="E2" s="207" t="e">
        <f t="shared" ref="E2:E65" si="1">IF($A2="","", E1+H1)</f>
        <v>#VALUE!</v>
      </c>
      <c r="F2" s="208" t="e">
        <f>IF($A2="","",$E2*Summary!$B$8)</f>
        <v>#VALUE!</v>
      </c>
      <c r="G2" s="208" t="e">
        <f>IF($A2="","",F2*Summary!$B$9)</f>
        <v>#VALUE!</v>
      </c>
      <c r="H2" s="207">
        <f>IF($A2="","",SUMIFS('Raw daily data'!$F:$F,'Raw daily data'!$I:$I,$A2))</f>
        <v>250</v>
      </c>
      <c r="I2" s="207" t="e">
        <f t="shared" ref="I2:I65" si="2">IF($A2="","", I1+H2)</f>
        <v>#VALUE!</v>
      </c>
      <c r="J2" s="209">
        <f t="shared" ref="J2:J33" si="3">IF($A2="","",SUMIF($B$2:$B$100,B2,$H$2:$H$100))</f>
        <v>250</v>
      </c>
      <c r="K2" s="207">
        <f>IF($A2="","",Summary!$B$6)</f>
        <v>500</v>
      </c>
      <c r="L2" s="207">
        <f t="shared" ref="L2" si="4">IF($A2="","",IFERROR(J2-K2,""))</f>
        <v>-250</v>
      </c>
      <c r="M2" s="205"/>
      <c r="N2" s="206">
        <f>IF($A2="","",COUNTIFS('Raw daily data'!$I:$I,$A2))</f>
        <v>1</v>
      </c>
      <c r="O2" s="206">
        <f>IF($A2="","",COUNTIFS('Raw daily data'!$I:$I,$A2,'Raw daily data'!$F:$F,"&gt;0"))</f>
        <v>1</v>
      </c>
      <c r="P2" s="206">
        <f>IF($A2="","",COUNTIFS('Raw daily data'!$I:$I,$A2,'Raw daily data'!$F:$F,"&lt;0"))</f>
        <v>0</v>
      </c>
      <c r="Q2" s="208">
        <f>IF($A2="","",SUMIFS('Raw daily data'!$F:$F,'Raw daily data'!$I:$I,$A2,'Raw daily data'!$F:$F,"&gt;0"))</f>
        <v>250</v>
      </c>
      <c r="R2" s="208">
        <f>IF($A2="","",ABS(SUMIFS('Raw daily data'!$F:$F,'Raw daily data'!$I:$I,$A2,'Raw daily data'!$F:$F,"&lt;0")))</f>
        <v>0</v>
      </c>
      <c r="S2" s="210">
        <f t="shared" ref="S2" si="5">IF($A2="","",IF(N2&gt;0,O2/N2,""))</f>
        <v>1</v>
      </c>
      <c r="T2" s="211" t="str">
        <f t="shared" ref="T2" si="6">IF($A2="","",IF(R2&gt;0,Q2/ABS(R2),""))</f>
        <v/>
      </c>
      <c r="U2" s="212" t="e">
        <f t="shared" ref="U2" si="7">IF($A2="","",IF(F2&gt;0,H2/F2,""))</f>
        <v>#VALUE!</v>
      </c>
      <c r="V2" s="210">
        <f t="shared" ref="V2" si="8">IF($A2="","",IFERROR(IF(H2&lt;0,MIN(ABS(H2)/G2,1),0),""))</f>
        <v>0</v>
      </c>
      <c r="W2" s="208">
        <f>IF($A2="","",_xlfn.MAXIFS('Raw daily data'!$J:$J,'Raw daily data'!$I:$I,$A2))</f>
        <v>250</v>
      </c>
      <c r="X2" s="178">
        <f t="shared" ref="X2:X41" si="9">IF($A2="","",IFERROR(IF(W2&gt;=0,0,ABS(W2)/G2),""))</f>
        <v>0</v>
      </c>
      <c r="Y2" s="178" t="str">
        <f>IF($A2="","",IFERROR(ABS(MIN(0,_xlfn.MINIFS('Raw daily data'!$J:$J,'Raw daily data'!$I:$I,$A2)))/G2,""))</f>
        <v/>
      </c>
    </row>
    <row r="3" spans="1:25">
      <c r="A3" s="215">
        <v>46151</v>
      </c>
      <c r="B3" s="205">
        <v>2</v>
      </c>
      <c r="C3" s="206" t="str">
        <f t="shared" si="0"/>
        <v>Saturday</v>
      </c>
      <c r="D3" s="205" t="s">
        <v>182</v>
      </c>
      <c r="E3" s="207" t="e">
        <f t="shared" si="1"/>
        <v>#VALUE!</v>
      </c>
      <c r="F3" s="208" t="e">
        <f>IF($A3="","",$E3*Summary!$B$8)</f>
        <v>#VALUE!</v>
      </c>
      <c r="G3" s="208" t="e">
        <f>IF($A3="","",F3*Summary!$B$9)</f>
        <v>#VALUE!</v>
      </c>
      <c r="H3" s="207">
        <f>IF($A3="","",SUMIFS('Raw daily data'!$F:$F,'Raw daily data'!$I:$I,$A3))</f>
        <v>-200</v>
      </c>
      <c r="I3" s="207" t="e">
        <f t="shared" si="2"/>
        <v>#VALUE!</v>
      </c>
      <c r="J3" s="209">
        <f t="shared" si="3"/>
        <v>-200</v>
      </c>
      <c r="K3" s="207">
        <f>IF($A3="","",Summary!$B$6)</f>
        <v>500</v>
      </c>
      <c r="L3" s="207">
        <f t="shared" ref="L3:L66" si="10">IF($A3="","",IFERROR(J3-K3,""))</f>
        <v>-700</v>
      </c>
      <c r="M3" s="205"/>
      <c r="N3" s="206">
        <f>IF($A3="","",COUNTIFS('Raw daily data'!$I:$I,$A3))</f>
        <v>2</v>
      </c>
      <c r="O3" s="206">
        <f>IF($A3="","",COUNTIFS('Raw daily data'!$I:$I,$A3,'Raw daily data'!$F:$F,"&gt;0"))</f>
        <v>0</v>
      </c>
      <c r="P3" s="206">
        <f>IF($A3="","",COUNTIFS('Raw daily data'!$I:$I,$A3,'Raw daily data'!$F:$F,"&lt;0"))</f>
        <v>2</v>
      </c>
      <c r="Q3" s="208">
        <f>IF($A3="","",SUMIFS('Raw daily data'!$F:$F,'Raw daily data'!$I:$I,$A3,'Raw daily data'!$F:$F,"&gt;0"))</f>
        <v>0</v>
      </c>
      <c r="R3" s="208">
        <f>IF($A3="","",ABS(SUMIFS('Raw daily data'!$F:$F,'Raw daily data'!$I:$I,$A3,'Raw daily data'!$F:$F,"&lt;0")))</f>
        <v>200</v>
      </c>
      <c r="S3" s="210">
        <f t="shared" ref="S3:S66" si="11">IF($A3="","",IF(N3&gt;0,O3/N3,""))</f>
        <v>0</v>
      </c>
      <c r="T3" s="211">
        <f t="shared" ref="T3:T66" si="12">IF($A3="","",IF(R3&gt;0,Q3/ABS(R3),""))</f>
        <v>0</v>
      </c>
      <c r="U3" s="212" t="e">
        <f t="shared" ref="U3:U66" si="13">IF($A3="","",IF(F3&gt;0,H3/F3,""))</f>
        <v>#VALUE!</v>
      </c>
      <c r="V3" s="210" t="str">
        <f t="shared" ref="V3:V66" si="14">IF($A3="","",IFERROR(IF(H3&lt;0,MIN(ABS(H3)/G3,1),0),""))</f>
        <v/>
      </c>
      <c r="W3" s="208">
        <f>IF($A3="","",_xlfn.MAXIFS('Raw daily data'!$J:$J,'Raw daily data'!$I:$I,$A3))</f>
        <v>-100</v>
      </c>
      <c r="X3" s="178" t="str">
        <f t="shared" si="9"/>
        <v/>
      </c>
      <c r="Y3" s="178" t="str">
        <f>IF($A3="","",IFERROR(ABS(MIN(0,_xlfn.MINIFS('Raw daily data'!$J:$J,'Raw daily data'!$I:$I,$A3)))/G3,""))</f>
        <v/>
      </c>
    </row>
    <row r="4" spans="1:25">
      <c r="A4" s="215">
        <v>46159</v>
      </c>
      <c r="B4" s="205">
        <v>3</v>
      </c>
      <c r="C4" s="206" t="str">
        <f t="shared" si="0"/>
        <v>Sunday</v>
      </c>
      <c r="D4" s="205" t="s">
        <v>182</v>
      </c>
      <c r="E4" s="207" t="e">
        <f t="shared" si="1"/>
        <v>#VALUE!</v>
      </c>
      <c r="F4" s="208" t="e">
        <f>IF($A4="","",$E4*Summary!$B$8)</f>
        <v>#VALUE!</v>
      </c>
      <c r="G4" s="208" t="e">
        <f>IF($A4="","",F4*Summary!$B$9)</f>
        <v>#VALUE!</v>
      </c>
      <c r="H4" s="207">
        <f>IF($A4="","",SUMIFS('Raw daily data'!$F:$F,'Raw daily data'!$I:$I,$A4))</f>
        <v>800</v>
      </c>
      <c r="I4" s="207" t="e">
        <f t="shared" si="2"/>
        <v>#VALUE!</v>
      </c>
      <c r="J4" s="209">
        <f t="shared" si="3"/>
        <v>1000</v>
      </c>
      <c r="K4" s="207">
        <f>IF($A4="","",Summary!$B$6)</f>
        <v>500</v>
      </c>
      <c r="L4" s="207">
        <f t="shared" si="10"/>
        <v>500</v>
      </c>
      <c r="M4" s="205"/>
      <c r="N4" s="206">
        <f>IF($A4="","",COUNTIFS('Raw daily data'!$I:$I,$A4))</f>
        <v>1</v>
      </c>
      <c r="O4" s="206">
        <f>IF($A4="","",COUNTIFS('Raw daily data'!$I:$I,$A4,'Raw daily data'!$F:$F,"&gt;0"))</f>
        <v>1</v>
      </c>
      <c r="P4" s="206">
        <f>IF($A4="","",COUNTIFS('Raw daily data'!$I:$I,$A4,'Raw daily data'!$F:$F,"&lt;0"))</f>
        <v>0</v>
      </c>
      <c r="Q4" s="208">
        <f>IF($A4="","",SUMIFS('Raw daily data'!$F:$F,'Raw daily data'!$I:$I,$A4,'Raw daily data'!$F:$F,"&gt;0"))</f>
        <v>800</v>
      </c>
      <c r="R4" s="208">
        <f>IF($A4="","",ABS(SUMIFS('Raw daily data'!$F:$F,'Raw daily data'!$I:$I,$A4,'Raw daily data'!$F:$F,"&lt;0")))</f>
        <v>0</v>
      </c>
      <c r="S4" s="210">
        <f t="shared" si="11"/>
        <v>1</v>
      </c>
      <c r="T4" s="211" t="str">
        <f t="shared" si="12"/>
        <v/>
      </c>
      <c r="U4" s="212" t="e">
        <f t="shared" si="13"/>
        <v>#VALUE!</v>
      </c>
      <c r="V4" s="210">
        <f t="shared" si="14"/>
        <v>0</v>
      </c>
      <c r="W4" s="208">
        <f>IF($A4="","",_xlfn.MAXIFS('Raw daily data'!$J:$J,'Raw daily data'!$I:$I,$A4))</f>
        <v>800</v>
      </c>
      <c r="X4" s="178">
        <f t="shared" si="9"/>
        <v>0</v>
      </c>
      <c r="Y4" s="178" t="str">
        <f>IF($A4="","",IFERROR(ABS(MIN(0,_xlfn.MINIFS('Raw daily data'!$J:$J,'Raw daily data'!$I:$I,$A4)))/G4,""))</f>
        <v/>
      </c>
    </row>
    <row r="5" spans="1:25">
      <c r="A5" s="215">
        <v>46160</v>
      </c>
      <c r="B5" s="205">
        <v>3</v>
      </c>
      <c r="C5" s="206" t="str">
        <f t="shared" si="0"/>
        <v>Monday</v>
      </c>
      <c r="D5" s="205" t="s">
        <v>182</v>
      </c>
      <c r="E5" s="207" t="e">
        <f t="shared" si="1"/>
        <v>#VALUE!</v>
      </c>
      <c r="F5" s="208" t="e">
        <f>IF($A5="","",$E5*Summary!$B$8)</f>
        <v>#VALUE!</v>
      </c>
      <c r="G5" s="208" t="e">
        <f>IF($A5="","",F5*Summary!$B$9)</f>
        <v>#VALUE!</v>
      </c>
      <c r="H5" s="207">
        <f>IF($A5="","",SUMIFS('Raw daily data'!$F:$F,'Raw daily data'!$I:$I,$A5))</f>
        <v>200</v>
      </c>
      <c r="I5" s="207" t="e">
        <f t="shared" si="2"/>
        <v>#VALUE!</v>
      </c>
      <c r="J5" s="209">
        <f t="shared" si="3"/>
        <v>1000</v>
      </c>
      <c r="K5" s="207">
        <f>IF($A5="","",Summary!$B$6)</f>
        <v>500</v>
      </c>
      <c r="L5" s="207">
        <f t="shared" si="10"/>
        <v>500</v>
      </c>
      <c r="M5" s="205"/>
      <c r="N5" s="206">
        <f>IF($A5="","",COUNTIFS('Raw daily data'!$I:$I,$A5))</f>
        <v>1</v>
      </c>
      <c r="O5" s="206">
        <f>IF($A5="","",COUNTIFS('Raw daily data'!$I:$I,$A5,'Raw daily data'!$F:$F,"&gt;0"))</f>
        <v>1</v>
      </c>
      <c r="P5" s="206">
        <f>IF($A5="","",COUNTIFS('Raw daily data'!$I:$I,$A5,'Raw daily data'!$F:$F,"&lt;0"))</f>
        <v>0</v>
      </c>
      <c r="Q5" s="208">
        <f>IF($A5="","",SUMIFS('Raw daily data'!$F:$F,'Raw daily data'!$I:$I,$A5,'Raw daily data'!$F:$F,"&gt;0"))</f>
        <v>200</v>
      </c>
      <c r="R5" s="208">
        <f>IF($A5="","",ABS(SUMIFS('Raw daily data'!$F:$F,'Raw daily data'!$I:$I,$A5,'Raw daily data'!$F:$F,"&lt;0")))</f>
        <v>0</v>
      </c>
      <c r="S5" s="210">
        <f t="shared" si="11"/>
        <v>1</v>
      </c>
      <c r="T5" s="211" t="str">
        <f t="shared" si="12"/>
        <v/>
      </c>
      <c r="U5" s="212" t="e">
        <f t="shared" si="13"/>
        <v>#VALUE!</v>
      </c>
      <c r="V5" s="210">
        <f t="shared" si="14"/>
        <v>0</v>
      </c>
      <c r="W5" s="208">
        <f>IF($A5="","",_xlfn.MAXIFS('Raw daily data'!$J:$J,'Raw daily data'!$I:$I,$A5))</f>
        <v>200</v>
      </c>
      <c r="X5" s="178">
        <f t="shared" si="9"/>
        <v>0</v>
      </c>
      <c r="Y5" s="178" t="str">
        <f>IF($A5="","",IFERROR(ABS(MIN(0,_xlfn.MINIFS('Raw daily data'!$J:$J,'Raw daily data'!$I:$I,$A5)))/G5,""))</f>
        <v/>
      </c>
    </row>
    <row r="6" spans="1:25">
      <c r="A6" s="214"/>
      <c r="B6" s="205"/>
      <c r="C6" s="206" t="str">
        <f t="shared" si="0"/>
        <v/>
      </c>
      <c r="D6" s="205"/>
      <c r="E6" s="207" t="str">
        <f t="shared" si="1"/>
        <v/>
      </c>
      <c r="F6" s="208" t="str">
        <f>IF($A6="","",$E6*Summary!$B$8)</f>
        <v/>
      </c>
      <c r="G6" s="208" t="str">
        <f>IF($A6="","",F6*Summary!$B$9)</f>
        <v/>
      </c>
      <c r="H6" s="207" t="str">
        <f>IF($A6="","",SUMIFS('Raw daily data'!$F:$F,'Raw daily data'!$I:$I,$A6))</f>
        <v/>
      </c>
      <c r="I6" s="207" t="str">
        <f t="shared" si="2"/>
        <v/>
      </c>
      <c r="J6" s="209" t="str">
        <f t="shared" si="3"/>
        <v/>
      </c>
      <c r="K6" s="207" t="str">
        <f>IF($A6="","",Summary!$B$6)</f>
        <v/>
      </c>
      <c r="L6" s="207" t="str">
        <f t="shared" si="10"/>
        <v/>
      </c>
      <c r="M6" s="205"/>
      <c r="N6" s="206" t="str">
        <f>IF($A6="","",COUNTIFS('Raw daily data'!$I:$I,$A6))</f>
        <v/>
      </c>
      <c r="O6" s="206" t="str">
        <f>IF($A6="","",COUNTIFS('Raw daily data'!$I:$I,$A6,'Raw daily data'!$F:$F,"&gt;0"))</f>
        <v/>
      </c>
      <c r="P6" s="206" t="str">
        <f>IF($A6="","",COUNTIFS('Raw daily data'!$I:$I,$A6,'Raw daily data'!$F:$F,"&lt;0"))</f>
        <v/>
      </c>
      <c r="Q6" s="208" t="str">
        <f>IF($A6="","",SUMIFS('Raw daily data'!$F:$F,'Raw daily data'!$I:$I,$A6,'Raw daily data'!$F:$F,"&gt;0"))</f>
        <v/>
      </c>
      <c r="R6" s="208" t="str">
        <f>IF($A6="","",ABS(SUMIFS('Raw daily data'!$F:$F,'Raw daily data'!$I:$I,$A6,'Raw daily data'!$F:$F,"&lt;0")))</f>
        <v/>
      </c>
      <c r="S6" s="210" t="str">
        <f t="shared" si="11"/>
        <v/>
      </c>
      <c r="T6" s="211" t="str">
        <f t="shared" si="12"/>
        <v/>
      </c>
      <c r="U6" s="212" t="str">
        <f t="shared" si="13"/>
        <v/>
      </c>
      <c r="V6" s="210" t="str">
        <f t="shared" si="14"/>
        <v/>
      </c>
      <c r="W6" s="208" t="str">
        <f>IF($A6="","",_xlfn.MAXIFS('Raw daily data'!$J:$J,'Raw daily data'!$I:$I,$A6))</f>
        <v/>
      </c>
      <c r="X6" s="178" t="str">
        <f t="shared" si="9"/>
        <v/>
      </c>
      <c r="Y6" s="178" t="str">
        <f>IF($A6="","",IFERROR(ABS(MIN(0,_xlfn.MINIFS('Raw daily data'!$J:$J,'Raw daily data'!$I:$I,$A6)))/G6,""))</f>
        <v/>
      </c>
    </row>
    <row r="7" spans="1:25">
      <c r="A7" s="214"/>
      <c r="B7" s="205"/>
      <c r="C7" s="206" t="str">
        <f t="shared" si="0"/>
        <v/>
      </c>
      <c r="D7" s="205"/>
      <c r="E7" s="207" t="str">
        <f t="shared" si="1"/>
        <v/>
      </c>
      <c r="F7" s="208" t="str">
        <f>IF($A7="","",$E7*Summary!$B$8)</f>
        <v/>
      </c>
      <c r="G7" s="208" t="str">
        <f>IF($A7="","",F7*Summary!$B$9)</f>
        <v/>
      </c>
      <c r="H7" s="207" t="str">
        <f>IF($A7="","",SUMIFS('Raw daily data'!$F:$F,'Raw daily data'!$I:$I,$A7))</f>
        <v/>
      </c>
      <c r="I7" s="207" t="str">
        <f t="shared" si="2"/>
        <v/>
      </c>
      <c r="J7" s="209" t="str">
        <f t="shared" si="3"/>
        <v/>
      </c>
      <c r="K7" s="207" t="str">
        <f>IF($A7="","",Summary!$B$6)</f>
        <v/>
      </c>
      <c r="L7" s="207" t="str">
        <f t="shared" si="10"/>
        <v/>
      </c>
      <c r="M7" s="205"/>
      <c r="N7" s="206" t="str">
        <f>IF($A7="","",COUNTIFS('Raw daily data'!$I:$I,$A7))</f>
        <v/>
      </c>
      <c r="O7" s="206" t="str">
        <f>IF($A7="","",COUNTIFS('Raw daily data'!$I:$I,$A7,'Raw daily data'!$F:$F,"&gt;0"))</f>
        <v/>
      </c>
      <c r="P7" s="206" t="str">
        <f>IF($A7="","",COUNTIFS('Raw daily data'!$I:$I,$A7,'Raw daily data'!$F:$F,"&lt;0"))</f>
        <v/>
      </c>
      <c r="Q7" s="208" t="str">
        <f>IF($A7="","",SUMIFS('Raw daily data'!$F:$F,'Raw daily data'!$I:$I,$A7,'Raw daily data'!$F:$F,"&gt;0"))</f>
        <v/>
      </c>
      <c r="R7" s="208" t="str">
        <f>IF($A7="","",ABS(SUMIFS('Raw daily data'!$F:$F,'Raw daily data'!$I:$I,$A7,'Raw daily data'!$F:$F,"&lt;0")))</f>
        <v/>
      </c>
      <c r="S7" s="210" t="str">
        <f t="shared" si="11"/>
        <v/>
      </c>
      <c r="T7" s="211" t="str">
        <f t="shared" si="12"/>
        <v/>
      </c>
      <c r="U7" s="212" t="str">
        <f t="shared" si="13"/>
        <v/>
      </c>
      <c r="V7" s="210" t="str">
        <f t="shared" si="14"/>
        <v/>
      </c>
      <c r="W7" s="208" t="str">
        <f>IF($A7="","",_xlfn.MAXIFS('Raw daily data'!$J:$J,'Raw daily data'!$I:$I,$A7))</f>
        <v/>
      </c>
      <c r="X7" s="178" t="str">
        <f t="shared" si="9"/>
        <v/>
      </c>
      <c r="Y7" s="178" t="str">
        <f>IF($A7="","",IFERROR(ABS(MIN(0,_xlfn.MINIFS('Raw daily data'!$J:$J,'Raw daily data'!$I:$I,$A7)))/G7,""))</f>
        <v/>
      </c>
    </row>
    <row r="8" spans="1:25">
      <c r="A8" s="214"/>
      <c r="B8" s="205"/>
      <c r="C8" s="206" t="str">
        <f t="shared" si="0"/>
        <v/>
      </c>
      <c r="D8" s="205"/>
      <c r="E8" s="207" t="str">
        <f t="shared" si="1"/>
        <v/>
      </c>
      <c r="F8" s="208" t="str">
        <f>IF($A8="","",$E8*Summary!$B$8)</f>
        <v/>
      </c>
      <c r="G8" s="208" t="str">
        <f>IF($A8="","",F8*Summary!$B$9)</f>
        <v/>
      </c>
      <c r="H8" s="207" t="str">
        <f>IF($A8="","",SUMIFS('Raw daily data'!$F:$F,'Raw daily data'!$I:$I,$A8))</f>
        <v/>
      </c>
      <c r="I8" s="207" t="str">
        <f t="shared" si="2"/>
        <v/>
      </c>
      <c r="J8" s="209" t="str">
        <f t="shared" si="3"/>
        <v/>
      </c>
      <c r="K8" s="207" t="str">
        <f>IF($A8="","",Summary!$B$6)</f>
        <v/>
      </c>
      <c r="L8" s="207" t="str">
        <f t="shared" si="10"/>
        <v/>
      </c>
      <c r="M8" s="205"/>
      <c r="N8" s="206" t="str">
        <f>IF($A8="","",COUNTIFS('Raw daily data'!$I:$I,$A8))</f>
        <v/>
      </c>
      <c r="O8" s="206" t="str">
        <f>IF($A8="","",COUNTIFS('Raw daily data'!$I:$I,$A8,'Raw daily data'!$F:$F,"&gt;0"))</f>
        <v/>
      </c>
      <c r="P8" s="206" t="str">
        <f>IF($A8="","",COUNTIFS('Raw daily data'!$I:$I,$A8,'Raw daily data'!$F:$F,"&lt;0"))</f>
        <v/>
      </c>
      <c r="Q8" s="208" t="str">
        <f>IF($A8="","",SUMIFS('Raw daily data'!$F:$F,'Raw daily data'!$I:$I,$A8,'Raw daily data'!$F:$F,"&gt;0"))</f>
        <v/>
      </c>
      <c r="R8" s="208" t="str">
        <f>IF($A8="","",ABS(SUMIFS('Raw daily data'!$F:$F,'Raw daily data'!$I:$I,$A8,'Raw daily data'!$F:$F,"&lt;0")))</f>
        <v/>
      </c>
      <c r="S8" s="210" t="str">
        <f t="shared" si="11"/>
        <v/>
      </c>
      <c r="T8" s="211" t="str">
        <f t="shared" si="12"/>
        <v/>
      </c>
      <c r="U8" s="212" t="str">
        <f t="shared" si="13"/>
        <v/>
      </c>
      <c r="V8" s="210" t="str">
        <f t="shared" si="14"/>
        <v/>
      </c>
      <c r="W8" s="208" t="str">
        <f>IF($A8="","",_xlfn.MAXIFS('Raw daily data'!$J:$J,'Raw daily data'!$I:$I,$A8))</f>
        <v/>
      </c>
      <c r="X8" s="178" t="str">
        <f t="shared" si="9"/>
        <v/>
      </c>
      <c r="Y8" s="178" t="str">
        <f>IF($A8="","",IFERROR(ABS(MIN(0,_xlfn.MINIFS('Raw daily data'!$J:$J,'Raw daily data'!$I:$I,$A8)))/G8,""))</f>
        <v/>
      </c>
    </row>
    <row r="9" spans="1:25">
      <c r="A9" s="214"/>
      <c r="B9" s="205"/>
      <c r="C9" s="206" t="str">
        <f t="shared" si="0"/>
        <v/>
      </c>
      <c r="D9" s="205"/>
      <c r="E9" s="207" t="str">
        <f t="shared" si="1"/>
        <v/>
      </c>
      <c r="F9" s="208" t="str">
        <f>IF($A9="","",$E9*Summary!$B$8)</f>
        <v/>
      </c>
      <c r="G9" s="208" t="str">
        <f>IF($A9="","",F9*Summary!$B$9)</f>
        <v/>
      </c>
      <c r="H9" s="207" t="str">
        <f>IF($A9="","",SUMIFS('Raw daily data'!$F:$F,'Raw daily data'!$I:$I,$A9))</f>
        <v/>
      </c>
      <c r="I9" s="207" t="str">
        <f t="shared" si="2"/>
        <v/>
      </c>
      <c r="J9" s="209" t="str">
        <f t="shared" si="3"/>
        <v/>
      </c>
      <c r="K9" s="207" t="str">
        <f>IF($A9="","",Summary!$B$6)</f>
        <v/>
      </c>
      <c r="L9" s="207" t="str">
        <f t="shared" si="10"/>
        <v/>
      </c>
      <c r="M9" s="205"/>
      <c r="N9" s="206" t="str">
        <f>IF($A9="","",COUNTIFS('Raw daily data'!$I:$I,$A9))</f>
        <v/>
      </c>
      <c r="O9" s="206" t="str">
        <f>IF($A9="","",COUNTIFS('Raw daily data'!$I:$I,$A9,'Raw daily data'!$F:$F,"&gt;0"))</f>
        <v/>
      </c>
      <c r="P9" s="206" t="str">
        <f>IF($A9="","",COUNTIFS('Raw daily data'!$I:$I,$A9,'Raw daily data'!$F:$F,"&lt;0"))</f>
        <v/>
      </c>
      <c r="Q9" s="208" t="str">
        <f>IF($A9="","",SUMIFS('Raw daily data'!$F:$F,'Raw daily data'!$I:$I,$A9,'Raw daily data'!$F:$F,"&gt;0"))</f>
        <v/>
      </c>
      <c r="R9" s="208" t="str">
        <f>IF($A9="","",ABS(SUMIFS('Raw daily data'!$F:$F,'Raw daily data'!$I:$I,$A9,'Raw daily data'!$F:$F,"&lt;0")))</f>
        <v/>
      </c>
      <c r="S9" s="210" t="str">
        <f t="shared" si="11"/>
        <v/>
      </c>
      <c r="T9" s="211" t="str">
        <f t="shared" si="12"/>
        <v/>
      </c>
      <c r="U9" s="212" t="str">
        <f t="shared" si="13"/>
        <v/>
      </c>
      <c r="V9" s="210" t="str">
        <f t="shared" si="14"/>
        <v/>
      </c>
      <c r="W9" s="208" t="str">
        <f>IF($A9="","",_xlfn.MAXIFS('Raw daily data'!$J:$J,'Raw daily data'!$I:$I,$A9))</f>
        <v/>
      </c>
      <c r="X9" s="178" t="str">
        <f t="shared" si="9"/>
        <v/>
      </c>
      <c r="Y9" s="178" t="str">
        <f>IF($A9="","",IFERROR(ABS(MIN(0,_xlfn.MINIFS('Raw daily data'!$J:$J,'Raw daily data'!$I:$I,$A9)))/G9,""))</f>
        <v/>
      </c>
    </row>
    <row r="10" spans="1:25">
      <c r="A10" s="214"/>
      <c r="B10" s="205"/>
      <c r="C10" s="206" t="str">
        <f t="shared" si="0"/>
        <v/>
      </c>
      <c r="D10" s="205"/>
      <c r="E10" s="207" t="str">
        <f t="shared" si="1"/>
        <v/>
      </c>
      <c r="F10" s="208" t="str">
        <f>IF($A10="","",$E10*Summary!$B$8)</f>
        <v/>
      </c>
      <c r="G10" s="208" t="str">
        <f>IF($A10="","",F10*Summary!$B$9)</f>
        <v/>
      </c>
      <c r="H10" s="207" t="str">
        <f>IF($A10="","",SUMIFS('Raw daily data'!$F:$F,'Raw daily data'!$I:$I,$A10))</f>
        <v/>
      </c>
      <c r="I10" s="207" t="str">
        <f t="shared" si="2"/>
        <v/>
      </c>
      <c r="J10" s="209" t="str">
        <f t="shared" si="3"/>
        <v/>
      </c>
      <c r="K10" s="207" t="str">
        <f>IF($A10="","",Summary!$B$6)</f>
        <v/>
      </c>
      <c r="L10" s="207" t="str">
        <f t="shared" si="10"/>
        <v/>
      </c>
      <c r="M10" s="205"/>
      <c r="N10" s="206" t="str">
        <f>IF($A10="","",COUNTIFS('Raw daily data'!$I:$I,$A10))</f>
        <v/>
      </c>
      <c r="O10" s="206" t="str">
        <f>IF($A10="","",COUNTIFS('Raw daily data'!$I:$I,$A10,'Raw daily data'!$F:$F,"&gt;0"))</f>
        <v/>
      </c>
      <c r="P10" s="206" t="str">
        <f>IF($A10="","",COUNTIFS('Raw daily data'!$I:$I,$A10,'Raw daily data'!$F:$F,"&lt;0"))</f>
        <v/>
      </c>
      <c r="Q10" s="208" t="str">
        <f>IF($A10="","",SUMIFS('Raw daily data'!$F:$F,'Raw daily data'!$I:$I,$A10,'Raw daily data'!$F:$F,"&gt;0"))</f>
        <v/>
      </c>
      <c r="R10" s="208" t="str">
        <f>IF($A10="","",ABS(SUMIFS('Raw daily data'!$F:$F,'Raw daily data'!$I:$I,$A10,'Raw daily data'!$F:$F,"&lt;0")))</f>
        <v/>
      </c>
      <c r="S10" s="210" t="str">
        <f t="shared" si="11"/>
        <v/>
      </c>
      <c r="T10" s="211" t="str">
        <f t="shared" si="12"/>
        <v/>
      </c>
      <c r="U10" s="212" t="str">
        <f t="shared" si="13"/>
        <v/>
      </c>
      <c r="V10" s="210" t="str">
        <f t="shared" si="14"/>
        <v/>
      </c>
      <c r="W10" s="208" t="str">
        <f>IF($A10="","",_xlfn.MAXIFS('Raw daily data'!$J:$J,'Raw daily data'!$I:$I,$A10))</f>
        <v/>
      </c>
      <c r="X10" s="178" t="str">
        <f t="shared" si="9"/>
        <v/>
      </c>
      <c r="Y10" s="178" t="str">
        <f>IF($A10="","",IFERROR(ABS(MIN(0,_xlfn.MINIFS('Raw daily data'!$J:$J,'Raw daily data'!$I:$I,$A10)))/G10,""))</f>
        <v/>
      </c>
    </row>
    <row r="11" spans="1:25">
      <c r="A11" s="214"/>
      <c r="B11" s="205"/>
      <c r="C11" s="206" t="str">
        <f t="shared" si="0"/>
        <v/>
      </c>
      <c r="D11" s="205"/>
      <c r="E11" s="207" t="str">
        <f t="shared" si="1"/>
        <v/>
      </c>
      <c r="F11" s="208" t="str">
        <f>IF($A11="","",$E11*Summary!$B$8)</f>
        <v/>
      </c>
      <c r="G11" s="208" t="str">
        <f>IF($A11="","",F11*Summary!$B$9)</f>
        <v/>
      </c>
      <c r="H11" s="207" t="str">
        <f>IF($A11="","",SUMIFS('Raw daily data'!$F:$F,'Raw daily data'!$I:$I,$A11))</f>
        <v/>
      </c>
      <c r="I11" s="207" t="str">
        <f t="shared" si="2"/>
        <v/>
      </c>
      <c r="J11" s="209" t="str">
        <f t="shared" si="3"/>
        <v/>
      </c>
      <c r="K11" s="207" t="str">
        <f>IF($A11="","",Summary!$B$6)</f>
        <v/>
      </c>
      <c r="L11" s="207" t="str">
        <f t="shared" si="10"/>
        <v/>
      </c>
      <c r="M11" s="205"/>
      <c r="N11" s="206" t="str">
        <f>IF($A11="","",COUNTIFS('Raw daily data'!$I:$I,$A11))</f>
        <v/>
      </c>
      <c r="O11" s="206" t="str">
        <f>IF($A11="","",COUNTIFS('Raw daily data'!$I:$I,$A11,'Raw daily data'!$F:$F,"&gt;0"))</f>
        <v/>
      </c>
      <c r="P11" s="206" t="str">
        <f>IF($A11="","",COUNTIFS('Raw daily data'!$I:$I,$A11,'Raw daily data'!$F:$F,"&lt;0"))</f>
        <v/>
      </c>
      <c r="Q11" s="208" t="str">
        <f>IF($A11="","",SUMIFS('Raw daily data'!$F:$F,'Raw daily data'!$I:$I,$A11,'Raw daily data'!$F:$F,"&gt;0"))</f>
        <v/>
      </c>
      <c r="R11" s="208" t="str">
        <f>IF($A11="","",ABS(SUMIFS('Raw daily data'!$F:$F,'Raw daily data'!$I:$I,$A11,'Raw daily data'!$F:$F,"&lt;0")))</f>
        <v/>
      </c>
      <c r="S11" s="210" t="str">
        <f t="shared" si="11"/>
        <v/>
      </c>
      <c r="T11" s="211" t="str">
        <f t="shared" si="12"/>
        <v/>
      </c>
      <c r="U11" s="212" t="str">
        <f t="shared" si="13"/>
        <v/>
      </c>
      <c r="V11" s="210" t="str">
        <f t="shared" si="14"/>
        <v/>
      </c>
      <c r="W11" s="208" t="str">
        <f>IF($A11="","",_xlfn.MAXIFS('Raw daily data'!$J:$J,'Raw daily data'!$I:$I,$A11))</f>
        <v/>
      </c>
      <c r="X11" s="178" t="str">
        <f t="shared" si="9"/>
        <v/>
      </c>
      <c r="Y11" s="178" t="str">
        <f>IF($A11="","",IFERROR(ABS(MIN(0,_xlfn.MINIFS('Raw daily data'!$J:$J,'Raw daily data'!$I:$I,$A11)))/G11,""))</f>
        <v/>
      </c>
    </row>
    <row r="12" spans="1:25">
      <c r="A12" s="214"/>
      <c r="B12" s="205"/>
      <c r="C12" s="206" t="str">
        <f t="shared" si="0"/>
        <v/>
      </c>
      <c r="D12" s="205"/>
      <c r="E12" s="207" t="str">
        <f t="shared" si="1"/>
        <v/>
      </c>
      <c r="F12" s="208" t="str">
        <f>IF($A12="","",$E12*Summary!$B$8)</f>
        <v/>
      </c>
      <c r="G12" s="208" t="str">
        <f>IF($A12="","",F12*Summary!$B$9)</f>
        <v/>
      </c>
      <c r="H12" s="207" t="str">
        <f>IF($A12="","",SUMIFS('Raw daily data'!$F:$F,'Raw daily data'!$I:$I,$A12))</f>
        <v/>
      </c>
      <c r="I12" s="207" t="str">
        <f t="shared" si="2"/>
        <v/>
      </c>
      <c r="J12" s="209" t="str">
        <f t="shared" si="3"/>
        <v/>
      </c>
      <c r="K12" s="207" t="str">
        <f>IF($A12="","",Summary!$B$6)</f>
        <v/>
      </c>
      <c r="L12" s="207" t="str">
        <f t="shared" si="10"/>
        <v/>
      </c>
      <c r="M12" s="205"/>
      <c r="N12" s="206" t="str">
        <f>IF($A12="","",COUNTIFS('Raw daily data'!$I:$I,$A12))</f>
        <v/>
      </c>
      <c r="O12" s="206" t="str">
        <f>IF($A12="","",COUNTIFS('Raw daily data'!$I:$I,$A12,'Raw daily data'!$F:$F,"&gt;0"))</f>
        <v/>
      </c>
      <c r="P12" s="206" t="str">
        <f>IF($A12="","",COUNTIFS('Raw daily data'!$I:$I,$A12,'Raw daily data'!$F:$F,"&lt;0"))</f>
        <v/>
      </c>
      <c r="Q12" s="208" t="str">
        <f>IF($A12="","",SUMIFS('Raw daily data'!$F:$F,'Raw daily data'!$I:$I,$A12,'Raw daily data'!$F:$F,"&gt;0"))</f>
        <v/>
      </c>
      <c r="R12" s="208" t="str">
        <f>IF($A12="","",ABS(SUMIFS('Raw daily data'!$F:$F,'Raw daily data'!$I:$I,$A12,'Raw daily data'!$F:$F,"&lt;0")))</f>
        <v/>
      </c>
      <c r="S12" s="210" t="str">
        <f t="shared" si="11"/>
        <v/>
      </c>
      <c r="T12" s="211" t="str">
        <f t="shared" si="12"/>
        <v/>
      </c>
      <c r="U12" s="212" t="str">
        <f t="shared" si="13"/>
        <v/>
      </c>
      <c r="V12" s="210" t="str">
        <f t="shared" si="14"/>
        <v/>
      </c>
      <c r="W12" s="208" t="str">
        <f>IF($A12="","",_xlfn.MAXIFS('Raw daily data'!$J:$J,'Raw daily data'!$I:$I,$A12))</f>
        <v/>
      </c>
      <c r="X12" s="178" t="str">
        <f t="shared" si="9"/>
        <v/>
      </c>
      <c r="Y12" s="178" t="str">
        <f>IF($A12="","",IFERROR(ABS(MIN(0,_xlfn.MINIFS('Raw daily data'!$J:$J,'Raw daily data'!$I:$I,$A12)))/G12,""))</f>
        <v/>
      </c>
    </row>
    <row r="13" spans="1:25">
      <c r="A13" s="214"/>
      <c r="B13" s="205"/>
      <c r="C13" s="206" t="str">
        <f t="shared" si="0"/>
        <v/>
      </c>
      <c r="D13" s="205"/>
      <c r="E13" s="207" t="str">
        <f t="shared" si="1"/>
        <v/>
      </c>
      <c r="F13" s="208" t="str">
        <f>IF($A13="","",$E13*Summary!$B$8)</f>
        <v/>
      </c>
      <c r="G13" s="208" t="str">
        <f>IF($A13="","",F13*Summary!$B$9)</f>
        <v/>
      </c>
      <c r="H13" s="207" t="str">
        <f>IF($A13="","",SUMIFS('Raw daily data'!$F:$F,'Raw daily data'!$I:$I,$A13))</f>
        <v/>
      </c>
      <c r="I13" s="207" t="str">
        <f t="shared" si="2"/>
        <v/>
      </c>
      <c r="J13" s="209" t="str">
        <f t="shared" si="3"/>
        <v/>
      </c>
      <c r="K13" s="207" t="str">
        <f>IF($A13="","",Summary!$B$6)</f>
        <v/>
      </c>
      <c r="L13" s="207" t="str">
        <f t="shared" si="10"/>
        <v/>
      </c>
      <c r="M13" s="205"/>
      <c r="N13" s="206" t="str">
        <f>IF($A13="","",COUNTIFS('Raw daily data'!$I:$I,$A13))</f>
        <v/>
      </c>
      <c r="O13" s="206" t="str">
        <f>IF($A13="","",COUNTIFS('Raw daily data'!$I:$I,$A13,'Raw daily data'!$F:$F,"&gt;0"))</f>
        <v/>
      </c>
      <c r="P13" s="206" t="str">
        <f>IF($A13="","",COUNTIFS('Raw daily data'!$I:$I,$A13,'Raw daily data'!$F:$F,"&lt;0"))</f>
        <v/>
      </c>
      <c r="Q13" s="208" t="str">
        <f>IF($A13="","",SUMIFS('Raw daily data'!$F:$F,'Raw daily data'!$I:$I,$A13,'Raw daily data'!$F:$F,"&gt;0"))</f>
        <v/>
      </c>
      <c r="R13" s="208" t="str">
        <f>IF($A13="","",ABS(SUMIFS('Raw daily data'!$F:$F,'Raw daily data'!$I:$I,$A13,'Raw daily data'!$F:$F,"&lt;0")))</f>
        <v/>
      </c>
      <c r="S13" s="210" t="str">
        <f t="shared" si="11"/>
        <v/>
      </c>
      <c r="T13" s="211" t="str">
        <f t="shared" si="12"/>
        <v/>
      </c>
      <c r="U13" s="212" t="str">
        <f t="shared" si="13"/>
        <v/>
      </c>
      <c r="V13" s="210" t="str">
        <f t="shared" si="14"/>
        <v/>
      </c>
      <c r="W13" s="208" t="str">
        <f>IF($A13="","",_xlfn.MAXIFS('Raw daily data'!$J:$J,'Raw daily data'!$I:$I,$A13))</f>
        <v/>
      </c>
      <c r="X13" s="178" t="str">
        <f t="shared" si="9"/>
        <v/>
      </c>
      <c r="Y13" s="178" t="str">
        <f>IF($A13="","",IFERROR(ABS(MIN(0,_xlfn.MINIFS('Raw daily data'!$J:$J,'Raw daily data'!$I:$I,$A13)))/G13,""))</f>
        <v/>
      </c>
    </row>
    <row r="14" spans="1:25">
      <c r="A14" s="214"/>
      <c r="B14" s="205"/>
      <c r="C14" s="206" t="str">
        <f t="shared" si="0"/>
        <v/>
      </c>
      <c r="D14" s="205"/>
      <c r="E14" s="207" t="str">
        <f t="shared" si="1"/>
        <v/>
      </c>
      <c r="F14" s="208" t="str">
        <f>IF($A14="","",$E14*Summary!$B$8)</f>
        <v/>
      </c>
      <c r="G14" s="208" t="str">
        <f>IF($A14="","",F14*Summary!$B$9)</f>
        <v/>
      </c>
      <c r="H14" s="207" t="str">
        <f>IF($A14="","",SUMIFS('Raw daily data'!$F:$F,'Raw daily data'!$I:$I,$A14))</f>
        <v/>
      </c>
      <c r="I14" s="207" t="str">
        <f t="shared" si="2"/>
        <v/>
      </c>
      <c r="J14" s="209" t="str">
        <f t="shared" si="3"/>
        <v/>
      </c>
      <c r="K14" s="207" t="str">
        <f>IF($A14="","",Summary!$B$6)</f>
        <v/>
      </c>
      <c r="L14" s="207" t="str">
        <f t="shared" si="10"/>
        <v/>
      </c>
      <c r="M14" s="205"/>
      <c r="N14" s="206" t="str">
        <f>IF($A14="","",COUNTIFS('Raw daily data'!$I:$I,$A14))</f>
        <v/>
      </c>
      <c r="O14" s="206" t="str">
        <f>IF($A14="","",COUNTIFS('Raw daily data'!$I:$I,$A14,'Raw daily data'!$F:$F,"&gt;0"))</f>
        <v/>
      </c>
      <c r="P14" s="206" t="str">
        <f>IF($A14="","",COUNTIFS('Raw daily data'!$I:$I,$A14,'Raw daily data'!$F:$F,"&lt;0"))</f>
        <v/>
      </c>
      <c r="Q14" s="208" t="str">
        <f>IF($A14="","",SUMIFS('Raw daily data'!$F:$F,'Raw daily data'!$I:$I,$A14,'Raw daily data'!$F:$F,"&gt;0"))</f>
        <v/>
      </c>
      <c r="R14" s="208" t="str">
        <f>IF($A14="","",ABS(SUMIFS('Raw daily data'!$F:$F,'Raw daily data'!$I:$I,$A14,'Raw daily data'!$F:$F,"&lt;0")))</f>
        <v/>
      </c>
      <c r="S14" s="210" t="str">
        <f t="shared" si="11"/>
        <v/>
      </c>
      <c r="T14" s="211" t="str">
        <f t="shared" si="12"/>
        <v/>
      </c>
      <c r="U14" s="212" t="str">
        <f t="shared" si="13"/>
        <v/>
      </c>
      <c r="V14" s="210" t="str">
        <f t="shared" si="14"/>
        <v/>
      </c>
      <c r="W14" s="208" t="str">
        <f>IF($A14="","",_xlfn.MAXIFS('Raw daily data'!$J:$J,'Raw daily data'!$I:$I,$A14))</f>
        <v/>
      </c>
      <c r="X14" s="178" t="str">
        <f t="shared" si="9"/>
        <v/>
      </c>
      <c r="Y14" s="178" t="str">
        <f>IF($A14="","",IFERROR(ABS(MIN(0,_xlfn.MINIFS('Raw daily data'!$J:$J,'Raw daily data'!$I:$I,$A14)))/G14,""))</f>
        <v/>
      </c>
    </row>
    <row r="15" spans="1:25">
      <c r="A15" s="214"/>
      <c r="B15" s="205"/>
      <c r="C15" s="206" t="str">
        <f t="shared" si="0"/>
        <v/>
      </c>
      <c r="D15" s="205"/>
      <c r="E15" s="207" t="str">
        <f t="shared" si="1"/>
        <v/>
      </c>
      <c r="F15" s="208" t="str">
        <f>IF($A15="","",$E15*Summary!$B$8)</f>
        <v/>
      </c>
      <c r="G15" s="208" t="str">
        <f>IF($A15="","",F15*Summary!$B$9)</f>
        <v/>
      </c>
      <c r="H15" s="207" t="str">
        <f>IF($A15="","",SUMIFS('Raw daily data'!$F:$F,'Raw daily data'!$I:$I,$A15))</f>
        <v/>
      </c>
      <c r="I15" s="207" t="str">
        <f t="shared" si="2"/>
        <v/>
      </c>
      <c r="J15" s="209" t="str">
        <f t="shared" si="3"/>
        <v/>
      </c>
      <c r="K15" s="207" t="str">
        <f>IF($A15="","",Summary!$B$6)</f>
        <v/>
      </c>
      <c r="L15" s="207" t="str">
        <f t="shared" si="10"/>
        <v/>
      </c>
      <c r="M15" s="205"/>
      <c r="N15" s="206" t="str">
        <f>IF($A15="","",COUNTIFS('Raw daily data'!$I:$I,$A15))</f>
        <v/>
      </c>
      <c r="O15" s="206" t="str">
        <f>IF($A15="","",COUNTIFS('Raw daily data'!$I:$I,$A15,'Raw daily data'!$F:$F,"&gt;0"))</f>
        <v/>
      </c>
      <c r="P15" s="206" t="str">
        <f>IF($A15="","",COUNTIFS('Raw daily data'!$I:$I,$A15,'Raw daily data'!$F:$F,"&lt;0"))</f>
        <v/>
      </c>
      <c r="Q15" s="208" t="str">
        <f>IF($A15="","",SUMIFS('Raw daily data'!$F:$F,'Raw daily data'!$I:$I,$A15,'Raw daily data'!$F:$F,"&gt;0"))</f>
        <v/>
      </c>
      <c r="R15" s="208" t="str">
        <f>IF($A15="","",ABS(SUMIFS('Raw daily data'!$F:$F,'Raw daily data'!$I:$I,$A15,'Raw daily data'!$F:$F,"&lt;0")))</f>
        <v/>
      </c>
      <c r="S15" s="210" t="str">
        <f t="shared" si="11"/>
        <v/>
      </c>
      <c r="T15" s="211" t="str">
        <f t="shared" si="12"/>
        <v/>
      </c>
      <c r="U15" s="212" t="str">
        <f t="shared" si="13"/>
        <v/>
      </c>
      <c r="V15" s="210" t="str">
        <f t="shared" si="14"/>
        <v/>
      </c>
      <c r="W15" s="208" t="str">
        <f>IF($A15="","",_xlfn.MAXIFS('Raw daily data'!$J:$J,'Raw daily data'!$I:$I,$A15))</f>
        <v/>
      </c>
      <c r="X15" s="178" t="str">
        <f t="shared" si="9"/>
        <v/>
      </c>
      <c r="Y15" s="178" t="str">
        <f>IF($A15="","",IFERROR(ABS(MIN(0,_xlfn.MINIFS('Raw daily data'!$J:$J,'Raw daily data'!$I:$I,$A15)))/G15,""))</f>
        <v/>
      </c>
    </row>
    <row r="16" spans="1:25">
      <c r="A16" s="214"/>
      <c r="B16" s="205"/>
      <c r="C16" s="206" t="str">
        <f t="shared" si="0"/>
        <v/>
      </c>
      <c r="D16" s="205"/>
      <c r="E16" s="207" t="str">
        <f t="shared" si="1"/>
        <v/>
      </c>
      <c r="F16" s="208" t="str">
        <f>IF($A16="","",$E16*Summary!$B$8)</f>
        <v/>
      </c>
      <c r="G16" s="208" t="str">
        <f>IF($A16="","",F16*Summary!$B$9)</f>
        <v/>
      </c>
      <c r="H16" s="207" t="str">
        <f>IF($A16="","",SUMIFS('Raw daily data'!$F:$F,'Raw daily data'!$I:$I,$A16))</f>
        <v/>
      </c>
      <c r="I16" s="207" t="str">
        <f t="shared" si="2"/>
        <v/>
      </c>
      <c r="J16" s="209" t="str">
        <f t="shared" si="3"/>
        <v/>
      </c>
      <c r="K16" s="207" t="str">
        <f>IF($A16="","",Summary!$B$6)</f>
        <v/>
      </c>
      <c r="L16" s="207" t="str">
        <f t="shared" si="10"/>
        <v/>
      </c>
      <c r="M16" s="205"/>
      <c r="N16" s="206" t="str">
        <f>IF($A16="","",COUNTIFS('Raw daily data'!$I:$I,$A16))</f>
        <v/>
      </c>
      <c r="O16" s="206" t="str">
        <f>IF($A16="","",COUNTIFS('Raw daily data'!$I:$I,$A16,'Raw daily data'!$F:$F,"&gt;0"))</f>
        <v/>
      </c>
      <c r="P16" s="206" t="str">
        <f>IF($A16="","",COUNTIFS('Raw daily data'!$I:$I,$A16,'Raw daily data'!$F:$F,"&lt;0"))</f>
        <v/>
      </c>
      <c r="Q16" s="208" t="str">
        <f>IF($A16="","",SUMIFS('Raw daily data'!$F:$F,'Raw daily data'!$I:$I,$A16,'Raw daily data'!$F:$F,"&gt;0"))</f>
        <v/>
      </c>
      <c r="R16" s="208" t="str">
        <f>IF($A16="","",ABS(SUMIFS('Raw daily data'!$F:$F,'Raw daily data'!$I:$I,$A16,'Raw daily data'!$F:$F,"&lt;0")))</f>
        <v/>
      </c>
      <c r="S16" s="210" t="str">
        <f t="shared" si="11"/>
        <v/>
      </c>
      <c r="T16" s="211" t="str">
        <f t="shared" si="12"/>
        <v/>
      </c>
      <c r="U16" s="212" t="str">
        <f t="shared" si="13"/>
        <v/>
      </c>
      <c r="V16" s="210" t="str">
        <f t="shared" si="14"/>
        <v/>
      </c>
      <c r="W16" s="208" t="str">
        <f>IF($A16="","",_xlfn.MAXIFS('Raw daily data'!$J:$J,'Raw daily data'!$I:$I,$A16))</f>
        <v/>
      </c>
      <c r="X16" s="178" t="str">
        <f t="shared" si="9"/>
        <v/>
      </c>
      <c r="Y16" s="178" t="str">
        <f>IF($A16="","",IFERROR(ABS(MIN(0,_xlfn.MINIFS('Raw daily data'!$J:$J,'Raw daily data'!$I:$I,$A16)))/G16,""))</f>
        <v/>
      </c>
    </row>
    <row r="17" spans="1:25">
      <c r="A17" s="214"/>
      <c r="B17" s="205"/>
      <c r="C17" s="206" t="str">
        <f t="shared" si="0"/>
        <v/>
      </c>
      <c r="D17" s="205"/>
      <c r="E17" s="207" t="str">
        <f t="shared" si="1"/>
        <v/>
      </c>
      <c r="F17" s="208" t="str">
        <f>IF($A17="","",$E17*Summary!$B$8)</f>
        <v/>
      </c>
      <c r="G17" s="208" t="str">
        <f>IF($A17="","",F17*Summary!$B$9)</f>
        <v/>
      </c>
      <c r="H17" s="207" t="str">
        <f>IF($A17="","",SUMIFS('Raw daily data'!$F:$F,'Raw daily data'!$I:$I,$A17))</f>
        <v/>
      </c>
      <c r="I17" s="207" t="str">
        <f t="shared" si="2"/>
        <v/>
      </c>
      <c r="J17" s="209" t="str">
        <f t="shared" si="3"/>
        <v/>
      </c>
      <c r="K17" s="207" t="str">
        <f>IF($A17="","",Summary!$B$6)</f>
        <v/>
      </c>
      <c r="L17" s="207" t="str">
        <f t="shared" si="10"/>
        <v/>
      </c>
      <c r="M17" s="205"/>
      <c r="N17" s="206" t="str">
        <f>IF($A17="","",COUNTIFS('Raw daily data'!$I:$I,$A17))</f>
        <v/>
      </c>
      <c r="O17" s="206" t="str">
        <f>IF($A17="","",COUNTIFS('Raw daily data'!$I:$I,$A17,'Raw daily data'!$F:$F,"&gt;0"))</f>
        <v/>
      </c>
      <c r="P17" s="206" t="str">
        <f>IF($A17="","",COUNTIFS('Raw daily data'!$I:$I,$A17,'Raw daily data'!$F:$F,"&lt;0"))</f>
        <v/>
      </c>
      <c r="Q17" s="208" t="str">
        <f>IF($A17="","",SUMIFS('Raw daily data'!$F:$F,'Raw daily data'!$I:$I,$A17,'Raw daily data'!$F:$F,"&gt;0"))</f>
        <v/>
      </c>
      <c r="R17" s="208" t="str">
        <f>IF($A17="","",ABS(SUMIFS('Raw daily data'!$F:$F,'Raw daily data'!$I:$I,$A17,'Raw daily data'!$F:$F,"&lt;0")))</f>
        <v/>
      </c>
      <c r="S17" s="210" t="str">
        <f t="shared" si="11"/>
        <v/>
      </c>
      <c r="T17" s="211" t="str">
        <f t="shared" si="12"/>
        <v/>
      </c>
      <c r="U17" s="212" t="str">
        <f t="shared" si="13"/>
        <v/>
      </c>
      <c r="V17" s="210" t="str">
        <f t="shared" si="14"/>
        <v/>
      </c>
      <c r="W17" s="208" t="str">
        <f>IF($A17="","",_xlfn.MAXIFS('Raw daily data'!$J:$J,'Raw daily data'!$I:$I,$A17))</f>
        <v/>
      </c>
      <c r="X17" s="178" t="str">
        <f t="shared" si="9"/>
        <v/>
      </c>
      <c r="Y17" s="178" t="str">
        <f>IF($A17="","",IFERROR(ABS(MIN(0,_xlfn.MINIFS('Raw daily data'!$J:$J,'Raw daily data'!$I:$I,$A17)))/G17,""))</f>
        <v/>
      </c>
    </row>
    <row r="18" spans="1:25">
      <c r="A18" s="214"/>
      <c r="B18" s="205"/>
      <c r="C18" s="206" t="str">
        <f t="shared" si="0"/>
        <v/>
      </c>
      <c r="D18" s="205"/>
      <c r="E18" s="207" t="str">
        <f t="shared" si="1"/>
        <v/>
      </c>
      <c r="F18" s="208" t="str">
        <f>IF($A18="","",$E18*Summary!$B$8)</f>
        <v/>
      </c>
      <c r="G18" s="208" t="str">
        <f>IF($A18="","",F18*Summary!$B$9)</f>
        <v/>
      </c>
      <c r="H18" s="207" t="str">
        <f>IF($A18="","",SUMIFS('Raw daily data'!$F:$F,'Raw daily data'!$I:$I,$A18))</f>
        <v/>
      </c>
      <c r="I18" s="207" t="str">
        <f t="shared" si="2"/>
        <v/>
      </c>
      <c r="J18" s="209" t="str">
        <f t="shared" si="3"/>
        <v/>
      </c>
      <c r="K18" s="207" t="str">
        <f>IF($A18="","",Summary!$B$6)</f>
        <v/>
      </c>
      <c r="L18" s="207" t="str">
        <f t="shared" si="10"/>
        <v/>
      </c>
      <c r="M18" s="205"/>
      <c r="N18" s="206" t="str">
        <f>IF($A18="","",COUNTIFS('Raw daily data'!$I:$I,$A18))</f>
        <v/>
      </c>
      <c r="O18" s="206" t="str">
        <f>IF($A18="","",COUNTIFS('Raw daily data'!$I:$I,$A18,'Raw daily data'!$F:$F,"&gt;0"))</f>
        <v/>
      </c>
      <c r="P18" s="206" t="str">
        <f>IF($A18="","",COUNTIFS('Raw daily data'!$I:$I,$A18,'Raw daily data'!$F:$F,"&lt;0"))</f>
        <v/>
      </c>
      <c r="Q18" s="208" t="str">
        <f>IF($A18="","",SUMIFS('Raw daily data'!$F:$F,'Raw daily data'!$I:$I,$A18,'Raw daily data'!$F:$F,"&gt;0"))</f>
        <v/>
      </c>
      <c r="R18" s="208" t="str">
        <f>IF($A18="","",ABS(SUMIFS('Raw daily data'!$F:$F,'Raw daily data'!$I:$I,$A18,'Raw daily data'!$F:$F,"&lt;0")))</f>
        <v/>
      </c>
      <c r="S18" s="210" t="str">
        <f t="shared" si="11"/>
        <v/>
      </c>
      <c r="T18" s="211" t="str">
        <f t="shared" si="12"/>
        <v/>
      </c>
      <c r="U18" s="212" t="str">
        <f t="shared" si="13"/>
        <v/>
      </c>
      <c r="V18" s="210" t="str">
        <f t="shared" si="14"/>
        <v/>
      </c>
      <c r="W18" s="208" t="str">
        <f>IF($A18="","",_xlfn.MAXIFS('Raw daily data'!$J:$J,'Raw daily data'!$I:$I,$A18))</f>
        <v/>
      </c>
      <c r="X18" s="178" t="str">
        <f t="shared" si="9"/>
        <v/>
      </c>
      <c r="Y18" s="178" t="str">
        <f>IF($A18="","",IFERROR(ABS(MIN(0,_xlfn.MINIFS('Raw daily data'!$J:$J,'Raw daily data'!$I:$I,$A18)))/G18,""))</f>
        <v/>
      </c>
    </row>
    <row r="19" spans="1:25">
      <c r="A19" s="214"/>
      <c r="B19" s="205"/>
      <c r="C19" s="206" t="str">
        <f t="shared" si="0"/>
        <v/>
      </c>
      <c r="D19" s="205"/>
      <c r="E19" s="207" t="str">
        <f t="shared" si="1"/>
        <v/>
      </c>
      <c r="F19" s="208" t="str">
        <f>IF($A19="","",$E19*Summary!$B$8)</f>
        <v/>
      </c>
      <c r="G19" s="208" t="str">
        <f>IF($A19="","",F19*Summary!$B$9)</f>
        <v/>
      </c>
      <c r="H19" s="207" t="str">
        <f>IF($A19="","",SUMIFS('Raw daily data'!$F:$F,'Raw daily data'!$I:$I,$A19))</f>
        <v/>
      </c>
      <c r="I19" s="207" t="str">
        <f t="shared" si="2"/>
        <v/>
      </c>
      <c r="J19" s="209" t="str">
        <f t="shared" si="3"/>
        <v/>
      </c>
      <c r="K19" s="207" t="str">
        <f>IF($A19="","",Summary!$B$6)</f>
        <v/>
      </c>
      <c r="L19" s="207" t="str">
        <f t="shared" si="10"/>
        <v/>
      </c>
      <c r="M19" s="205"/>
      <c r="N19" s="206" t="str">
        <f>IF($A19="","",COUNTIFS('Raw daily data'!$I:$I,$A19))</f>
        <v/>
      </c>
      <c r="O19" s="206" t="str">
        <f>IF($A19="","",COUNTIFS('Raw daily data'!$I:$I,$A19,'Raw daily data'!$F:$F,"&gt;0"))</f>
        <v/>
      </c>
      <c r="P19" s="206" t="str">
        <f>IF($A19="","",COUNTIFS('Raw daily data'!$I:$I,$A19,'Raw daily data'!$F:$F,"&lt;0"))</f>
        <v/>
      </c>
      <c r="Q19" s="208" t="str">
        <f>IF($A19="","",SUMIFS('Raw daily data'!$F:$F,'Raw daily data'!$I:$I,$A19,'Raw daily data'!$F:$F,"&gt;0"))</f>
        <v/>
      </c>
      <c r="R19" s="208" t="str">
        <f>IF($A19="","",ABS(SUMIFS('Raw daily data'!$F:$F,'Raw daily data'!$I:$I,$A19,'Raw daily data'!$F:$F,"&lt;0")))</f>
        <v/>
      </c>
      <c r="S19" s="210" t="str">
        <f t="shared" si="11"/>
        <v/>
      </c>
      <c r="T19" s="211" t="str">
        <f t="shared" si="12"/>
        <v/>
      </c>
      <c r="U19" s="212" t="str">
        <f t="shared" si="13"/>
        <v/>
      </c>
      <c r="V19" s="210" t="str">
        <f t="shared" si="14"/>
        <v/>
      </c>
      <c r="W19" s="208" t="str">
        <f>IF($A19="","",_xlfn.MAXIFS('Raw daily data'!$J:$J,'Raw daily data'!$I:$I,$A19))</f>
        <v/>
      </c>
      <c r="X19" s="178" t="str">
        <f t="shared" si="9"/>
        <v/>
      </c>
      <c r="Y19" s="178" t="str">
        <f>IF($A19="","",IFERROR(ABS(MIN(0,_xlfn.MINIFS('Raw daily data'!$J:$J,'Raw daily data'!$I:$I,$A19)))/G19,""))</f>
        <v/>
      </c>
    </row>
    <row r="20" spans="1:25">
      <c r="A20" s="214"/>
      <c r="B20" s="205"/>
      <c r="C20" s="206" t="str">
        <f t="shared" si="0"/>
        <v/>
      </c>
      <c r="D20" s="205"/>
      <c r="E20" s="207" t="str">
        <f t="shared" si="1"/>
        <v/>
      </c>
      <c r="F20" s="208" t="str">
        <f>IF($A20="","",$E20*Summary!$B$8)</f>
        <v/>
      </c>
      <c r="G20" s="208" t="str">
        <f>IF($A20="","",F20*Summary!$B$9)</f>
        <v/>
      </c>
      <c r="H20" s="207" t="str">
        <f>IF($A20="","",SUMIFS('Raw daily data'!$F:$F,'Raw daily data'!$I:$I,$A20))</f>
        <v/>
      </c>
      <c r="I20" s="207" t="str">
        <f t="shared" si="2"/>
        <v/>
      </c>
      <c r="J20" s="209" t="str">
        <f t="shared" si="3"/>
        <v/>
      </c>
      <c r="K20" s="207" t="str">
        <f>IF($A20="","",Summary!$B$6)</f>
        <v/>
      </c>
      <c r="L20" s="207" t="str">
        <f t="shared" si="10"/>
        <v/>
      </c>
      <c r="M20" s="205"/>
      <c r="N20" s="206" t="str">
        <f>IF($A20="","",COUNTIFS('Raw daily data'!$I:$I,$A20))</f>
        <v/>
      </c>
      <c r="O20" s="206" t="str">
        <f>IF($A20="","",COUNTIFS('Raw daily data'!$I:$I,$A20,'Raw daily data'!$F:$F,"&gt;0"))</f>
        <v/>
      </c>
      <c r="P20" s="206" t="str">
        <f>IF($A20="","",COUNTIFS('Raw daily data'!$I:$I,$A20,'Raw daily data'!$F:$F,"&lt;0"))</f>
        <v/>
      </c>
      <c r="Q20" s="208" t="str">
        <f>IF($A20="","",SUMIFS('Raw daily data'!$F:$F,'Raw daily data'!$I:$I,$A20,'Raw daily data'!$F:$F,"&gt;0"))</f>
        <v/>
      </c>
      <c r="R20" s="208" t="str">
        <f>IF($A20="","",ABS(SUMIFS('Raw daily data'!$F:$F,'Raw daily data'!$I:$I,$A20,'Raw daily data'!$F:$F,"&lt;0")))</f>
        <v/>
      </c>
      <c r="S20" s="210" t="str">
        <f t="shared" si="11"/>
        <v/>
      </c>
      <c r="T20" s="211" t="str">
        <f t="shared" si="12"/>
        <v/>
      </c>
      <c r="U20" s="212" t="str">
        <f t="shared" si="13"/>
        <v/>
      </c>
      <c r="V20" s="210" t="str">
        <f t="shared" si="14"/>
        <v/>
      </c>
      <c r="W20" s="208" t="str">
        <f>IF($A20="","",_xlfn.MAXIFS('Raw daily data'!$J:$J,'Raw daily data'!$I:$I,$A20))</f>
        <v/>
      </c>
      <c r="X20" s="178" t="str">
        <f t="shared" si="9"/>
        <v/>
      </c>
      <c r="Y20" s="178" t="str">
        <f>IF($A20="","",IFERROR(ABS(MIN(0,_xlfn.MINIFS('Raw daily data'!$J:$J,'Raw daily data'!$I:$I,$A20)))/G20,""))</f>
        <v/>
      </c>
    </row>
    <row r="21" spans="1:25">
      <c r="A21" s="214"/>
      <c r="B21" s="205"/>
      <c r="C21" s="206" t="str">
        <f t="shared" si="0"/>
        <v/>
      </c>
      <c r="D21" s="205"/>
      <c r="E21" s="207" t="str">
        <f t="shared" si="1"/>
        <v/>
      </c>
      <c r="F21" s="208" t="str">
        <f>IF($A21="","",$E21*Summary!$B$8)</f>
        <v/>
      </c>
      <c r="G21" s="208" t="str">
        <f>IF($A21="","",F21*Summary!$B$9)</f>
        <v/>
      </c>
      <c r="H21" s="207" t="str">
        <f>IF($A21="","",SUMIFS('Raw daily data'!$F:$F,'Raw daily data'!$I:$I,$A21))</f>
        <v/>
      </c>
      <c r="I21" s="207" t="str">
        <f t="shared" si="2"/>
        <v/>
      </c>
      <c r="J21" s="209" t="str">
        <f t="shared" si="3"/>
        <v/>
      </c>
      <c r="K21" s="207" t="str">
        <f>IF($A21="","",Summary!$B$6)</f>
        <v/>
      </c>
      <c r="L21" s="207" t="str">
        <f t="shared" si="10"/>
        <v/>
      </c>
      <c r="M21" s="205"/>
      <c r="N21" s="206" t="str">
        <f>IF($A21="","",COUNTIFS('Raw daily data'!$I:$I,$A21))</f>
        <v/>
      </c>
      <c r="O21" s="206" t="str">
        <f>IF($A21="","",COUNTIFS('Raw daily data'!$I:$I,$A21,'Raw daily data'!$F:$F,"&gt;0"))</f>
        <v/>
      </c>
      <c r="P21" s="206" t="str">
        <f>IF($A21="","",COUNTIFS('Raw daily data'!$I:$I,$A21,'Raw daily data'!$F:$F,"&lt;0"))</f>
        <v/>
      </c>
      <c r="Q21" s="208" t="str">
        <f>IF($A21="","",SUMIFS('Raw daily data'!$F:$F,'Raw daily data'!$I:$I,$A21,'Raw daily data'!$F:$F,"&gt;0"))</f>
        <v/>
      </c>
      <c r="R21" s="208" t="str">
        <f>IF($A21="","",ABS(SUMIFS('Raw daily data'!$F:$F,'Raw daily data'!$I:$I,$A21,'Raw daily data'!$F:$F,"&lt;0")))</f>
        <v/>
      </c>
      <c r="S21" s="210" t="str">
        <f t="shared" si="11"/>
        <v/>
      </c>
      <c r="T21" s="211" t="str">
        <f t="shared" si="12"/>
        <v/>
      </c>
      <c r="U21" s="212" t="str">
        <f t="shared" si="13"/>
        <v/>
      </c>
      <c r="V21" s="210" t="str">
        <f t="shared" si="14"/>
        <v/>
      </c>
      <c r="W21" s="208" t="str">
        <f>IF($A21="","",_xlfn.MAXIFS('Raw daily data'!$J:$J,'Raw daily data'!$I:$I,$A21))</f>
        <v/>
      </c>
      <c r="X21" s="178" t="str">
        <f t="shared" si="9"/>
        <v/>
      </c>
      <c r="Y21" s="178" t="str">
        <f>IF($A21="","",IFERROR(ABS(MIN(0,_xlfn.MINIFS('Raw daily data'!$J:$J,'Raw daily data'!$I:$I,$A21)))/G21,""))</f>
        <v/>
      </c>
    </row>
    <row r="22" spans="1:25">
      <c r="A22" s="214"/>
      <c r="B22" s="205"/>
      <c r="C22" s="206" t="str">
        <f t="shared" si="0"/>
        <v/>
      </c>
      <c r="D22" s="205"/>
      <c r="E22" s="207" t="str">
        <f t="shared" si="1"/>
        <v/>
      </c>
      <c r="F22" s="208" t="str">
        <f>IF($A22="","",$E22*Summary!$B$8)</f>
        <v/>
      </c>
      <c r="G22" s="208" t="str">
        <f>IF($A22="","",F22*Summary!$B$9)</f>
        <v/>
      </c>
      <c r="H22" s="207" t="str">
        <f>IF($A22="","",SUMIFS('Raw daily data'!$F:$F,'Raw daily data'!$I:$I,$A22))</f>
        <v/>
      </c>
      <c r="I22" s="207" t="str">
        <f t="shared" si="2"/>
        <v/>
      </c>
      <c r="J22" s="209" t="str">
        <f t="shared" si="3"/>
        <v/>
      </c>
      <c r="K22" s="207" t="str">
        <f>IF($A22="","",Summary!$B$6)</f>
        <v/>
      </c>
      <c r="L22" s="207" t="str">
        <f t="shared" si="10"/>
        <v/>
      </c>
      <c r="M22" s="205"/>
      <c r="N22" s="206" t="str">
        <f>IF($A22="","",COUNTIFS('Raw daily data'!$I:$I,$A22))</f>
        <v/>
      </c>
      <c r="O22" s="206" t="str">
        <f>IF($A22="","",COUNTIFS('Raw daily data'!$I:$I,$A22,'Raw daily data'!$F:$F,"&gt;0"))</f>
        <v/>
      </c>
      <c r="P22" s="206" t="str">
        <f>IF($A22="","",COUNTIFS('Raw daily data'!$I:$I,$A22,'Raw daily data'!$F:$F,"&lt;0"))</f>
        <v/>
      </c>
      <c r="Q22" s="208" t="str">
        <f>IF($A22="","",SUMIFS('Raw daily data'!$F:$F,'Raw daily data'!$I:$I,$A22,'Raw daily data'!$F:$F,"&gt;0"))</f>
        <v/>
      </c>
      <c r="R22" s="208" t="str">
        <f>IF($A22="","",ABS(SUMIFS('Raw daily data'!$F:$F,'Raw daily data'!$I:$I,$A22,'Raw daily data'!$F:$F,"&lt;0")))</f>
        <v/>
      </c>
      <c r="S22" s="210" t="str">
        <f t="shared" si="11"/>
        <v/>
      </c>
      <c r="T22" s="211" t="str">
        <f t="shared" si="12"/>
        <v/>
      </c>
      <c r="U22" s="212" t="str">
        <f t="shared" si="13"/>
        <v/>
      </c>
      <c r="V22" s="210" t="str">
        <f t="shared" si="14"/>
        <v/>
      </c>
      <c r="W22" s="208" t="str">
        <f>IF($A22="","",_xlfn.MAXIFS('Raw daily data'!$J:$J,'Raw daily data'!$I:$I,$A22))</f>
        <v/>
      </c>
      <c r="X22" s="178" t="str">
        <f t="shared" si="9"/>
        <v/>
      </c>
      <c r="Y22" s="178" t="str">
        <f>IF($A22="","",IFERROR(ABS(MIN(0,_xlfn.MINIFS('Raw daily data'!$J:$J,'Raw daily data'!$I:$I,$A22)))/G22,""))</f>
        <v/>
      </c>
    </row>
    <row r="23" spans="1:25">
      <c r="A23" s="214"/>
      <c r="B23" s="205"/>
      <c r="C23" s="206" t="str">
        <f t="shared" si="0"/>
        <v/>
      </c>
      <c r="D23" s="205"/>
      <c r="E23" s="207" t="str">
        <f t="shared" si="1"/>
        <v/>
      </c>
      <c r="F23" s="208" t="str">
        <f>IF($A23="","",$E23*Summary!$B$8)</f>
        <v/>
      </c>
      <c r="G23" s="208" t="str">
        <f>IF($A23="","",F23*Summary!$B$9)</f>
        <v/>
      </c>
      <c r="H23" s="207" t="str">
        <f>IF($A23="","",SUMIFS('Raw daily data'!$F:$F,'Raw daily data'!$I:$I,$A23))</f>
        <v/>
      </c>
      <c r="I23" s="207" t="str">
        <f t="shared" si="2"/>
        <v/>
      </c>
      <c r="J23" s="209" t="str">
        <f t="shared" si="3"/>
        <v/>
      </c>
      <c r="K23" s="207" t="str">
        <f>IF($A23="","",Summary!$B$6)</f>
        <v/>
      </c>
      <c r="L23" s="207" t="str">
        <f t="shared" si="10"/>
        <v/>
      </c>
      <c r="M23" s="205"/>
      <c r="N23" s="206" t="str">
        <f>IF($A23="","",COUNTIFS('Raw daily data'!$I:$I,$A23))</f>
        <v/>
      </c>
      <c r="O23" s="206" t="str">
        <f>IF($A23="","",COUNTIFS('Raw daily data'!$I:$I,$A23,'Raw daily data'!$F:$F,"&gt;0"))</f>
        <v/>
      </c>
      <c r="P23" s="206" t="str">
        <f>IF($A23="","",COUNTIFS('Raw daily data'!$I:$I,$A23,'Raw daily data'!$F:$F,"&lt;0"))</f>
        <v/>
      </c>
      <c r="Q23" s="208" t="str">
        <f>IF($A23="","",SUMIFS('Raw daily data'!$F:$F,'Raw daily data'!$I:$I,$A23,'Raw daily data'!$F:$F,"&gt;0"))</f>
        <v/>
      </c>
      <c r="R23" s="208" t="str">
        <f>IF($A23="","",ABS(SUMIFS('Raw daily data'!$F:$F,'Raw daily data'!$I:$I,$A23,'Raw daily data'!$F:$F,"&lt;0")))</f>
        <v/>
      </c>
      <c r="S23" s="210" t="str">
        <f t="shared" si="11"/>
        <v/>
      </c>
      <c r="T23" s="211" t="str">
        <f t="shared" si="12"/>
        <v/>
      </c>
      <c r="U23" s="212" t="str">
        <f t="shared" si="13"/>
        <v/>
      </c>
      <c r="V23" s="210" t="str">
        <f t="shared" si="14"/>
        <v/>
      </c>
      <c r="W23" s="208" t="str">
        <f>IF($A23="","",_xlfn.MAXIFS('Raw daily data'!$J:$J,'Raw daily data'!$I:$I,$A23))</f>
        <v/>
      </c>
      <c r="X23" s="178" t="str">
        <f t="shared" si="9"/>
        <v/>
      </c>
      <c r="Y23" s="178" t="str">
        <f>IF($A23="","",IFERROR(ABS(MIN(0,_xlfn.MINIFS('Raw daily data'!$J:$J,'Raw daily data'!$I:$I,$A23)))/G23,""))</f>
        <v/>
      </c>
    </row>
    <row r="24" spans="1:25">
      <c r="A24" s="214"/>
      <c r="B24" s="205"/>
      <c r="C24" s="206" t="str">
        <f t="shared" si="0"/>
        <v/>
      </c>
      <c r="D24" s="205"/>
      <c r="E24" s="207" t="str">
        <f t="shared" si="1"/>
        <v/>
      </c>
      <c r="F24" s="208" t="str">
        <f>IF($A24="","",$E24*Summary!$B$8)</f>
        <v/>
      </c>
      <c r="G24" s="208" t="str">
        <f>IF($A24="","",F24*Summary!$B$9)</f>
        <v/>
      </c>
      <c r="H24" s="207" t="str">
        <f>IF($A24="","",SUMIFS('Raw daily data'!$F:$F,'Raw daily data'!$I:$I,$A24))</f>
        <v/>
      </c>
      <c r="I24" s="207" t="str">
        <f t="shared" si="2"/>
        <v/>
      </c>
      <c r="J24" s="209" t="str">
        <f t="shared" si="3"/>
        <v/>
      </c>
      <c r="K24" s="207" t="str">
        <f>IF($A24="","",Summary!$B$6)</f>
        <v/>
      </c>
      <c r="L24" s="207" t="str">
        <f t="shared" si="10"/>
        <v/>
      </c>
      <c r="M24" s="205"/>
      <c r="N24" s="206" t="str">
        <f>IF($A24="","",COUNTIFS('Raw daily data'!$I:$I,$A24))</f>
        <v/>
      </c>
      <c r="O24" s="206" t="str">
        <f>IF($A24="","",COUNTIFS('Raw daily data'!$I:$I,$A24,'Raw daily data'!$F:$F,"&gt;0"))</f>
        <v/>
      </c>
      <c r="P24" s="206" t="str">
        <f>IF($A24="","",COUNTIFS('Raw daily data'!$I:$I,$A24,'Raw daily data'!$F:$F,"&lt;0"))</f>
        <v/>
      </c>
      <c r="Q24" s="208" t="str">
        <f>IF($A24="","",SUMIFS('Raw daily data'!$F:$F,'Raw daily data'!$I:$I,$A24,'Raw daily data'!$F:$F,"&gt;0"))</f>
        <v/>
      </c>
      <c r="R24" s="208" t="str">
        <f>IF($A24="","",ABS(SUMIFS('Raw daily data'!$F:$F,'Raw daily data'!$I:$I,$A24,'Raw daily data'!$F:$F,"&lt;0")))</f>
        <v/>
      </c>
      <c r="S24" s="210" t="str">
        <f t="shared" si="11"/>
        <v/>
      </c>
      <c r="T24" s="211" t="str">
        <f t="shared" si="12"/>
        <v/>
      </c>
      <c r="U24" s="212" t="str">
        <f t="shared" si="13"/>
        <v/>
      </c>
      <c r="V24" s="210" t="str">
        <f t="shared" si="14"/>
        <v/>
      </c>
      <c r="W24" s="208" t="str">
        <f>IF($A24="","",_xlfn.MAXIFS('Raw daily data'!$J:$J,'Raw daily data'!$I:$I,$A24))</f>
        <v/>
      </c>
      <c r="X24" s="178" t="str">
        <f t="shared" si="9"/>
        <v/>
      </c>
      <c r="Y24" s="178" t="str">
        <f>IF($A24="","",IFERROR(ABS(MIN(0,_xlfn.MINIFS('Raw daily data'!$J:$J,'Raw daily data'!$I:$I,$A24)))/G24,""))</f>
        <v/>
      </c>
    </row>
    <row r="25" spans="1:25">
      <c r="A25" s="214"/>
      <c r="B25" s="205"/>
      <c r="C25" s="206" t="str">
        <f t="shared" si="0"/>
        <v/>
      </c>
      <c r="D25" s="205"/>
      <c r="E25" s="207" t="str">
        <f t="shared" si="1"/>
        <v/>
      </c>
      <c r="F25" s="208" t="str">
        <f>IF($A25="","",$E25*Summary!$B$8)</f>
        <v/>
      </c>
      <c r="G25" s="208" t="str">
        <f>IF($A25="","",F25*Summary!$B$9)</f>
        <v/>
      </c>
      <c r="H25" s="207" t="str">
        <f>IF($A25="","",SUMIFS('Raw daily data'!$F:$F,'Raw daily data'!$I:$I,$A25))</f>
        <v/>
      </c>
      <c r="I25" s="207" t="str">
        <f t="shared" si="2"/>
        <v/>
      </c>
      <c r="J25" s="209" t="str">
        <f t="shared" si="3"/>
        <v/>
      </c>
      <c r="K25" s="207" t="str">
        <f>IF($A25="","",Summary!$B$6)</f>
        <v/>
      </c>
      <c r="L25" s="207" t="str">
        <f t="shared" si="10"/>
        <v/>
      </c>
      <c r="M25" s="205"/>
      <c r="N25" s="206" t="str">
        <f>IF($A25="","",COUNTIFS('Raw daily data'!$I:$I,$A25))</f>
        <v/>
      </c>
      <c r="O25" s="206" t="str">
        <f>IF($A25="","",COUNTIFS('Raw daily data'!$I:$I,$A25,'Raw daily data'!$F:$F,"&gt;0"))</f>
        <v/>
      </c>
      <c r="P25" s="206" t="str">
        <f>IF($A25="","",COUNTIFS('Raw daily data'!$I:$I,$A25,'Raw daily data'!$F:$F,"&lt;0"))</f>
        <v/>
      </c>
      <c r="Q25" s="208" t="str">
        <f>IF($A25="","",SUMIFS('Raw daily data'!$F:$F,'Raw daily data'!$I:$I,$A25,'Raw daily data'!$F:$F,"&gt;0"))</f>
        <v/>
      </c>
      <c r="R25" s="208" t="str">
        <f>IF($A25="","",ABS(SUMIFS('Raw daily data'!$F:$F,'Raw daily data'!$I:$I,$A25,'Raw daily data'!$F:$F,"&lt;0")))</f>
        <v/>
      </c>
      <c r="S25" s="210" t="str">
        <f t="shared" si="11"/>
        <v/>
      </c>
      <c r="T25" s="211" t="str">
        <f t="shared" si="12"/>
        <v/>
      </c>
      <c r="U25" s="212" t="str">
        <f t="shared" si="13"/>
        <v/>
      </c>
      <c r="V25" s="210" t="str">
        <f t="shared" si="14"/>
        <v/>
      </c>
      <c r="W25" s="208" t="str">
        <f>IF($A25="","",_xlfn.MAXIFS('Raw daily data'!$J:$J,'Raw daily data'!$I:$I,$A25))</f>
        <v/>
      </c>
      <c r="X25" s="178" t="str">
        <f t="shared" si="9"/>
        <v/>
      </c>
      <c r="Y25" s="178" t="str">
        <f>IF($A25="","",IFERROR(ABS(MIN(0,_xlfn.MINIFS('Raw daily data'!$J:$J,'Raw daily data'!$I:$I,$A25)))/G25,""))</f>
        <v/>
      </c>
    </row>
    <row r="26" spans="1:25">
      <c r="A26" s="214"/>
      <c r="B26" s="205"/>
      <c r="C26" s="206" t="str">
        <f t="shared" si="0"/>
        <v/>
      </c>
      <c r="D26" s="205"/>
      <c r="E26" s="207" t="str">
        <f t="shared" si="1"/>
        <v/>
      </c>
      <c r="F26" s="208" t="str">
        <f>IF($A26="","",$E26*Summary!$B$8)</f>
        <v/>
      </c>
      <c r="G26" s="208" t="str">
        <f>IF($A26="","",F26*Summary!$B$9)</f>
        <v/>
      </c>
      <c r="H26" s="207" t="str">
        <f>IF($A26="","",SUMIFS('Raw daily data'!$F:$F,'Raw daily data'!$I:$I,$A26))</f>
        <v/>
      </c>
      <c r="I26" s="207" t="str">
        <f t="shared" si="2"/>
        <v/>
      </c>
      <c r="J26" s="209" t="str">
        <f t="shared" si="3"/>
        <v/>
      </c>
      <c r="K26" s="207" t="str">
        <f>IF($A26="","",Summary!$B$6)</f>
        <v/>
      </c>
      <c r="L26" s="207" t="str">
        <f t="shared" si="10"/>
        <v/>
      </c>
      <c r="M26" s="205"/>
      <c r="N26" s="206" t="str">
        <f>IF($A26="","",COUNTIFS('Raw daily data'!$I:$I,$A26))</f>
        <v/>
      </c>
      <c r="O26" s="206" t="str">
        <f>IF($A26="","",COUNTIFS('Raw daily data'!$I:$I,$A26,'Raw daily data'!$F:$F,"&gt;0"))</f>
        <v/>
      </c>
      <c r="P26" s="206" t="str">
        <f>IF($A26="","",COUNTIFS('Raw daily data'!$I:$I,$A26,'Raw daily data'!$F:$F,"&lt;0"))</f>
        <v/>
      </c>
      <c r="Q26" s="208" t="str">
        <f>IF($A26="","",SUMIFS('Raw daily data'!$F:$F,'Raw daily data'!$I:$I,$A26,'Raw daily data'!$F:$F,"&gt;0"))</f>
        <v/>
      </c>
      <c r="R26" s="208" t="str">
        <f>IF($A26="","",ABS(SUMIFS('Raw daily data'!$F:$F,'Raw daily data'!$I:$I,$A26,'Raw daily data'!$F:$F,"&lt;0")))</f>
        <v/>
      </c>
      <c r="S26" s="210" t="str">
        <f t="shared" si="11"/>
        <v/>
      </c>
      <c r="T26" s="211" t="str">
        <f t="shared" si="12"/>
        <v/>
      </c>
      <c r="U26" s="212" t="str">
        <f t="shared" si="13"/>
        <v/>
      </c>
      <c r="V26" s="210" t="str">
        <f t="shared" si="14"/>
        <v/>
      </c>
      <c r="W26" s="208" t="str">
        <f>IF($A26="","",_xlfn.MAXIFS('Raw daily data'!$J:$J,'Raw daily data'!$I:$I,$A26))</f>
        <v/>
      </c>
      <c r="X26" s="178" t="str">
        <f t="shared" si="9"/>
        <v/>
      </c>
      <c r="Y26" s="178" t="str">
        <f>IF($A26="","",IFERROR(ABS(MIN(0,_xlfn.MINIFS('Raw daily data'!$J:$J,'Raw daily data'!$I:$I,$A26)))/G26,""))</f>
        <v/>
      </c>
    </row>
    <row r="27" spans="1:25">
      <c r="A27" s="214"/>
      <c r="B27" s="205"/>
      <c r="C27" s="206" t="str">
        <f t="shared" si="0"/>
        <v/>
      </c>
      <c r="D27" s="205"/>
      <c r="E27" s="207" t="str">
        <f t="shared" si="1"/>
        <v/>
      </c>
      <c r="F27" s="208" t="str">
        <f>IF($A27="","",$E27*Summary!$B$8)</f>
        <v/>
      </c>
      <c r="G27" s="208" t="str">
        <f>IF($A27="","",F27*Summary!$B$9)</f>
        <v/>
      </c>
      <c r="H27" s="207" t="str">
        <f>IF($A27="","",SUMIFS('Raw daily data'!$F:$F,'Raw daily data'!$I:$I,$A27))</f>
        <v/>
      </c>
      <c r="I27" s="207" t="str">
        <f t="shared" si="2"/>
        <v/>
      </c>
      <c r="J27" s="209" t="str">
        <f t="shared" si="3"/>
        <v/>
      </c>
      <c r="K27" s="207" t="str">
        <f>IF($A27="","",Summary!$B$6)</f>
        <v/>
      </c>
      <c r="L27" s="207" t="str">
        <f t="shared" si="10"/>
        <v/>
      </c>
      <c r="M27" s="205"/>
      <c r="N27" s="206" t="str">
        <f>IF($A27="","",COUNTIFS('Raw daily data'!$I:$I,$A27))</f>
        <v/>
      </c>
      <c r="O27" s="206" t="str">
        <f>IF($A27="","",COUNTIFS('Raw daily data'!$I:$I,$A27,'Raw daily data'!$F:$F,"&gt;0"))</f>
        <v/>
      </c>
      <c r="P27" s="206" t="str">
        <f>IF($A27="","",COUNTIFS('Raw daily data'!$I:$I,$A27,'Raw daily data'!$F:$F,"&lt;0"))</f>
        <v/>
      </c>
      <c r="Q27" s="208" t="str">
        <f>IF($A27="","",SUMIFS('Raw daily data'!$F:$F,'Raw daily data'!$I:$I,$A27,'Raw daily data'!$F:$F,"&gt;0"))</f>
        <v/>
      </c>
      <c r="R27" s="208" t="str">
        <f>IF($A27="","",ABS(SUMIFS('Raw daily data'!$F:$F,'Raw daily data'!$I:$I,$A27,'Raw daily data'!$F:$F,"&lt;0")))</f>
        <v/>
      </c>
      <c r="S27" s="210" t="str">
        <f t="shared" si="11"/>
        <v/>
      </c>
      <c r="T27" s="211" t="str">
        <f t="shared" si="12"/>
        <v/>
      </c>
      <c r="U27" s="212" t="str">
        <f t="shared" si="13"/>
        <v/>
      </c>
      <c r="V27" s="210" t="str">
        <f t="shared" si="14"/>
        <v/>
      </c>
      <c r="W27" s="208" t="str">
        <f>IF($A27="","",_xlfn.MAXIFS('Raw daily data'!$J:$J,'Raw daily data'!$I:$I,$A27))</f>
        <v/>
      </c>
      <c r="X27" s="178" t="str">
        <f t="shared" si="9"/>
        <v/>
      </c>
      <c r="Y27" s="178" t="str">
        <f>IF($A27="","",IFERROR(ABS(MIN(0,_xlfn.MINIFS('Raw daily data'!$J:$J,'Raw daily data'!$I:$I,$A27)))/G27,""))</f>
        <v/>
      </c>
    </row>
    <row r="28" spans="1:25">
      <c r="A28" s="214"/>
      <c r="B28" s="205"/>
      <c r="C28" s="206" t="str">
        <f t="shared" si="0"/>
        <v/>
      </c>
      <c r="D28" s="205"/>
      <c r="E28" s="207" t="str">
        <f t="shared" si="1"/>
        <v/>
      </c>
      <c r="F28" s="208" t="str">
        <f>IF($A28="","",$E28*Summary!$B$8)</f>
        <v/>
      </c>
      <c r="G28" s="208" t="str">
        <f>IF($A28="","",F28*Summary!$B$9)</f>
        <v/>
      </c>
      <c r="H28" s="207" t="str">
        <f>IF($A28="","",SUMIFS('Raw daily data'!$F:$F,'Raw daily data'!$I:$I,$A28))</f>
        <v/>
      </c>
      <c r="I28" s="207" t="str">
        <f t="shared" si="2"/>
        <v/>
      </c>
      <c r="J28" s="209" t="str">
        <f t="shared" si="3"/>
        <v/>
      </c>
      <c r="K28" s="207" t="str">
        <f>IF($A28="","",Summary!$B$6)</f>
        <v/>
      </c>
      <c r="L28" s="207" t="str">
        <f t="shared" si="10"/>
        <v/>
      </c>
      <c r="M28" s="205"/>
      <c r="N28" s="206" t="str">
        <f>IF($A28="","",COUNTIFS('Raw daily data'!$I:$I,$A28))</f>
        <v/>
      </c>
      <c r="O28" s="206" t="str">
        <f>IF($A28="","",COUNTIFS('Raw daily data'!$I:$I,$A28,'Raw daily data'!$F:$F,"&gt;0"))</f>
        <v/>
      </c>
      <c r="P28" s="206" t="str">
        <f>IF($A28="","",COUNTIFS('Raw daily data'!$I:$I,$A28,'Raw daily data'!$F:$F,"&lt;0"))</f>
        <v/>
      </c>
      <c r="Q28" s="208" t="str">
        <f>IF($A28="","",SUMIFS('Raw daily data'!$F:$F,'Raw daily data'!$I:$I,$A28,'Raw daily data'!$F:$F,"&gt;0"))</f>
        <v/>
      </c>
      <c r="R28" s="208" t="str">
        <f>IF($A28="","",ABS(SUMIFS('Raw daily data'!$F:$F,'Raw daily data'!$I:$I,$A28,'Raw daily data'!$F:$F,"&lt;0")))</f>
        <v/>
      </c>
      <c r="S28" s="210" t="str">
        <f t="shared" si="11"/>
        <v/>
      </c>
      <c r="T28" s="211" t="str">
        <f t="shared" si="12"/>
        <v/>
      </c>
      <c r="U28" s="212" t="str">
        <f t="shared" si="13"/>
        <v/>
      </c>
      <c r="V28" s="210" t="str">
        <f t="shared" si="14"/>
        <v/>
      </c>
      <c r="W28" s="208" t="str">
        <f>IF($A28="","",_xlfn.MAXIFS('Raw daily data'!$J:$J,'Raw daily data'!$I:$I,$A28))</f>
        <v/>
      </c>
      <c r="X28" s="178" t="str">
        <f t="shared" si="9"/>
        <v/>
      </c>
      <c r="Y28" s="178" t="str">
        <f>IF($A28="","",IFERROR(ABS(MIN(0,_xlfn.MINIFS('Raw daily data'!$J:$J,'Raw daily data'!$I:$I,$A28)))/G28,""))</f>
        <v/>
      </c>
    </row>
    <row r="29" spans="1:25">
      <c r="A29" s="214"/>
      <c r="B29" s="205"/>
      <c r="C29" s="206" t="str">
        <f t="shared" si="0"/>
        <v/>
      </c>
      <c r="D29" s="205"/>
      <c r="E29" s="207" t="str">
        <f t="shared" si="1"/>
        <v/>
      </c>
      <c r="F29" s="208" t="str">
        <f>IF($A29="","",$E29*Summary!$B$8)</f>
        <v/>
      </c>
      <c r="G29" s="208" t="str">
        <f>IF($A29="","",F29*Summary!$B$9)</f>
        <v/>
      </c>
      <c r="H29" s="207" t="str">
        <f>IF($A29="","",SUMIFS('Raw daily data'!$F:$F,'Raw daily data'!$I:$I,$A29))</f>
        <v/>
      </c>
      <c r="I29" s="207" t="str">
        <f t="shared" si="2"/>
        <v/>
      </c>
      <c r="J29" s="209" t="str">
        <f t="shared" si="3"/>
        <v/>
      </c>
      <c r="K29" s="207" t="str">
        <f>IF($A29="","",Summary!$B$6)</f>
        <v/>
      </c>
      <c r="L29" s="207" t="str">
        <f t="shared" si="10"/>
        <v/>
      </c>
      <c r="M29" s="205"/>
      <c r="N29" s="206" t="str">
        <f>IF($A29="","",COUNTIFS('Raw daily data'!$I:$I,$A29))</f>
        <v/>
      </c>
      <c r="O29" s="206" t="str">
        <f>IF($A29="","",COUNTIFS('Raw daily data'!$I:$I,$A29,'Raw daily data'!$F:$F,"&gt;0"))</f>
        <v/>
      </c>
      <c r="P29" s="206" t="str">
        <f>IF($A29="","",COUNTIFS('Raw daily data'!$I:$I,$A29,'Raw daily data'!$F:$F,"&lt;0"))</f>
        <v/>
      </c>
      <c r="Q29" s="208" t="str">
        <f>IF($A29="","",SUMIFS('Raw daily data'!$F:$F,'Raw daily data'!$I:$I,$A29,'Raw daily data'!$F:$F,"&gt;0"))</f>
        <v/>
      </c>
      <c r="R29" s="208" t="str">
        <f>IF($A29="","",ABS(SUMIFS('Raw daily data'!$F:$F,'Raw daily data'!$I:$I,$A29,'Raw daily data'!$F:$F,"&lt;0")))</f>
        <v/>
      </c>
      <c r="S29" s="210" t="str">
        <f t="shared" si="11"/>
        <v/>
      </c>
      <c r="T29" s="211" t="str">
        <f t="shared" si="12"/>
        <v/>
      </c>
      <c r="U29" s="212" t="str">
        <f t="shared" si="13"/>
        <v/>
      </c>
      <c r="V29" s="210" t="str">
        <f t="shared" si="14"/>
        <v/>
      </c>
      <c r="W29" s="208" t="str">
        <f>IF($A29="","",_xlfn.MAXIFS('Raw daily data'!$J:$J,'Raw daily data'!$I:$I,$A29))</f>
        <v/>
      </c>
      <c r="X29" s="178" t="str">
        <f t="shared" si="9"/>
        <v/>
      </c>
      <c r="Y29" s="178" t="str">
        <f>IF($A29="","",IFERROR(ABS(MIN(0,_xlfn.MINIFS('Raw daily data'!$J:$J,'Raw daily data'!$I:$I,$A29)))/G29,""))</f>
        <v/>
      </c>
    </row>
    <row r="30" spans="1:25">
      <c r="A30" s="214"/>
      <c r="B30" s="205"/>
      <c r="C30" s="206" t="str">
        <f t="shared" si="0"/>
        <v/>
      </c>
      <c r="D30" s="205"/>
      <c r="E30" s="207" t="str">
        <f t="shared" si="1"/>
        <v/>
      </c>
      <c r="F30" s="208" t="str">
        <f>IF($A30="","",$E30*Summary!$B$8)</f>
        <v/>
      </c>
      <c r="G30" s="208" t="str">
        <f>IF($A30="","",F30*Summary!$B$9)</f>
        <v/>
      </c>
      <c r="H30" s="207" t="str">
        <f>IF($A30="","",SUMIFS('Raw daily data'!$F:$F,'Raw daily data'!$I:$I,$A30))</f>
        <v/>
      </c>
      <c r="I30" s="207" t="str">
        <f t="shared" si="2"/>
        <v/>
      </c>
      <c r="J30" s="209" t="str">
        <f t="shared" si="3"/>
        <v/>
      </c>
      <c r="K30" s="207" t="str">
        <f>IF($A30="","",Summary!$B$6)</f>
        <v/>
      </c>
      <c r="L30" s="207" t="str">
        <f t="shared" si="10"/>
        <v/>
      </c>
      <c r="M30" s="205"/>
      <c r="N30" s="206" t="str">
        <f>IF($A30="","",COUNTIFS('Raw daily data'!$I:$I,$A30))</f>
        <v/>
      </c>
      <c r="O30" s="206" t="str">
        <f>IF($A30="","",COUNTIFS('Raw daily data'!$I:$I,$A30,'Raw daily data'!$F:$F,"&gt;0"))</f>
        <v/>
      </c>
      <c r="P30" s="206" t="str">
        <f>IF($A30="","",COUNTIFS('Raw daily data'!$I:$I,$A30,'Raw daily data'!$F:$F,"&lt;0"))</f>
        <v/>
      </c>
      <c r="Q30" s="208" t="str">
        <f>IF($A30="","",SUMIFS('Raw daily data'!$F:$F,'Raw daily data'!$I:$I,$A30,'Raw daily data'!$F:$F,"&gt;0"))</f>
        <v/>
      </c>
      <c r="R30" s="208" t="str">
        <f>IF($A30="","",ABS(SUMIFS('Raw daily data'!$F:$F,'Raw daily data'!$I:$I,$A30,'Raw daily data'!$F:$F,"&lt;0")))</f>
        <v/>
      </c>
      <c r="S30" s="210" t="str">
        <f t="shared" si="11"/>
        <v/>
      </c>
      <c r="T30" s="211" t="str">
        <f t="shared" si="12"/>
        <v/>
      </c>
      <c r="U30" s="212" t="str">
        <f t="shared" si="13"/>
        <v/>
      </c>
      <c r="V30" s="210" t="str">
        <f t="shared" si="14"/>
        <v/>
      </c>
      <c r="W30" s="208" t="str">
        <f>IF($A30="","",_xlfn.MAXIFS('Raw daily data'!$J:$J,'Raw daily data'!$I:$I,$A30))</f>
        <v/>
      </c>
      <c r="X30" s="178" t="str">
        <f t="shared" si="9"/>
        <v/>
      </c>
      <c r="Y30" s="178" t="str">
        <f>IF($A30="","",IFERROR(ABS(MIN(0,_xlfn.MINIFS('Raw daily data'!$J:$J,'Raw daily data'!$I:$I,$A30)))/G30,""))</f>
        <v/>
      </c>
    </row>
    <row r="31" spans="1:25">
      <c r="A31" s="214"/>
      <c r="B31" s="205"/>
      <c r="C31" s="206" t="str">
        <f t="shared" si="0"/>
        <v/>
      </c>
      <c r="D31" s="205"/>
      <c r="E31" s="207" t="str">
        <f t="shared" si="1"/>
        <v/>
      </c>
      <c r="F31" s="208" t="str">
        <f>IF($A31="","",$E31*Summary!$B$8)</f>
        <v/>
      </c>
      <c r="G31" s="208" t="str">
        <f>IF($A31="","",F31*Summary!$B$9)</f>
        <v/>
      </c>
      <c r="H31" s="207" t="str">
        <f>IF($A31="","",SUMIFS('Raw daily data'!$F:$F,'Raw daily data'!$I:$I,$A31))</f>
        <v/>
      </c>
      <c r="I31" s="207" t="str">
        <f t="shared" si="2"/>
        <v/>
      </c>
      <c r="J31" s="209" t="str">
        <f t="shared" si="3"/>
        <v/>
      </c>
      <c r="K31" s="207" t="str">
        <f>IF($A31="","",Summary!$B$6)</f>
        <v/>
      </c>
      <c r="L31" s="207" t="str">
        <f t="shared" si="10"/>
        <v/>
      </c>
      <c r="M31" s="205"/>
      <c r="N31" s="206" t="str">
        <f>IF($A31="","",COUNTIFS('Raw daily data'!$I:$I,$A31))</f>
        <v/>
      </c>
      <c r="O31" s="206" t="str">
        <f>IF($A31="","",COUNTIFS('Raw daily data'!$I:$I,$A31,'Raw daily data'!$F:$F,"&gt;0"))</f>
        <v/>
      </c>
      <c r="P31" s="206" t="str">
        <f>IF($A31="","",COUNTIFS('Raw daily data'!$I:$I,$A31,'Raw daily data'!$F:$F,"&lt;0"))</f>
        <v/>
      </c>
      <c r="Q31" s="208" t="str">
        <f>IF($A31="","",SUMIFS('Raw daily data'!$F:$F,'Raw daily data'!$I:$I,$A31,'Raw daily data'!$F:$F,"&gt;0"))</f>
        <v/>
      </c>
      <c r="R31" s="208" t="str">
        <f>IF($A31="","",ABS(SUMIFS('Raw daily data'!$F:$F,'Raw daily data'!$I:$I,$A31,'Raw daily data'!$F:$F,"&lt;0")))</f>
        <v/>
      </c>
      <c r="S31" s="210" t="str">
        <f t="shared" si="11"/>
        <v/>
      </c>
      <c r="T31" s="211" t="str">
        <f t="shared" si="12"/>
        <v/>
      </c>
      <c r="U31" s="212" t="str">
        <f t="shared" si="13"/>
        <v/>
      </c>
      <c r="V31" s="210" t="str">
        <f t="shared" si="14"/>
        <v/>
      </c>
      <c r="W31" s="208" t="str">
        <f>IF($A31="","",_xlfn.MAXIFS('Raw daily data'!$J:$J,'Raw daily data'!$I:$I,$A31))</f>
        <v/>
      </c>
      <c r="X31" s="178" t="str">
        <f t="shared" si="9"/>
        <v/>
      </c>
      <c r="Y31" s="178" t="str">
        <f>IF($A31="","",IFERROR(ABS(MIN(0,_xlfn.MINIFS('Raw daily data'!$J:$J,'Raw daily data'!$I:$I,$A31)))/G31,""))</f>
        <v/>
      </c>
    </row>
    <row r="32" spans="1:25">
      <c r="A32" s="214"/>
      <c r="B32" s="205"/>
      <c r="C32" s="206" t="str">
        <f t="shared" si="0"/>
        <v/>
      </c>
      <c r="D32" s="205"/>
      <c r="E32" s="207" t="str">
        <f t="shared" si="1"/>
        <v/>
      </c>
      <c r="F32" s="208" t="str">
        <f>IF($A32="","",$E32*Summary!$B$8)</f>
        <v/>
      </c>
      <c r="G32" s="208" t="str">
        <f>IF($A32="","",F32*Summary!$B$9)</f>
        <v/>
      </c>
      <c r="H32" s="207" t="str">
        <f>IF($A32="","",SUMIFS('Raw daily data'!$F:$F,'Raw daily data'!$I:$I,$A32))</f>
        <v/>
      </c>
      <c r="I32" s="207" t="str">
        <f t="shared" si="2"/>
        <v/>
      </c>
      <c r="J32" s="209" t="str">
        <f t="shared" si="3"/>
        <v/>
      </c>
      <c r="K32" s="207" t="str">
        <f>IF($A32="","",Summary!$B$6)</f>
        <v/>
      </c>
      <c r="L32" s="207" t="str">
        <f t="shared" si="10"/>
        <v/>
      </c>
      <c r="M32" s="205"/>
      <c r="N32" s="206" t="str">
        <f>IF($A32="","",COUNTIFS('Raw daily data'!$I:$I,$A32))</f>
        <v/>
      </c>
      <c r="O32" s="206" t="str">
        <f>IF($A32="","",COUNTIFS('Raw daily data'!$I:$I,$A32,'Raw daily data'!$F:$F,"&gt;0"))</f>
        <v/>
      </c>
      <c r="P32" s="206" t="str">
        <f>IF($A32="","",COUNTIFS('Raw daily data'!$I:$I,$A32,'Raw daily data'!$F:$F,"&lt;0"))</f>
        <v/>
      </c>
      <c r="Q32" s="208" t="str">
        <f>IF($A32="","",SUMIFS('Raw daily data'!$F:$F,'Raw daily data'!$I:$I,$A32,'Raw daily data'!$F:$F,"&gt;0"))</f>
        <v/>
      </c>
      <c r="R32" s="208" t="str">
        <f>IF($A32="","",ABS(SUMIFS('Raw daily data'!$F:$F,'Raw daily data'!$I:$I,$A32,'Raw daily data'!$F:$F,"&lt;0")))</f>
        <v/>
      </c>
      <c r="S32" s="210" t="str">
        <f t="shared" si="11"/>
        <v/>
      </c>
      <c r="T32" s="211" t="str">
        <f t="shared" si="12"/>
        <v/>
      </c>
      <c r="U32" s="212" t="str">
        <f t="shared" si="13"/>
        <v/>
      </c>
      <c r="V32" s="210" t="str">
        <f t="shared" si="14"/>
        <v/>
      </c>
      <c r="W32" s="208" t="str">
        <f>IF($A32="","",_xlfn.MAXIFS('Raw daily data'!$J:$J,'Raw daily data'!$I:$I,$A32))</f>
        <v/>
      </c>
      <c r="X32" s="178" t="str">
        <f t="shared" si="9"/>
        <v/>
      </c>
      <c r="Y32" s="178" t="str">
        <f>IF($A32="","",IFERROR(ABS(MIN(0,_xlfn.MINIFS('Raw daily data'!$J:$J,'Raw daily data'!$I:$I,$A32)))/G32,""))</f>
        <v/>
      </c>
    </row>
    <row r="33" spans="1:25">
      <c r="A33" s="214"/>
      <c r="B33" s="205"/>
      <c r="C33" s="206" t="str">
        <f t="shared" si="0"/>
        <v/>
      </c>
      <c r="D33" s="205"/>
      <c r="E33" s="207" t="str">
        <f t="shared" si="1"/>
        <v/>
      </c>
      <c r="F33" s="208" t="str">
        <f>IF($A33="","",$E33*Summary!$B$8)</f>
        <v/>
      </c>
      <c r="G33" s="208" t="str">
        <f>IF($A33="","",F33*Summary!$B$9)</f>
        <v/>
      </c>
      <c r="H33" s="207" t="str">
        <f>IF($A33="","",SUMIFS('Raw daily data'!$F:$F,'Raw daily data'!$I:$I,$A33))</f>
        <v/>
      </c>
      <c r="I33" s="207" t="str">
        <f t="shared" si="2"/>
        <v/>
      </c>
      <c r="J33" s="209" t="str">
        <f t="shared" si="3"/>
        <v/>
      </c>
      <c r="K33" s="207" t="str">
        <f>IF($A33="","",Summary!$B$6)</f>
        <v/>
      </c>
      <c r="L33" s="207" t="str">
        <f t="shared" si="10"/>
        <v/>
      </c>
      <c r="M33" s="205"/>
      <c r="N33" s="206" t="str">
        <f>IF($A33="","",COUNTIFS('Raw daily data'!$I:$I,$A33))</f>
        <v/>
      </c>
      <c r="O33" s="206" t="str">
        <f>IF($A33="","",COUNTIFS('Raw daily data'!$I:$I,$A33,'Raw daily data'!$F:$F,"&gt;0"))</f>
        <v/>
      </c>
      <c r="P33" s="206" t="str">
        <f>IF($A33="","",COUNTIFS('Raw daily data'!$I:$I,$A33,'Raw daily data'!$F:$F,"&lt;0"))</f>
        <v/>
      </c>
      <c r="Q33" s="208" t="str">
        <f>IF($A33="","",SUMIFS('Raw daily data'!$F:$F,'Raw daily data'!$I:$I,$A33,'Raw daily data'!$F:$F,"&gt;0"))</f>
        <v/>
      </c>
      <c r="R33" s="208" t="str">
        <f>IF($A33="","",ABS(SUMIFS('Raw daily data'!$F:$F,'Raw daily data'!$I:$I,$A33,'Raw daily data'!$F:$F,"&lt;0")))</f>
        <v/>
      </c>
      <c r="S33" s="210" t="str">
        <f t="shared" si="11"/>
        <v/>
      </c>
      <c r="T33" s="211" t="str">
        <f t="shared" si="12"/>
        <v/>
      </c>
      <c r="U33" s="212" t="str">
        <f t="shared" si="13"/>
        <v/>
      </c>
      <c r="V33" s="210" t="str">
        <f t="shared" si="14"/>
        <v/>
      </c>
      <c r="W33" s="208" t="str">
        <f>IF($A33="","",_xlfn.MAXIFS('Raw daily data'!$J:$J,'Raw daily data'!$I:$I,$A33))</f>
        <v/>
      </c>
      <c r="X33" s="178" t="str">
        <f t="shared" si="9"/>
        <v/>
      </c>
      <c r="Y33" s="178" t="str">
        <f>IF($A33="","",IFERROR(ABS(MIN(0,_xlfn.MINIFS('Raw daily data'!$J:$J,'Raw daily data'!$I:$I,$A33)))/G33,""))</f>
        <v/>
      </c>
    </row>
    <row r="34" spans="1:25">
      <c r="A34" s="214"/>
      <c r="B34" s="205"/>
      <c r="C34" s="206" t="str">
        <f t="shared" si="0"/>
        <v/>
      </c>
      <c r="D34" s="205"/>
      <c r="E34" s="207" t="str">
        <f t="shared" si="1"/>
        <v/>
      </c>
      <c r="F34" s="208" t="str">
        <f>IF($A34="","",$E34*Summary!$B$8)</f>
        <v/>
      </c>
      <c r="G34" s="208" t="str">
        <f>IF($A34="","",F34*Summary!$B$9)</f>
        <v/>
      </c>
      <c r="H34" s="207" t="str">
        <f>IF($A34="","",SUMIFS('Raw daily data'!$F:$F,'Raw daily data'!$I:$I,$A34))</f>
        <v/>
      </c>
      <c r="I34" s="207" t="str">
        <f t="shared" si="2"/>
        <v/>
      </c>
      <c r="J34" s="209" t="str">
        <f t="shared" ref="J34:J65" si="15">IF($A34="","",SUMIF($B$2:$B$100,B34,$H$2:$H$100))</f>
        <v/>
      </c>
      <c r="K34" s="207" t="str">
        <f>IF($A34="","",Summary!$B$6)</f>
        <v/>
      </c>
      <c r="L34" s="207" t="str">
        <f t="shared" si="10"/>
        <v/>
      </c>
      <c r="M34" s="205"/>
      <c r="N34" s="206" t="str">
        <f>IF($A34="","",COUNTIFS('Raw daily data'!$I:$I,$A34))</f>
        <v/>
      </c>
      <c r="O34" s="206" t="str">
        <f>IF($A34="","",COUNTIFS('Raw daily data'!$I:$I,$A34,'Raw daily data'!$F:$F,"&gt;0"))</f>
        <v/>
      </c>
      <c r="P34" s="206" t="str">
        <f>IF($A34="","",COUNTIFS('Raw daily data'!$I:$I,$A34,'Raw daily data'!$F:$F,"&lt;0"))</f>
        <v/>
      </c>
      <c r="Q34" s="208" t="str">
        <f>IF($A34="","",SUMIFS('Raw daily data'!$F:$F,'Raw daily data'!$I:$I,$A34,'Raw daily data'!$F:$F,"&gt;0"))</f>
        <v/>
      </c>
      <c r="R34" s="208" t="str">
        <f>IF($A34="","",ABS(SUMIFS('Raw daily data'!$F:$F,'Raw daily data'!$I:$I,$A34,'Raw daily data'!$F:$F,"&lt;0")))</f>
        <v/>
      </c>
      <c r="S34" s="210" t="str">
        <f t="shared" si="11"/>
        <v/>
      </c>
      <c r="T34" s="211" t="str">
        <f t="shared" si="12"/>
        <v/>
      </c>
      <c r="U34" s="212" t="str">
        <f t="shared" si="13"/>
        <v/>
      </c>
      <c r="V34" s="210" t="str">
        <f t="shared" si="14"/>
        <v/>
      </c>
      <c r="W34" s="208" t="str">
        <f>IF($A34="","",_xlfn.MAXIFS('Raw daily data'!$J:$J,'Raw daily data'!$I:$I,$A34))</f>
        <v/>
      </c>
      <c r="X34" s="178" t="str">
        <f t="shared" si="9"/>
        <v/>
      </c>
      <c r="Y34" s="178" t="str">
        <f>IF($A34="","",IFERROR(ABS(MIN(0,_xlfn.MINIFS('Raw daily data'!$J:$J,'Raw daily data'!$I:$I,$A34)))/G34,""))</f>
        <v/>
      </c>
    </row>
    <row r="35" spans="1:25">
      <c r="A35" s="214"/>
      <c r="B35" s="205"/>
      <c r="C35" s="206" t="str">
        <f t="shared" si="0"/>
        <v/>
      </c>
      <c r="D35" s="205"/>
      <c r="E35" s="207" t="str">
        <f t="shared" si="1"/>
        <v/>
      </c>
      <c r="F35" s="208" t="str">
        <f>IF($A35="","",$E35*Summary!$B$8)</f>
        <v/>
      </c>
      <c r="G35" s="208" t="str">
        <f>IF($A35="","",F35*Summary!$B$9)</f>
        <v/>
      </c>
      <c r="H35" s="207" t="str">
        <f>IF($A35="","",SUMIFS('Raw daily data'!$F:$F,'Raw daily data'!$I:$I,$A35))</f>
        <v/>
      </c>
      <c r="I35" s="207" t="str">
        <f t="shared" si="2"/>
        <v/>
      </c>
      <c r="J35" s="209" t="str">
        <f t="shared" si="15"/>
        <v/>
      </c>
      <c r="K35" s="207" t="str">
        <f>IF($A35="","",Summary!$B$6)</f>
        <v/>
      </c>
      <c r="L35" s="207" t="str">
        <f t="shared" si="10"/>
        <v/>
      </c>
      <c r="M35" s="205"/>
      <c r="N35" s="206" t="str">
        <f>IF($A35="","",COUNTIFS('Raw daily data'!$I:$I,$A35))</f>
        <v/>
      </c>
      <c r="O35" s="206" t="str">
        <f>IF($A35="","",COUNTIFS('Raw daily data'!$I:$I,$A35,'Raw daily data'!$F:$F,"&gt;0"))</f>
        <v/>
      </c>
      <c r="P35" s="206" t="str">
        <f>IF($A35="","",COUNTIFS('Raw daily data'!$I:$I,$A35,'Raw daily data'!$F:$F,"&lt;0"))</f>
        <v/>
      </c>
      <c r="Q35" s="208" t="str">
        <f>IF($A35="","",SUMIFS('Raw daily data'!$F:$F,'Raw daily data'!$I:$I,$A35,'Raw daily data'!$F:$F,"&gt;0"))</f>
        <v/>
      </c>
      <c r="R35" s="208" t="str">
        <f>IF($A35="","",ABS(SUMIFS('Raw daily data'!$F:$F,'Raw daily data'!$I:$I,$A35,'Raw daily data'!$F:$F,"&lt;0")))</f>
        <v/>
      </c>
      <c r="S35" s="210" t="str">
        <f t="shared" si="11"/>
        <v/>
      </c>
      <c r="T35" s="211" t="str">
        <f t="shared" si="12"/>
        <v/>
      </c>
      <c r="U35" s="212" t="str">
        <f t="shared" si="13"/>
        <v/>
      </c>
      <c r="V35" s="210" t="str">
        <f t="shared" si="14"/>
        <v/>
      </c>
      <c r="W35" s="208" t="str">
        <f>IF($A35="","",_xlfn.MAXIFS('Raw daily data'!$J:$J,'Raw daily data'!$I:$I,$A35))</f>
        <v/>
      </c>
      <c r="X35" s="178" t="str">
        <f t="shared" si="9"/>
        <v/>
      </c>
      <c r="Y35" s="178" t="str">
        <f>IF($A35="","",IFERROR(ABS(MIN(0,_xlfn.MINIFS('Raw daily data'!$J:$J,'Raw daily data'!$I:$I,$A35)))/G35,""))</f>
        <v/>
      </c>
    </row>
    <row r="36" spans="1:25">
      <c r="A36" s="214"/>
      <c r="B36" s="205"/>
      <c r="C36" s="206" t="str">
        <f t="shared" si="0"/>
        <v/>
      </c>
      <c r="D36" s="205"/>
      <c r="E36" s="207" t="str">
        <f t="shared" si="1"/>
        <v/>
      </c>
      <c r="F36" s="208" t="str">
        <f>IF($A36="","",$E36*Summary!$B$8)</f>
        <v/>
      </c>
      <c r="G36" s="208" t="str">
        <f>IF($A36="","",F36*Summary!$B$9)</f>
        <v/>
      </c>
      <c r="H36" s="207" t="str">
        <f>IF($A36="","",SUMIFS('Raw daily data'!$F:$F,'Raw daily data'!$I:$I,$A36))</f>
        <v/>
      </c>
      <c r="I36" s="207" t="str">
        <f t="shared" si="2"/>
        <v/>
      </c>
      <c r="J36" s="209" t="str">
        <f t="shared" si="15"/>
        <v/>
      </c>
      <c r="K36" s="207" t="str">
        <f>IF($A36="","",Summary!$B$6)</f>
        <v/>
      </c>
      <c r="L36" s="207" t="str">
        <f t="shared" si="10"/>
        <v/>
      </c>
      <c r="M36" s="205"/>
      <c r="N36" s="206" t="str">
        <f>IF($A36="","",COUNTIFS('Raw daily data'!$I:$I,$A36))</f>
        <v/>
      </c>
      <c r="O36" s="206" t="str">
        <f>IF($A36="","",COUNTIFS('Raw daily data'!$I:$I,$A36,'Raw daily data'!$F:$F,"&gt;0"))</f>
        <v/>
      </c>
      <c r="P36" s="206" t="str">
        <f>IF($A36="","",COUNTIFS('Raw daily data'!$I:$I,$A36,'Raw daily data'!$F:$F,"&lt;0"))</f>
        <v/>
      </c>
      <c r="Q36" s="208" t="str">
        <f>IF($A36="","",SUMIFS('Raw daily data'!$F:$F,'Raw daily data'!$I:$I,$A36,'Raw daily data'!$F:$F,"&gt;0"))</f>
        <v/>
      </c>
      <c r="R36" s="208" t="str">
        <f>IF($A36="","",ABS(SUMIFS('Raw daily data'!$F:$F,'Raw daily data'!$I:$I,$A36,'Raw daily data'!$F:$F,"&lt;0")))</f>
        <v/>
      </c>
      <c r="S36" s="210" t="str">
        <f t="shared" si="11"/>
        <v/>
      </c>
      <c r="T36" s="211" t="str">
        <f t="shared" si="12"/>
        <v/>
      </c>
      <c r="U36" s="212" t="str">
        <f t="shared" si="13"/>
        <v/>
      </c>
      <c r="V36" s="210" t="str">
        <f t="shared" si="14"/>
        <v/>
      </c>
      <c r="W36" s="208" t="str">
        <f>IF($A36="","",_xlfn.MAXIFS('Raw daily data'!$J:$J,'Raw daily data'!$I:$I,$A36))</f>
        <v/>
      </c>
      <c r="X36" s="178" t="str">
        <f t="shared" si="9"/>
        <v/>
      </c>
      <c r="Y36" s="178" t="str">
        <f>IF($A36="","",IFERROR(ABS(MIN(0,_xlfn.MINIFS('Raw daily data'!$J:$J,'Raw daily data'!$I:$I,$A36)))/G36,""))</f>
        <v/>
      </c>
    </row>
    <row r="37" spans="1:25">
      <c r="A37" s="214"/>
      <c r="B37" s="205"/>
      <c r="C37" s="206" t="str">
        <f t="shared" si="0"/>
        <v/>
      </c>
      <c r="D37" s="205"/>
      <c r="E37" s="207" t="str">
        <f t="shared" si="1"/>
        <v/>
      </c>
      <c r="F37" s="208" t="str">
        <f>IF($A37="","",$E37*Summary!$B$8)</f>
        <v/>
      </c>
      <c r="G37" s="208" t="str">
        <f>IF($A37="","",F37*Summary!$B$9)</f>
        <v/>
      </c>
      <c r="H37" s="207" t="str">
        <f>IF($A37="","",SUMIFS('Raw daily data'!$F:$F,'Raw daily data'!$I:$I,$A37))</f>
        <v/>
      </c>
      <c r="I37" s="207" t="str">
        <f t="shared" si="2"/>
        <v/>
      </c>
      <c r="J37" s="209" t="str">
        <f t="shared" si="15"/>
        <v/>
      </c>
      <c r="K37" s="207" t="str">
        <f>IF($A37="","",Summary!$B$6)</f>
        <v/>
      </c>
      <c r="L37" s="207" t="str">
        <f t="shared" si="10"/>
        <v/>
      </c>
      <c r="M37" s="205"/>
      <c r="N37" s="206" t="str">
        <f>IF($A37="","",COUNTIFS('Raw daily data'!$I:$I,$A37))</f>
        <v/>
      </c>
      <c r="O37" s="206" t="str">
        <f>IF($A37="","",COUNTIFS('Raw daily data'!$I:$I,$A37,'Raw daily data'!$F:$F,"&gt;0"))</f>
        <v/>
      </c>
      <c r="P37" s="206" t="str">
        <f>IF($A37="","",COUNTIFS('Raw daily data'!$I:$I,$A37,'Raw daily data'!$F:$F,"&lt;0"))</f>
        <v/>
      </c>
      <c r="Q37" s="208" t="str">
        <f>IF($A37="","",SUMIFS('Raw daily data'!$F:$F,'Raw daily data'!$I:$I,$A37,'Raw daily data'!$F:$F,"&gt;0"))</f>
        <v/>
      </c>
      <c r="R37" s="208" t="str">
        <f>IF($A37="","",ABS(SUMIFS('Raw daily data'!$F:$F,'Raw daily data'!$I:$I,$A37,'Raw daily data'!$F:$F,"&lt;0")))</f>
        <v/>
      </c>
      <c r="S37" s="210" t="str">
        <f t="shared" si="11"/>
        <v/>
      </c>
      <c r="T37" s="211" t="str">
        <f t="shared" si="12"/>
        <v/>
      </c>
      <c r="U37" s="212" t="str">
        <f t="shared" si="13"/>
        <v/>
      </c>
      <c r="V37" s="210" t="str">
        <f t="shared" si="14"/>
        <v/>
      </c>
      <c r="W37" s="208" t="str">
        <f>IF($A37="","",_xlfn.MAXIFS('Raw daily data'!$J:$J,'Raw daily data'!$I:$I,$A37))</f>
        <v/>
      </c>
      <c r="X37" s="178" t="str">
        <f t="shared" si="9"/>
        <v/>
      </c>
      <c r="Y37" s="178" t="str">
        <f>IF($A37="","",IFERROR(ABS(MIN(0,_xlfn.MINIFS('Raw daily data'!$J:$J,'Raw daily data'!$I:$I,$A37)))/G37,""))</f>
        <v/>
      </c>
    </row>
    <row r="38" spans="1:25">
      <c r="A38" s="214"/>
      <c r="B38" s="205"/>
      <c r="C38" s="206" t="str">
        <f t="shared" si="0"/>
        <v/>
      </c>
      <c r="D38" s="205"/>
      <c r="E38" s="207" t="str">
        <f t="shared" si="1"/>
        <v/>
      </c>
      <c r="F38" s="208" t="str">
        <f>IF($A38="","",$E38*Summary!$B$8)</f>
        <v/>
      </c>
      <c r="G38" s="208" t="str">
        <f>IF($A38="","",F38*Summary!$B$9)</f>
        <v/>
      </c>
      <c r="H38" s="207" t="str">
        <f>IF($A38="","",SUMIFS('Raw daily data'!$F:$F,'Raw daily data'!$I:$I,$A38))</f>
        <v/>
      </c>
      <c r="I38" s="207" t="str">
        <f t="shared" si="2"/>
        <v/>
      </c>
      <c r="J38" s="209" t="str">
        <f t="shared" si="15"/>
        <v/>
      </c>
      <c r="K38" s="207" t="str">
        <f>IF($A38="","",Summary!$B$6)</f>
        <v/>
      </c>
      <c r="L38" s="207" t="str">
        <f t="shared" si="10"/>
        <v/>
      </c>
      <c r="M38" s="205"/>
      <c r="N38" s="206" t="str">
        <f>IF($A38="","",COUNTIFS('Raw daily data'!$I:$I,$A38))</f>
        <v/>
      </c>
      <c r="O38" s="206" t="str">
        <f>IF($A38="","",COUNTIFS('Raw daily data'!$I:$I,$A38,'Raw daily data'!$F:$F,"&gt;0"))</f>
        <v/>
      </c>
      <c r="P38" s="206" t="str">
        <f>IF($A38="","",COUNTIFS('Raw daily data'!$I:$I,$A38,'Raw daily data'!$F:$F,"&lt;0"))</f>
        <v/>
      </c>
      <c r="Q38" s="208" t="str">
        <f>IF($A38="","",SUMIFS('Raw daily data'!$F:$F,'Raw daily data'!$I:$I,$A38,'Raw daily data'!$F:$F,"&gt;0"))</f>
        <v/>
      </c>
      <c r="R38" s="208" t="str">
        <f>IF($A38="","",ABS(SUMIFS('Raw daily data'!$F:$F,'Raw daily data'!$I:$I,$A38,'Raw daily data'!$F:$F,"&lt;0")))</f>
        <v/>
      </c>
      <c r="S38" s="210" t="str">
        <f t="shared" si="11"/>
        <v/>
      </c>
      <c r="T38" s="211" t="str">
        <f t="shared" si="12"/>
        <v/>
      </c>
      <c r="U38" s="212" t="str">
        <f t="shared" si="13"/>
        <v/>
      </c>
      <c r="V38" s="210" t="str">
        <f t="shared" si="14"/>
        <v/>
      </c>
      <c r="W38" s="208" t="str">
        <f>IF($A38="","",_xlfn.MAXIFS('Raw daily data'!$J:$J,'Raw daily data'!$I:$I,$A38))</f>
        <v/>
      </c>
      <c r="X38" s="178" t="str">
        <f t="shared" si="9"/>
        <v/>
      </c>
      <c r="Y38" s="178" t="str">
        <f>IF($A38="","",IFERROR(ABS(MIN(0,_xlfn.MINIFS('Raw daily data'!$J:$J,'Raw daily data'!$I:$I,$A38)))/G38,""))</f>
        <v/>
      </c>
    </row>
    <row r="39" spans="1:25">
      <c r="A39" s="214"/>
      <c r="B39" s="205"/>
      <c r="C39" s="206" t="str">
        <f t="shared" si="0"/>
        <v/>
      </c>
      <c r="D39" s="205"/>
      <c r="E39" s="207" t="str">
        <f t="shared" si="1"/>
        <v/>
      </c>
      <c r="F39" s="208" t="str">
        <f>IF($A39="","",$E39*Summary!$B$8)</f>
        <v/>
      </c>
      <c r="G39" s="208" t="str">
        <f>IF($A39="","",F39*Summary!$B$9)</f>
        <v/>
      </c>
      <c r="H39" s="207" t="str">
        <f>IF($A39="","",SUMIFS('Raw daily data'!$F:$F,'Raw daily data'!$I:$I,$A39))</f>
        <v/>
      </c>
      <c r="I39" s="207" t="str">
        <f t="shared" si="2"/>
        <v/>
      </c>
      <c r="J39" s="209" t="str">
        <f t="shared" si="15"/>
        <v/>
      </c>
      <c r="K39" s="207" t="str">
        <f>IF($A39="","",Summary!$B$6)</f>
        <v/>
      </c>
      <c r="L39" s="207" t="str">
        <f t="shared" si="10"/>
        <v/>
      </c>
      <c r="M39" s="205"/>
      <c r="N39" s="206" t="str">
        <f>IF($A39="","",COUNTIFS('Raw daily data'!$I:$I,$A39))</f>
        <v/>
      </c>
      <c r="O39" s="206" t="str">
        <f>IF($A39="","",COUNTIFS('Raw daily data'!$I:$I,$A39,'Raw daily data'!$F:$F,"&gt;0"))</f>
        <v/>
      </c>
      <c r="P39" s="206" t="str">
        <f>IF($A39="","",COUNTIFS('Raw daily data'!$I:$I,$A39,'Raw daily data'!$F:$F,"&lt;0"))</f>
        <v/>
      </c>
      <c r="Q39" s="208" t="str">
        <f>IF($A39="","",SUMIFS('Raw daily data'!$F:$F,'Raw daily data'!$I:$I,$A39,'Raw daily data'!$F:$F,"&gt;0"))</f>
        <v/>
      </c>
      <c r="R39" s="208" t="str">
        <f>IF($A39="","",ABS(SUMIFS('Raw daily data'!$F:$F,'Raw daily data'!$I:$I,$A39,'Raw daily data'!$F:$F,"&lt;0")))</f>
        <v/>
      </c>
      <c r="S39" s="210" t="str">
        <f t="shared" si="11"/>
        <v/>
      </c>
      <c r="T39" s="211" t="str">
        <f t="shared" si="12"/>
        <v/>
      </c>
      <c r="U39" s="212" t="str">
        <f t="shared" si="13"/>
        <v/>
      </c>
      <c r="V39" s="210" t="str">
        <f t="shared" si="14"/>
        <v/>
      </c>
      <c r="W39" s="208" t="str">
        <f>IF($A39="","",_xlfn.MAXIFS('Raw daily data'!$J:$J,'Raw daily data'!$I:$I,$A39))</f>
        <v/>
      </c>
      <c r="X39" s="178" t="str">
        <f t="shared" si="9"/>
        <v/>
      </c>
      <c r="Y39" s="178" t="str">
        <f>IF($A39="","",IFERROR(ABS(MIN(0,_xlfn.MINIFS('Raw daily data'!$J:$J,'Raw daily data'!$I:$I,$A39)))/G39,""))</f>
        <v/>
      </c>
    </row>
    <row r="40" spans="1:25">
      <c r="A40" s="214"/>
      <c r="B40" s="205"/>
      <c r="C40" s="206" t="str">
        <f t="shared" si="0"/>
        <v/>
      </c>
      <c r="D40" s="205"/>
      <c r="E40" s="207" t="str">
        <f t="shared" si="1"/>
        <v/>
      </c>
      <c r="F40" s="208" t="str">
        <f>IF($A40="","",$E40*Summary!$B$8)</f>
        <v/>
      </c>
      <c r="G40" s="208" t="str">
        <f>IF($A40="","",F40*Summary!$B$9)</f>
        <v/>
      </c>
      <c r="H40" s="207" t="str">
        <f>IF($A40="","",SUMIFS('Raw daily data'!$F:$F,'Raw daily data'!$I:$I,$A40))</f>
        <v/>
      </c>
      <c r="I40" s="207" t="str">
        <f t="shared" si="2"/>
        <v/>
      </c>
      <c r="J40" s="209" t="str">
        <f t="shared" si="15"/>
        <v/>
      </c>
      <c r="K40" s="207" t="str">
        <f>IF($A40="","",Summary!$B$6)</f>
        <v/>
      </c>
      <c r="L40" s="207" t="str">
        <f t="shared" si="10"/>
        <v/>
      </c>
      <c r="M40" s="205"/>
      <c r="N40" s="206" t="str">
        <f>IF($A40="","",COUNTIFS('Raw daily data'!$I:$I,$A40))</f>
        <v/>
      </c>
      <c r="O40" s="206" t="str">
        <f>IF($A40="","",COUNTIFS('Raw daily data'!$I:$I,$A40,'Raw daily data'!$F:$F,"&gt;0"))</f>
        <v/>
      </c>
      <c r="P40" s="206" t="str">
        <f>IF($A40="","",COUNTIFS('Raw daily data'!$I:$I,$A40,'Raw daily data'!$F:$F,"&lt;0"))</f>
        <v/>
      </c>
      <c r="Q40" s="208" t="str">
        <f>IF($A40="","",SUMIFS('Raw daily data'!$F:$F,'Raw daily data'!$I:$I,$A40,'Raw daily data'!$F:$F,"&gt;0"))</f>
        <v/>
      </c>
      <c r="R40" s="208" t="str">
        <f>IF($A40="","",ABS(SUMIFS('Raw daily data'!$F:$F,'Raw daily data'!$I:$I,$A40,'Raw daily data'!$F:$F,"&lt;0")))</f>
        <v/>
      </c>
      <c r="S40" s="210" t="str">
        <f t="shared" si="11"/>
        <v/>
      </c>
      <c r="T40" s="211" t="str">
        <f t="shared" si="12"/>
        <v/>
      </c>
      <c r="U40" s="212" t="str">
        <f t="shared" si="13"/>
        <v/>
      </c>
      <c r="V40" s="210" t="str">
        <f t="shared" si="14"/>
        <v/>
      </c>
      <c r="W40" s="208" t="str">
        <f>IF($A40="","",_xlfn.MAXIFS('Raw daily data'!$J:$J,'Raw daily data'!$I:$I,$A40))</f>
        <v/>
      </c>
      <c r="X40" s="178" t="str">
        <f t="shared" si="9"/>
        <v/>
      </c>
      <c r="Y40" s="178" t="str">
        <f>IF($A40="","",IFERROR(ABS(MIN(0,_xlfn.MINIFS('Raw daily data'!$J:$J,'Raw daily data'!$I:$I,$A40)))/G40,""))</f>
        <v/>
      </c>
    </row>
    <row r="41" spans="1:25">
      <c r="A41" s="214"/>
      <c r="B41" s="205"/>
      <c r="C41" s="206" t="str">
        <f t="shared" si="0"/>
        <v/>
      </c>
      <c r="D41" s="205"/>
      <c r="E41" s="207" t="str">
        <f t="shared" si="1"/>
        <v/>
      </c>
      <c r="F41" s="208" t="str">
        <f>IF($A41="","",$E41*Summary!$B$8)</f>
        <v/>
      </c>
      <c r="G41" s="208" t="str">
        <f>IF($A41="","",F41*Summary!$B$9)</f>
        <v/>
      </c>
      <c r="H41" s="207" t="str">
        <f>IF($A41="","",SUMIFS('Raw daily data'!$F:$F,'Raw daily data'!$I:$I,$A41))</f>
        <v/>
      </c>
      <c r="I41" s="207" t="str">
        <f t="shared" si="2"/>
        <v/>
      </c>
      <c r="J41" s="209" t="str">
        <f t="shared" si="15"/>
        <v/>
      </c>
      <c r="K41" s="207" t="str">
        <f>IF($A41="","",Summary!$B$6)</f>
        <v/>
      </c>
      <c r="L41" s="207" t="str">
        <f t="shared" si="10"/>
        <v/>
      </c>
      <c r="M41" s="205"/>
      <c r="N41" s="206" t="str">
        <f>IF($A41="","",COUNTIFS('Raw daily data'!$I:$I,$A41))</f>
        <v/>
      </c>
      <c r="O41" s="206" t="str">
        <f>IF($A41="","",COUNTIFS('Raw daily data'!$I:$I,$A41,'Raw daily data'!$F:$F,"&gt;0"))</f>
        <v/>
      </c>
      <c r="P41" s="206" t="str">
        <f>IF($A41="","",COUNTIFS('Raw daily data'!$I:$I,$A41,'Raw daily data'!$F:$F,"&lt;0"))</f>
        <v/>
      </c>
      <c r="Q41" s="208" t="str">
        <f>IF($A41="","",SUMIFS('Raw daily data'!$F:$F,'Raw daily data'!$I:$I,$A41,'Raw daily data'!$F:$F,"&gt;0"))</f>
        <v/>
      </c>
      <c r="R41" s="208" t="str">
        <f>IF($A41="","",ABS(SUMIFS('Raw daily data'!$F:$F,'Raw daily data'!$I:$I,$A41,'Raw daily data'!$F:$F,"&lt;0")))</f>
        <v/>
      </c>
      <c r="S41" s="210" t="str">
        <f t="shared" si="11"/>
        <v/>
      </c>
      <c r="T41" s="211" t="str">
        <f t="shared" si="12"/>
        <v/>
      </c>
      <c r="U41" s="212" t="str">
        <f t="shared" si="13"/>
        <v/>
      </c>
      <c r="V41" s="210" t="str">
        <f t="shared" si="14"/>
        <v/>
      </c>
      <c r="W41" s="208" t="str">
        <f>IF($A41="","",_xlfn.MAXIFS('Raw daily data'!$J:$J,'Raw daily data'!$I:$I,$A41))</f>
        <v/>
      </c>
      <c r="X41" s="178" t="str">
        <f t="shared" si="9"/>
        <v/>
      </c>
      <c r="Y41" s="178" t="str">
        <f>IF($A41="","",IFERROR(ABS(MIN(0,_xlfn.MINIFS('Raw daily data'!$J:$J,'Raw daily data'!$I:$I,$A41)))/G41,""))</f>
        <v/>
      </c>
    </row>
    <row r="42" spans="1:25">
      <c r="A42" s="214"/>
      <c r="B42" s="205"/>
      <c r="C42" s="206" t="str">
        <f t="shared" si="0"/>
        <v/>
      </c>
      <c r="D42" s="205"/>
      <c r="E42" s="207" t="str">
        <f t="shared" si="1"/>
        <v/>
      </c>
      <c r="F42" s="208" t="str">
        <f>IF($A42="","",$E42*Summary!$B$8)</f>
        <v/>
      </c>
      <c r="G42" s="208" t="str">
        <f>IF($A42="","",F42*Summary!$B$9)</f>
        <v/>
      </c>
      <c r="H42" s="207" t="str">
        <f>IF($A42="","",SUMIFS('Raw daily data'!$F:$F,'Raw daily data'!$I:$I,$A42))</f>
        <v/>
      </c>
      <c r="I42" s="207" t="str">
        <f t="shared" si="2"/>
        <v/>
      </c>
      <c r="J42" s="213" t="str">
        <f t="shared" si="15"/>
        <v/>
      </c>
      <c r="K42" s="207" t="str">
        <f>IF($A42="","",Summary!$B$6)</f>
        <v/>
      </c>
      <c r="L42" s="207" t="str">
        <f t="shared" si="10"/>
        <v/>
      </c>
      <c r="M42" s="205"/>
      <c r="N42" s="206" t="str">
        <f>IF($A42="","",COUNTIFS('Raw daily data'!$I:$I,$A42))</f>
        <v/>
      </c>
      <c r="O42" s="206" t="str">
        <f>IF($A42="","",COUNTIFS('Raw daily data'!$I:$I,$A42,'Raw daily data'!$F:$F,"&gt;0"))</f>
        <v/>
      </c>
      <c r="P42" s="206" t="str">
        <f>IF($A42="","",COUNTIFS('Raw daily data'!$I:$I,$A42,'Raw daily data'!$F:$F,"&lt;0"))</f>
        <v/>
      </c>
      <c r="Q42" s="208" t="str">
        <f>IF($A42="","",SUMIFS('Raw daily data'!$F:$F,'Raw daily data'!$I:$I,$A42,'Raw daily data'!$F:$F,"&gt;0"))</f>
        <v/>
      </c>
      <c r="R42" s="208" t="str">
        <f>IF($A42="","",ABS(SUMIFS('Raw daily data'!$F:$F,'Raw daily data'!$I:$I,$A42,'Raw daily data'!$F:$F,"&lt;0")))</f>
        <v/>
      </c>
      <c r="S42" s="210" t="str">
        <f t="shared" si="11"/>
        <v/>
      </c>
      <c r="T42" s="211" t="str">
        <f t="shared" si="12"/>
        <v/>
      </c>
      <c r="U42" s="212" t="str">
        <f t="shared" si="13"/>
        <v/>
      </c>
      <c r="V42" s="210" t="str">
        <f t="shared" si="14"/>
        <v/>
      </c>
      <c r="W42" s="208" t="str">
        <f>IF($A42="","",_xlfn.MAXIFS('Raw daily data'!$J:$J,'Raw daily data'!$I:$I,$A42))</f>
        <v/>
      </c>
      <c r="X42" s="204" t="str">
        <f t="shared" ref="X42:X73" si="16">IF($A42="","",IF(W42&gt;=0,0,ABS(W42)/G42))</f>
        <v/>
      </c>
      <c r="Y42" s="204" t="str">
        <f>IFERROR(IF($A42="","",ABS(MIN(0,_xlfn.MINIFS('Raw daily data'!$J:$J,'Raw daily data'!$I:$I,$A42)))/G42),"")</f>
        <v/>
      </c>
    </row>
    <row r="43" spans="1:25">
      <c r="A43" s="214"/>
      <c r="B43" s="205"/>
      <c r="C43" s="206" t="str">
        <f t="shared" si="0"/>
        <v/>
      </c>
      <c r="D43" s="205"/>
      <c r="E43" s="207" t="str">
        <f t="shared" si="1"/>
        <v/>
      </c>
      <c r="F43" s="208" t="str">
        <f>IF($A43="","",$E43*Summary!$B$8)</f>
        <v/>
      </c>
      <c r="G43" s="208" t="str">
        <f>IF($A43="","",F43*Summary!$B$9)</f>
        <v/>
      </c>
      <c r="H43" s="207" t="str">
        <f>IF($A43="","",SUMIFS('Raw daily data'!$F:$F,'Raw daily data'!$I:$I,$A43))</f>
        <v/>
      </c>
      <c r="I43" s="207" t="str">
        <f t="shared" si="2"/>
        <v/>
      </c>
      <c r="J43" s="213" t="str">
        <f t="shared" si="15"/>
        <v/>
      </c>
      <c r="K43" s="207" t="str">
        <f>IF($A43="","",Summary!$B$6)</f>
        <v/>
      </c>
      <c r="L43" s="207" t="str">
        <f t="shared" si="10"/>
        <v/>
      </c>
      <c r="M43" s="205"/>
      <c r="N43" s="206" t="str">
        <f>IF($A43="","",COUNTIFS('Raw daily data'!$I:$I,$A43))</f>
        <v/>
      </c>
      <c r="O43" s="206" t="str">
        <f>IF($A43="","",COUNTIFS('Raw daily data'!$I:$I,$A43,'Raw daily data'!$F:$F,"&gt;0"))</f>
        <v/>
      </c>
      <c r="P43" s="206" t="str">
        <f>IF($A43="","",COUNTIFS('Raw daily data'!$I:$I,$A43,'Raw daily data'!$F:$F,"&lt;0"))</f>
        <v/>
      </c>
      <c r="Q43" s="208" t="str">
        <f>IF($A43="","",SUMIFS('Raw daily data'!$F:$F,'Raw daily data'!$I:$I,$A43,'Raw daily data'!$F:$F,"&gt;0"))</f>
        <v/>
      </c>
      <c r="R43" s="208" t="str">
        <f>IF($A43="","",ABS(SUMIFS('Raw daily data'!$F:$F,'Raw daily data'!$I:$I,$A43,'Raw daily data'!$F:$F,"&lt;0")))</f>
        <v/>
      </c>
      <c r="S43" s="210" t="str">
        <f t="shared" si="11"/>
        <v/>
      </c>
      <c r="T43" s="211" t="str">
        <f t="shared" si="12"/>
        <v/>
      </c>
      <c r="U43" s="212" t="str">
        <f t="shared" si="13"/>
        <v/>
      </c>
      <c r="V43" s="210" t="str">
        <f t="shared" si="14"/>
        <v/>
      </c>
      <c r="W43" s="208" t="str">
        <f>IF($A43="","",_xlfn.MAXIFS('Raw daily data'!$J:$J,'Raw daily data'!$I:$I,$A43))</f>
        <v/>
      </c>
      <c r="X43" s="204" t="str">
        <f t="shared" si="16"/>
        <v/>
      </c>
      <c r="Y43" s="204" t="str">
        <f>IFERROR(IF($A43="","",ABS(MIN(0,_xlfn.MINIFS('Raw daily data'!$J:$J,'Raw daily data'!$I:$I,$A43)))/G43),"")</f>
        <v/>
      </c>
    </row>
    <row r="44" spans="1:25">
      <c r="A44" s="214"/>
      <c r="B44" s="205"/>
      <c r="C44" s="206" t="str">
        <f t="shared" si="0"/>
        <v/>
      </c>
      <c r="D44" s="205"/>
      <c r="E44" s="207" t="str">
        <f t="shared" si="1"/>
        <v/>
      </c>
      <c r="F44" s="208" t="str">
        <f>IF($A44="","",$E44*Summary!$B$8)</f>
        <v/>
      </c>
      <c r="G44" s="208" t="str">
        <f>IF($A44="","",F44*Summary!$B$9)</f>
        <v/>
      </c>
      <c r="H44" s="207" t="str">
        <f>IF($A44="","",SUMIFS('Raw daily data'!$F:$F,'Raw daily data'!$I:$I,$A44))</f>
        <v/>
      </c>
      <c r="I44" s="207" t="str">
        <f t="shared" si="2"/>
        <v/>
      </c>
      <c r="J44" s="213" t="str">
        <f t="shared" si="15"/>
        <v/>
      </c>
      <c r="K44" s="207" t="str">
        <f>IF($A44="","",Summary!$B$6)</f>
        <v/>
      </c>
      <c r="L44" s="207" t="str">
        <f t="shared" si="10"/>
        <v/>
      </c>
      <c r="M44" s="205"/>
      <c r="N44" s="206" t="str">
        <f>IF($A44="","",COUNTIFS('Raw daily data'!$I:$I,$A44))</f>
        <v/>
      </c>
      <c r="O44" s="206" t="str">
        <f>IF($A44="","",COUNTIFS('Raw daily data'!$I:$I,$A44,'Raw daily data'!$F:$F,"&gt;0"))</f>
        <v/>
      </c>
      <c r="P44" s="206" t="str">
        <f>IF($A44="","",COUNTIFS('Raw daily data'!$I:$I,$A44,'Raw daily data'!$F:$F,"&lt;0"))</f>
        <v/>
      </c>
      <c r="Q44" s="208" t="str">
        <f>IF($A44="","",SUMIFS('Raw daily data'!$F:$F,'Raw daily data'!$I:$I,$A44,'Raw daily data'!$F:$F,"&gt;0"))</f>
        <v/>
      </c>
      <c r="R44" s="208" t="str">
        <f>IF($A44="","",ABS(SUMIFS('Raw daily data'!$F:$F,'Raw daily data'!$I:$I,$A44,'Raw daily data'!$F:$F,"&lt;0")))</f>
        <v/>
      </c>
      <c r="S44" s="210" t="str">
        <f t="shared" si="11"/>
        <v/>
      </c>
      <c r="T44" s="211" t="str">
        <f t="shared" si="12"/>
        <v/>
      </c>
      <c r="U44" s="212" t="str">
        <f t="shared" si="13"/>
        <v/>
      </c>
      <c r="V44" s="210" t="str">
        <f t="shared" si="14"/>
        <v/>
      </c>
      <c r="W44" s="208" t="str">
        <f>IF($A44="","",_xlfn.MAXIFS('Raw daily data'!$J:$J,'Raw daily data'!$I:$I,$A44))</f>
        <v/>
      </c>
      <c r="X44" s="204" t="str">
        <f t="shared" si="16"/>
        <v/>
      </c>
      <c r="Y44" s="204" t="str">
        <f>IFERROR(IF($A44="","",ABS(MIN(0,_xlfn.MINIFS('Raw daily data'!$J:$J,'Raw daily data'!$I:$I,$A44)))/G44),"")</f>
        <v/>
      </c>
    </row>
    <row r="45" spans="1:25">
      <c r="A45" s="214"/>
      <c r="B45" s="205"/>
      <c r="C45" s="206" t="str">
        <f t="shared" si="0"/>
        <v/>
      </c>
      <c r="D45" s="205"/>
      <c r="E45" s="207" t="str">
        <f t="shared" si="1"/>
        <v/>
      </c>
      <c r="F45" s="208" t="str">
        <f>IF($A45="","",$E45*Summary!$B$8)</f>
        <v/>
      </c>
      <c r="G45" s="208" t="str">
        <f>IF($A45="","",F45*Summary!$B$9)</f>
        <v/>
      </c>
      <c r="H45" s="207" t="str">
        <f>IF($A45="","",SUMIFS('Raw daily data'!$F:$F,'Raw daily data'!$I:$I,$A45))</f>
        <v/>
      </c>
      <c r="I45" s="207" t="str">
        <f t="shared" si="2"/>
        <v/>
      </c>
      <c r="J45" s="213" t="str">
        <f t="shared" si="15"/>
        <v/>
      </c>
      <c r="K45" s="207" t="str">
        <f>IF($A45="","",Summary!$B$6)</f>
        <v/>
      </c>
      <c r="L45" s="207" t="str">
        <f t="shared" si="10"/>
        <v/>
      </c>
      <c r="M45" s="205"/>
      <c r="N45" s="206" t="str">
        <f>IF($A45="","",COUNTIFS('Raw daily data'!$I:$I,$A45))</f>
        <v/>
      </c>
      <c r="O45" s="206" t="str">
        <f>IF($A45="","",COUNTIFS('Raw daily data'!$I:$I,$A45,'Raw daily data'!$F:$F,"&gt;0"))</f>
        <v/>
      </c>
      <c r="P45" s="206" t="str">
        <f>IF($A45="","",COUNTIFS('Raw daily data'!$I:$I,$A45,'Raw daily data'!$F:$F,"&lt;0"))</f>
        <v/>
      </c>
      <c r="Q45" s="208" t="str">
        <f>IF($A45="","",SUMIFS('Raw daily data'!$F:$F,'Raw daily data'!$I:$I,$A45,'Raw daily data'!$F:$F,"&gt;0"))</f>
        <v/>
      </c>
      <c r="R45" s="208" t="str">
        <f>IF($A45="","",ABS(SUMIFS('Raw daily data'!$F:$F,'Raw daily data'!$I:$I,$A45,'Raw daily data'!$F:$F,"&lt;0")))</f>
        <v/>
      </c>
      <c r="S45" s="210" t="str">
        <f t="shared" si="11"/>
        <v/>
      </c>
      <c r="T45" s="211" t="str">
        <f t="shared" si="12"/>
        <v/>
      </c>
      <c r="U45" s="212" t="str">
        <f t="shared" si="13"/>
        <v/>
      </c>
      <c r="V45" s="210" t="str">
        <f t="shared" si="14"/>
        <v/>
      </c>
      <c r="W45" s="208" t="str">
        <f>IF($A45="","",_xlfn.MAXIFS('Raw daily data'!$J:$J,'Raw daily data'!$I:$I,$A45))</f>
        <v/>
      </c>
      <c r="X45" s="204" t="str">
        <f t="shared" si="16"/>
        <v/>
      </c>
      <c r="Y45" s="204" t="str">
        <f>IFERROR(IF($A45="","",ABS(MIN(0,_xlfn.MINIFS('Raw daily data'!$J:$J,'Raw daily data'!$I:$I,$A45)))/G45),"")</f>
        <v/>
      </c>
    </row>
    <row r="46" spans="1:25">
      <c r="A46" s="214"/>
      <c r="B46" s="205"/>
      <c r="C46" s="206" t="str">
        <f t="shared" si="0"/>
        <v/>
      </c>
      <c r="D46" s="205"/>
      <c r="E46" s="207" t="str">
        <f t="shared" si="1"/>
        <v/>
      </c>
      <c r="F46" s="208" t="str">
        <f>IF($A46="","",$E46*Summary!$B$8)</f>
        <v/>
      </c>
      <c r="G46" s="208" t="str">
        <f>IF($A46="","",F46*Summary!$B$9)</f>
        <v/>
      </c>
      <c r="H46" s="207" t="str">
        <f>IF($A46="","",SUMIFS('Raw daily data'!$F:$F,'Raw daily data'!$I:$I,$A46))</f>
        <v/>
      </c>
      <c r="I46" s="207" t="str">
        <f t="shared" si="2"/>
        <v/>
      </c>
      <c r="J46" s="213" t="str">
        <f t="shared" si="15"/>
        <v/>
      </c>
      <c r="K46" s="207" t="str">
        <f>IF($A46="","",Summary!$B$6)</f>
        <v/>
      </c>
      <c r="L46" s="207" t="str">
        <f t="shared" si="10"/>
        <v/>
      </c>
      <c r="M46" s="205"/>
      <c r="N46" s="206" t="str">
        <f>IF($A46="","",COUNTIFS('Raw daily data'!$I:$I,$A46))</f>
        <v/>
      </c>
      <c r="O46" s="206" t="str">
        <f>IF($A46="","",COUNTIFS('Raw daily data'!$I:$I,$A46,'Raw daily data'!$F:$F,"&gt;0"))</f>
        <v/>
      </c>
      <c r="P46" s="206" t="str">
        <f>IF($A46="","",COUNTIFS('Raw daily data'!$I:$I,$A46,'Raw daily data'!$F:$F,"&lt;0"))</f>
        <v/>
      </c>
      <c r="Q46" s="208" t="str">
        <f>IF($A46="","",SUMIFS('Raw daily data'!$F:$F,'Raw daily data'!$I:$I,$A46,'Raw daily data'!$F:$F,"&gt;0"))</f>
        <v/>
      </c>
      <c r="R46" s="208" t="str">
        <f>IF($A46="","",ABS(SUMIFS('Raw daily data'!$F:$F,'Raw daily data'!$I:$I,$A46,'Raw daily data'!$F:$F,"&lt;0")))</f>
        <v/>
      </c>
      <c r="S46" s="210" t="str">
        <f t="shared" si="11"/>
        <v/>
      </c>
      <c r="T46" s="211" t="str">
        <f t="shared" si="12"/>
        <v/>
      </c>
      <c r="U46" s="212" t="str">
        <f t="shared" si="13"/>
        <v/>
      </c>
      <c r="V46" s="210" t="str">
        <f t="shared" si="14"/>
        <v/>
      </c>
      <c r="W46" s="208" t="str">
        <f>IF($A46="","",_xlfn.MAXIFS('Raw daily data'!$J:$J,'Raw daily data'!$I:$I,$A46))</f>
        <v/>
      </c>
      <c r="X46" s="204" t="str">
        <f t="shared" si="16"/>
        <v/>
      </c>
      <c r="Y46" s="204" t="str">
        <f>IFERROR(IF($A46="","",ABS(MIN(0,_xlfn.MINIFS('Raw daily data'!$J:$J,'Raw daily data'!$I:$I,$A46)))/G46),"")</f>
        <v/>
      </c>
    </row>
    <row r="47" spans="1:25">
      <c r="A47" s="214"/>
      <c r="B47" s="205"/>
      <c r="C47" s="206" t="str">
        <f t="shared" si="0"/>
        <v/>
      </c>
      <c r="D47" s="205"/>
      <c r="E47" s="207" t="str">
        <f t="shared" si="1"/>
        <v/>
      </c>
      <c r="F47" s="208" t="str">
        <f>IF($A47="","",$E47*Summary!$B$8)</f>
        <v/>
      </c>
      <c r="G47" s="208" t="str">
        <f>IF($A47="","",F47*Summary!$B$9)</f>
        <v/>
      </c>
      <c r="H47" s="207" t="str">
        <f>IF($A47="","",SUMIFS('Raw daily data'!$F:$F,'Raw daily data'!$I:$I,$A47))</f>
        <v/>
      </c>
      <c r="I47" s="207" t="str">
        <f t="shared" si="2"/>
        <v/>
      </c>
      <c r="J47" s="213" t="str">
        <f t="shared" si="15"/>
        <v/>
      </c>
      <c r="K47" s="207" t="str">
        <f>IF($A47="","",Summary!$B$6)</f>
        <v/>
      </c>
      <c r="L47" s="207" t="str">
        <f t="shared" si="10"/>
        <v/>
      </c>
      <c r="M47" s="205"/>
      <c r="N47" s="206" t="str">
        <f>IF($A47="","",COUNTIFS('Raw daily data'!$I:$I,$A47))</f>
        <v/>
      </c>
      <c r="O47" s="206" t="str">
        <f>IF($A47="","",COUNTIFS('Raw daily data'!$I:$I,$A47,'Raw daily data'!$F:$F,"&gt;0"))</f>
        <v/>
      </c>
      <c r="P47" s="206" t="str">
        <f>IF($A47="","",COUNTIFS('Raw daily data'!$I:$I,$A47,'Raw daily data'!$F:$F,"&lt;0"))</f>
        <v/>
      </c>
      <c r="Q47" s="208" t="str">
        <f>IF($A47="","",SUMIFS('Raw daily data'!$F:$F,'Raw daily data'!$I:$I,$A47,'Raw daily data'!$F:$F,"&gt;0"))</f>
        <v/>
      </c>
      <c r="R47" s="208" t="str">
        <f>IF($A47="","",ABS(SUMIFS('Raw daily data'!$F:$F,'Raw daily data'!$I:$I,$A47,'Raw daily data'!$F:$F,"&lt;0")))</f>
        <v/>
      </c>
      <c r="S47" s="210" t="str">
        <f t="shared" si="11"/>
        <v/>
      </c>
      <c r="T47" s="211" t="str">
        <f t="shared" si="12"/>
        <v/>
      </c>
      <c r="U47" s="212" t="str">
        <f t="shared" si="13"/>
        <v/>
      </c>
      <c r="V47" s="210" t="str">
        <f t="shared" si="14"/>
        <v/>
      </c>
      <c r="W47" s="208" t="str">
        <f>IF($A47="","",_xlfn.MAXIFS('Raw daily data'!$J:$J,'Raw daily data'!$I:$I,$A47))</f>
        <v/>
      </c>
      <c r="X47" s="204" t="str">
        <f t="shared" si="16"/>
        <v/>
      </c>
      <c r="Y47" s="204" t="str">
        <f>IFERROR(IF($A47="","",ABS(MIN(0,_xlfn.MINIFS('Raw daily data'!$J:$J,'Raw daily data'!$I:$I,$A47)))/G47),"")</f>
        <v/>
      </c>
    </row>
    <row r="48" spans="1:25">
      <c r="A48" s="214"/>
      <c r="B48" s="205"/>
      <c r="C48" s="206" t="str">
        <f t="shared" si="0"/>
        <v/>
      </c>
      <c r="D48" s="205"/>
      <c r="E48" s="207" t="str">
        <f t="shared" si="1"/>
        <v/>
      </c>
      <c r="F48" s="208" t="str">
        <f>IF($A48="","",$E48*Summary!$B$8)</f>
        <v/>
      </c>
      <c r="G48" s="208" t="str">
        <f>IF($A48="","",F48*Summary!$B$9)</f>
        <v/>
      </c>
      <c r="H48" s="207" t="str">
        <f>IF($A48="","",SUMIFS('Raw daily data'!$F:$F,'Raw daily data'!$I:$I,$A48))</f>
        <v/>
      </c>
      <c r="I48" s="207" t="str">
        <f t="shared" si="2"/>
        <v/>
      </c>
      <c r="J48" s="213" t="str">
        <f t="shared" si="15"/>
        <v/>
      </c>
      <c r="K48" s="207" t="str">
        <f>IF($A48="","",Summary!$B$6)</f>
        <v/>
      </c>
      <c r="L48" s="207" t="str">
        <f t="shared" si="10"/>
        <v/>
      </c>
      <c r="M48" s="205"/>
      <c r="N48" s="206" t="str">
        <f>IF($A48="","",COUNTIFS('Raw daily data'!$I:$I,$A48))</f>
        <v/>
      </c>
      <c r="O48" s="206" t="str">
        <f>IF($A48="","",COUNTIFS('Raw daily data'!$I:$I,$A48,'Raw daily data'!$F:$F,"&gt;0"))</f>
        <v/>
      </c>
      <c r="P48" s="206" t="str">
        <f>IF($A48="","",COUNTIFS('Raw daily data'!$I:$I,$A48,'Raw daily data'!$F:$F,"&lt;0"))</f>
        <v/>
      </c>
      <c r="Q48" s="208" t="str">
        <f>IF($A48="","",SUMIFS('Raw daily data'!$F:$F,'Raw daily data'!$I:$I,$A48,'Raw daily data'!$F:$F,"&gt;0"))</f>
        <v/>
      </c>
      <c r="R48" s="208" t="str">
        <f>IF($A48="","",ABS(SUMIFS('Raw daily data'!$F:$F,'Raw daily data'!$I:$I,$A48,'Raw daily data'!$F:$F,"&lt;0")))</f>
        <v/>
      </c>
      <c r="S48" s="210" t="str">
        <f t="shared" si="11"/>
        <v/>
      </c>
      <c r="T48" s="211" t="str">
        <f t="shared" si="12"/>
        <v/>
      </c>
      <c r="U48" s="212" t="str">
        <f t="shared" si="13"/>
        <v/>
      </c>
      <c r="V48" s="210" t="str">
        <f t="shared" si="14"/>
        <v/>
      </c>
      <c r="W48" s="208" t="str">
        <f>IF($A48="","",_xlfn.MAXIFS('Raw daily data'!$J:$J,'Raw daily data'!$I:$I,$A48))</f>
        <v/>
      </c>
      <c r="X48" s="204" t="str">
        <f t="shared" si="16"/>
        <v/>
      </c>
      <c r="Y48" s="204" t="str">
        <f>IFERROR(IF($A48="","",ABS(MIN(0,_xlfn.MINIFS('Raw daily data'!$J:$J,'Raw daily data'!$I:$I,$A48)))/G48),"")</f>
        <v/>
      </c>
    </row>
    <row r="49" spans="1:25">
      <c r="A49" s="214"/>
      <c r="B49" s="205"/>
      <c r="C49" s="206" t="str">
        <f t="shared" si="0"/>
        <v/>
      </c>
      <c r="D49" s="205"/>
      <c r="E49" s="207" t="str">
        <f t="shared" si="1"/>
        <v/>
      </c>
      <c r="F49" s="208" t="str">
        <f>IF($A49="","",$E49*Summary!$B$8)</f>
        <v/>
      </c>
      <c r="G49" s="208" t="str">
        <f>IF($A49="","",F49*Summary!$B$9)</f>
        <v/>
      </c>
      <c r="H49" s="207" t="str">
        <f>IF($A49="","",SUMIFS('Raw daily data'!$F:$F,'Raw daily data'!$I:$I,$A49))</f>
        <v/>
      </c>
      <c r="I49" s="207" t="str">
        <f t="shared" si="2"/>
        <v/>
      </c>
      <c r="J49" s="213" t="str">
        <f t="shared" si="15"/>
        <v/>
      </c>
      <c r="K49" s="207" t="str">
        <f>IF($A49="","",Summary!$B$6)</f>
        <v/>
      </c>
      <c r="L49" s="207" t="str">
        <f t="shared" si="10"/>
        <v/>
      </c>
      <c r="M49" s="205"/>
      <c r="N49" s="206" t="str">
        <f>IF($A49="","",COUNTIFS('Raw daily data'!$I:$I,$A49))</f>
        <v/>
      </c>
      <c r="O49" s="206" t="str">
        <f>IF($A49="","",COUNTIFS('Raw daily data'!$I:$I,$A49,'Raw daily data'!$F:$F,"&gt;0"))</f>
        <v/>
      </c>
      <c r="P49" s="206" t="str">
        <f>IF($A49="","",COUNTIFS('Raw daily data'!$I:$I,$A49,'Raw daily data'!$F:$F,"&lt;0"))</f>
        <v/>
      </c>
      <c r="Q49" s="208" t="str">
        <f>IF($A49="","",SUMIFS('Raw daily data'!$F:$F,'Raw daily data'!$I:$I,$A49,'Raw daily data'!$F:$F,"&gt;0"))</f>
        <v/>
      </c>
      <c r="R49" s="208" t="str">
        <f>IF($A49="","",ABS(SUMIFS('Raw daily data'!$F:$F,'Raw daily data'!$I:$I,$A49,'Raw daily data'!$F:$F,"&lt;0")))</f>
        <v/>
      </c>
      <c r="S49" s="210" t="str">
        <f t="shared" si="11"/>
        <v/>
      </c>
      <c r="T49" s="211" t="str">
        <f t="shared" si="12"/>
        <v/>
      </c>
      <c r="U49" s="212" t="str">
        <f t="shared" si="13"/>
        <v/>
      </c>
      <c r="V49" s="210" t="str">
        <f t="shared" si="14"/>
        <v/>
      </c>
      <c r="W49" s="208" t="str">
        <f>IF($A49="","",_xlfn.MAXIFS('Raw daily data'!$J:$J,'Raw daily data'!$I:$I,$A49))</f>
        <v/>
      </c>
      <c r="X49" s="204" t="str">
        <f t="shared" si="16"/>
        <v/>
      </c>
      <c r="Y49" s="204" t="str">
        <f>IFERROR(IF($A49="","",ABS(MIN(0,_xlfn.MINIFS('Raw daily data'!$J:$J,'Raw daily data'!$I:$I,$A49)))/G49),"")</f>
        <v/>
      </c>
    </row>
    <row r="50" spans="1:25">
      <c r="A50" s="214"/>
      <c r="B50" s="205"/>
      <c r="C50" s="206" t="str">
        <f t="shared" si="0"/>
        <v/>
      </c>
      <c r="D50" s="205"/>
      <c r="E50" s="207" t="str">
        <f t="shared" si="1"/>
        <v/>
      </c>
      <c r="F50" s="208" t="str">
        <f>IF($A50="","",$E50*Summary!$B$8)</f>
        <v/>
      </c>
      <c r="G50" s="208" t="str">
        <f>IF($A50="","",F50*Summary!$B$9)</f>
        <v/>
      </c>
      <c r="H50" s="207" t="str">
        <f>IF($A50="","",SUMIFS('Raw daily data'!$F:$F,'Raw daily data'!$I:$I,$A50))</f>
        <v/>
      </c>
      <c r="I50" s="207" t="str">
        <f t="shared" si="2"/>
        <v/>
      </c>
      <c r="J50" s="213" t="str">
        <f t="shared" si="15"/>
        <v/>
      </c>
      <c r="K50" s="207" t="str">
        <f>IF($A50="","",Summary!$B$6)</f>
        <v/>
      </c>
      <c r="L50" s="207" t="str">
        <f t="shared" si="10"/>
        <v/>
      </c>
      <c r="M50" s="205"/>
      <c r="N50" s="206" t="str">
        <f>IF($A50="","",COUNTIFS('Raw daily data'!$I:$I,$A50))</f>
        <v/>
      </c>
      <c r="O50" s="206" t="str">
        <f>IF($A50="","",COUNTIFS('Raw daily data'!$I:$I,$A50,'Raw daily data'!$F:$F,"&gt;0"))</f>
        <v/>
      </c>
      <c r="P50" s="206" t="str">
        <f>IF($A50="","",COUNTIFS('Raw daily data'!$I:$I,$A50,'Raw daily data'!$F:$F,"&lt;0"))</f>
        <v/>
      </c>
      <c r="Q50" s="208" t="str">
        <f>IF($A50="","",SUMIFS('Raw daily data'!$F:$F,'Raw daily data'!$I:$I,$A50,'Raw daily data'!$F:$F,"&gt;0"))</f>
        <v/>
      </c>
      <c r="R50" s="208" t="str">
        <f>IF($A50="","",ABS(SUMIFS('Raw daily data'!$F:$F,'Raw daily data'!$I:$I,$A50,'Raw daily data'!$F:$F,"&lt;0")))</f>
        <v/>
      </c>
      <c r="S50" s="210" t="str">
        <f t="shared" si="11"/>
        <v/>
      </c>
      <c r="T50" s="211" t="str">
        <f t="shared" si="12"/>
        <v/>
      </c>
      <c r="U50" s="212" t="str">
        <f t="shared" si="13"/>
        <v/>
      </c>
      <c r="V50" s="210" t="str">
        <f t="shared" si="14"/>
        <v/>
      </c>
      <c r="W50" s="208" t="str">
        <f>IF($A50="","",_xlfn.MAXIFS('Raw daily data'!$J:$J,'Raw daily data'!$I:$I,$A50))</f>
        <v/>
      </c>
      <c r="X50" s="204" t="str">
        <f t="shared" si="16"/>
        <v/>
      </c>
      <c r="Y50" s="204" t="str">
        <f>IFERROR(IF($A50="","",ABS(MIN(0,_xlfn.MINIFS('Raw daily data'!$J:$J,'Raw daily data'!$I:$I,$A50)))/G50),"")</f>
        <v/>
      </c>
    </row>
    <row r="51" spans="1:25">
      <c r="A51" s="214"/>
      <c r="B51" s="205"/>
      <c r="C51" s="206" t="str">
        <f t="shared" si="0"/>
        <v/>
      </c>
      <c r="D51" s="205"/>
      <c r="E51" s="207" t="str">
        <f t="shared" si="1"/>
        <v/>
      </c>
      <c r="F51" s="208" t="str">
        <f>IF($A51="","",$E51*Summary!$B$8)</f>
        <v/>
      </c>
      <c r="G51" s="208" t="str">
        <f>IF($A51="","",F51*Summary!$B$9)</f>
        <v/>
      </c>
      <c r="H51" s="207" t="str">
        <f>IF($A51="","",SUMIFS('Raw daily data'!$F:$F,'Raw daily data'!$I:$I,$A51))</f>
        <v/>
      </c>
      <c r="I51" s="207" t="str">
        <f t="shared" si="2"/>
        <v/>
      </c>
      <c r="J51" s="213" t="str">
        <f t="shared" si="15"/>
        <v/>
      </c>
      <c r="K51" s="207" t="str">
        <f>IF($A51="","",Summary!$B$6)</f>
        <v/>
      </c>
      <c r="L51" s="207" t="str">
        <f t="shared" si="10"/>
        <v/>
      </c>
      <c r="M51" s="205"/>
      <c r="N51" s="206" t="str">
        <f>IF($A51="","",COUNTIFS('Raw daily data'!$I:$I,$A51))</f>
        <v/>
      </c>
      <c r="O51" s="206" t="str">
        <f>IF($A51="","",COUNTIFS('Raw daily data'!$I:$I,$A51,'Raw daily data'!$F:$F,"&gt;0"))</f>
        <v/>
      </c>
      <c r="P51" s="206" t="str">
        <f>IF($A51="","",COUNTIFS('Raw daily data'!$I:$I,$A51,'Raw daily data'!$F:$F,"&lt;0"))</f>
        <v/>
      </c>
      <c r="Q51" s="208" t="str">
        <f>IF($A51="","",SUMIFS('Raw daily data'!$F:$F,'Raw daily data'!$I:$I,$A51,'Raw daily data'!$F:$F,"&gt;0"))</f>
        <v/>
      </c>
      <c r="R51" s="208" t="str">
        <f>IF($A51="","",ABS(SUMIFS('Raw daily data'!$F:$F,'Raw daily data'!$I:$I,$A51,'Raw daily data'!$F:$F,"&lt;0")))</f>
        <v/>
      </c>
      <c r="S51" s="210" t="str">
        <f t="shared" si="11"/>
        <v/>
      </c>
      <c r="T51" s="211" t="str">
        <f t="shared" si="12"/>
        <v/>
      </c>
      <c r="U51" s="212" t="str">
        <f t="shared" si="13"/>
        <v/>
      </c>
      <c r="V51" s="210" t="str">
        <f t="shared" si="14"/>
        <v/>
      </c>
      <c r="W51" s="208" t="str">
        <f>IF($A51="","",_xlfn.MAXIFS('Raw daily data'!$J:$J,'Raw daily data'!$I:$I,$A51))</f>
        <v/>
      </c>
      <c r="X51" s="204" t="str">
        <f t="shared" si="16"/>
        <v/>
      </c>
      <c r="Y51" s="204" t="str">
        <f>IFERROR(IF($A51="","",ABS(MIN(0,_xlfn.MINIFS('Raw daily data'!$J:$J,'Raw daily data'!$I:$I,$A51)))/G51),"")</f>
        <v/>
      </c>
    </row>
    <row r="52" spans="1:25">
      <c r="A52" s="214"/>
      <c r="B52" s="205"/>
      <c r="C52" s="206" t="str">
        <f t="shared" si="0"/>
        <v/>
      </c>
      <c r="D52" s="205"/>
      <c r="E52" s="207" t="str">
        <f t="shared" si="1"/>
        <v/>
      </c>
      <c r="F52" s="208" t="str">
        <f>IF($A52="","",$E52*Summary!$B$8)</f>
        <v/>
      </c>
      <c r="G52" s="208" t="str">
        <f>IF($A52="","",F52*Summary!$B$9)</f>
        <v/>
      </c>
      <c r="H52" s="207" t="str">
        <f>IF($A52="","",SUMIFS('Raw daily data'!$F:$F,'Raw daily data'!$I:$I,$A52))</f>
        <v/>
      </c>
      <c r="I52" s="207" t="str">
        <f t="shared" si="2"/>
        <v/>
      </c>
      <c r="J52" s="213" t="str">
        <f t="shared" si="15"/>
        <v/>
      </c>
      <c r="K52" s="207" t="str">
        <f>IF($A52="","",Summary!$B$6)</f>
        <v/>
      </c>
      <c r="L52" s="207" t="str">
        <f t="shared" si="10"/>
        <v/>
      </c>
      <c r="M52" s="205"/>
      <c r="N52" s="206" t="str">
        <f>IF($A52="","",COUNTIFS('Raw daily data'!$I:$I,$A52))</f>
        <v/>
      </c>
      <c r="O52" s="206" t="str">
        <f>IF($A52="","",COUNTIFS('Raw daily data'!$I:$I,$A52,'Raw daily data'!$F:$F,"&gt;0"))</f>
        <v/>
      </c>
      <c r="P52" s="206" t="str">
        <f>IF($A52="","",COUNTIFS('Raw daily data'!$I:$I,$A52,'Raw daily data'!$F:$F,"&lt;0"))</f>
        <v/>
      </c>
      <c r="Q52" s="208" t="str">
        <f>IF($A52="","",SUMIFS('Raw daily data'!$F:$F,'Raw daily data'!$I:$I,$A52,'Raw daily data'!$F:$F,"&gt;0"))</f>
        <v/>
      </c>
      <c r="R52" s="208" t="str">
        <f>IF($A52="","",ABS(SUMIFS('Raw daily data'!$F:$F,'Raw daily data'!$I:$I,$A52,'Raw daily data'!$F:$F,"&lt;0")))</f>
        <v/>
      </c>
      <c r="S52" s="210" t="str">
        <f t="shared" si="11"/>
        <v/>
      </c>
      <c r="T52" s="211" t="str">
        <f t="shared" si="12"/>
        <v/>
      </c>
      <c r="U52" s="212" t="str">
        <f t="shared" si="13"/>
        <v/>
      </c>
      <c r="V52" s="210" t="str">
        <f t="shared" si="14"/>
        <v/>
      </c>
      <c r="W52" s="208" t="str">
        <f>IF($A52="","",_xlfn.MAXIFS('Raw daily data'!$J:$J,'Raw daily data'!$I:$I,$A52))</f>
        <v/>
      </c>
      <c r="X52" s="204" t="str">
        <f t="shared" si="16"/>
        <v/>
      </c>
      <c r="Y52" s="204" t="str">
        <f>IFERROR(IF($A52="","",ABS(MIN(0,_xlfn.MINIFS('Raw daily data'!$J:$J,'Raw daily data'!$I:$I,$A52)))/G52),"")</f>
        <v/>
      </c>
    </row>
    <row r="53" spans="1:25">
      <c r="A53" s="214"/>
      <c r="B53" s="205"/>
      <c r="C53" s="206" t="str">
        <f t="shared" si="0"/>
        <v/>
      </c>
      <c r="D53" s="205"/>
      <c r="E53" s="207" t="str">
        <f t="shared" si="1"/>
        <v/>
      </c>
      <c r="F53" s="208" t="str">
        <f>IF($A53="","",$E53*Summary!$B$8)</f>
        <v/>
      </c>
      <c r="G53" s="208" t="str">
        <f>IF($A53="","",F53*Summary!$B$9)</f>
        <v/>
      </c>
      <c r="H53" s="207" t="str">
        <f>IF($A53="","",SUMIFS('Raw daily data'!$F:$F,'Raw daily data'!$I:$I,$A53))</f>
        <v/>
      </c>
      <c r="I53" s="207" t="str">
        <f t="shared" si="2"/>
        <v/>
      </c>
      <c r="J53" s="213" t="str">
        <f t="shared" si="15"/>
        <v/>
      </c>
      <c r="K53" s="207" t="str">
        <f>IF($A53="","",Summary!$B$6)</f>
        <v/>
      </c>
      <c r="L53" s="207" t="str">
        <f t="shared" si="10"/>
        <v/>
      </c>
      <c r="M53" s="205"/>
      <c r="N53" s="206" t="str">
        <f>IF($A53="","",COUNTIFS('Raw daily data'!$I:$I,$A53))</f>
        <v/>
      </c>
      <c r="O53" s="206" t="str">
        <f>IF($A53="","",COUNTIFS('Raw daily data'!$I:$I,$A53,'Raw daily data'!$F:$F,"&gt;0"))</f>
        <v/>
      </c>
      <c r="P53" s="206" t="str">
        <f>IF($A53="","",COUNTIFS('Raw daily data'!$I:$I,$A53,'Raw daily data'!$F:$F,"&lt;0"))</f>
        <v/>
      </c>
      <c r="Q53" s="208" t="str">
        <f>IF($A53="","",SUMIFS('Raw daily data'!$F:$F,'Raw daily data'!$I:$I,$A53,'Raw daily data'!$F:$F,"&gt;0"))</f>
        <v/>
      </c>
      <c r="R53" s="208" t="str">
        <f>IF($A53="","",ABS(SUMIFS('Raw daily data'!$F:$F,'Raw daily data'!$I:$I,$A53,'Raw daily data'!$F:$F,"&lt;0")))</f>
        <v/>
      </c>
      <c r="S53" s="210" t="str">
        <f t="shared" si="11"/>
        <v/>
      </c>
      <c r="T53" s="211" t="str">
        <f t="shared" si="12"/>
        <v/>
      </c>
      <c r="U53" s="212" t="str">
        <f t="shared" si="13"/>
        <v/>
      </c>
      <c r="V53" s="210" t="str">
        <f t="shared" si="14"/>
        <v/>
      </c>
      <c r="W53" s="208" t="str">
        <f>IF($A53="","",_xlfn.MAXIFS('Raw daily data'!$J:$J,'Raw daily data'!$I:$I,$A53))</f>
        <v/>
      </c>
      <c r="X53" s="204" t="str">
        <f t="shared" si="16"/>
        <v/>
      </c>
      <c r="Y53" s="204" t="str">
        <f>IFERROR(IF($A53="","",ABS(MIN(0,_xlfn.MINIFS('Raw daily data'!$J:$J,'Raw daily data'!$I:$I,$A53)))/G53),"")</f>
        <v/>
      </c>
    </row>
    <row r="54" spans="1:25">
      <c r="A54" s="214"/>
      <c r="B54" s="205"/>
      <c r="C54" s="206" t="str">
        <f t="shared" si="0"/>
        <v/>
      </c>
      <c r="D54" s="205"/>
      <c r="E54" s="207" t="str">
        <f t="shared" si="1"/>
        <v/>
      </c>
      <c r="F54" s="208" t="str">
        <f>IF($A54="","",$E54*Summary!$B$8)</f>
        <v/>
      </c>
      <c r="G54" s="208" t="str">
        <f>IF($A54="","",F54*Summary!$B$9)</f>
        <v/>
      </c>
      <c r="H54" s="207" t="str">
        <f>IF($A54="","",SUMIFS('Raw daily data'!$F:$F,'Raw daily data'!$I:$I,$A54))</f>
        <v/>
      </c>
      <c r="I54" s="207" t="str">
        <f t="shared" si="2"/>
        <v/>
      </c>
      <c r="J54" s="213" t="str">
        <f t="shared" si="15"/>
        <v/>
      </c>
      <c r="K54" s="207" t="str">
        <f>IF($A54="","",Summary!$B$6)</f>
        <v/>
      </c>
      <c r="L54" s="207" t="str">
        <f t="shared" si="10"/>
        <v/>
      </c>
      <c r="M54" s="205"/>
      <c r="N54" s="206" t="str">
        <f>IF($A54="","",COUNTIFS('Raw daily data'!$I:$I,$A54))</f>
        <v/>
      </c>
      <c r="O54" s="206" t="str">
        <f>IF($A54="","",COUNTIFS('Raw daily data'!$I:$I,$A54,'Raw daily data'!$F:$F,"&gt;0"))</f>
        <v/>
      </c>
      <c r="P54" s="206" t="str">
        <f>IF($A54="","",COUNTIFS('Raw daily data'!$I:$I,$A54,'Raw daily data'!$F:$F,"&lt;0"))</f>
        <v/>
      </c>
      <c r="Q54" s="208" t="str">
        <f>IF($A54="","",SUMIFS('Raw daily data'!$F:$F,'Raw daily data'!$I:$I,$A54,'Raw daily data'!$F:$F,"&gt;0"))</f>
        <v/>
      </c>
      <c r="R54" s="208" t="str">
        <f>IF($A54="","",ABS(SUMIFS('Raw daily data'!$F:$F,'Raw daily data'!$I:$I,$A54,'Raw daily data'!$F:$F,"&lt;0")))</f>
        <v/>
      </c>
      <c r="S54" s="210" t="str">
        <f t="shared" si="11"/>
        <v/>
      </c>
      <c r="T54" s="211" t="str">
        <f t="shared" si="12"/>
        <v/>
      </c>
      <c r="U54" s="212" t="str">
        <f t="shared" si="13"/>
        <v/>
      </c>
      <c r="V54" s="210" t="str">
        <f t="shared" si="14"/>
        <v/>
      </c>
      <c r="W54" s="208" t="str">
        <f>IF($A54="","",_xlfn.MAXIFS('Raw daily data'!$J:$J,'Raw daily data'!$I:$I,$A54))</f>
        <v/>
      </c>
      <c r="X54" s="204" t="str">
        <f t="shared" si="16"/>
        <v/>
      </c>
      <c r="Y54" s="204" t="str">
        <f>IFERROR(IF($A54="","",ABS(MIN(0,_xlfn.MINIFS('Raw daily data'!$J:$J,'Raw daily data'!$I:$I,$A54)))/G54),"")</f>
        <v/>
      </c>
    </row>
    <row r="55" spans="1:25">
      <c r="A55" s="214"/>
      <c r="B55" s="205"/>
      <c r="C55" s="206" t="str">
        <f t="shared" si="0"/>
        <v/>
      </c>
      <c r="D55" s="205"/>
      <c r="E55" s="207" t="str">
        <f t="shared" si="1"/>
        <v/>
      </c>
      <c r="F55" s="208" t="str">
        <f>IF($A55="","",$E55*Summary!$B$8)</f>
        <v/>
      </c>
      <c r="G55" s="208" t="str">
        <f>IF($A55="","",F55*Summary!$B$9)</f>
        <v/>
      </c>
      <c r="H55" s="207" t="str">
        <f>IF($A55="","",SUMIFS('Raw daily data'!$F:$F,'Raw daily data'!$I:$I,$A55))</f>
        <v/>
      </c>
      <c r="I55" s="207" t="str">
        <f t="shared" si="2"/>
        <v/>
      </c>
      <c r="J55" s="213" t="str">
        <f t="shared" si="15"/>
        <v/>
      </c>
      <c r="K55" s="207" t="str">
        <f>IF($A55="","",Summary!$B$6)</f>
        <v/>
      </c>
      <c r="L55" s="207" t="str">
        <f t="shared" si="10"/>
        <v/>
      </c>
      <c r="M55" s="205"/>
      <c r="N55" s="206" t="str">
        <f>IF($A55="","",COUNTIFS('Raw daily data'!$I:$I,$A55))</f>
        <v/>
      </c>
      <c r="O55" s="206" t="str">
        <f>IF($A55="","",COUNTIFS('Raw daily data'!$I:$I,$A55,'Raw daily data'!$F:$F,"&gt;0"))</f>
        <v/>
      </c>
      <c r="P55" s="206" t="str">
        <f>IF($A55="","",COUNTIFS('Raw daily data'!$I:$I,$A55,'Raw daily data'!$F:$F,"&lt;0"))</f>
        <v/>
      </c>
      <c r="Q55" s="208" t="str">
        <f>IF($A55="","",SUMIFS('Raw daily data'!$F:$F,'Raw daily data'!$I:$I,$A55,'Raw daily data'!$F:$F,"&gt;0"))</f>
        <v/>
      </c>
      <c r="R55" s="208" t="str">
        <f>IF($A55="","",ABS(SUMIFS('Raw daily data'!$F:$F,'Raw daily data'!$I:$I,$A55,'Raw daily data'!$F:$F,"&lt;0")))</f>
        <v/>
      </c>
      <c r="S55" s="210" t="str">
        <f t="shared" si="11"/>
        <v/>
      </c>
      <c r="T55" s="211" t="str">
        <f t="shared" si="12"/>
        <v/>
      </c>
      <c r="U55" s="212" t="str">
        <f t="shared" si="13"/>
        <v/>
      </c>
      <c r="V55" s="210" t="str">
        <f t="shared" si="14"/>
        <v/>
      </c>
      <c r="W55" s="208" t="str">
        <f>IF($A55="","",_xlfn.MAXIFS('Raw daily data'!$J:$J,'Raw daily data'!$I:$I,$A55))</f>
        <v/>
      </c>
      <c r="X55" s="204" t="str">
        <f t="shared" si="16"/>
        <v/>
      </c>
      <c r="Y55" s="204" t="str">
        <f>IFERROR(IF($A55="","",ABS(MIN(0,_xlfn.MINIFS('Raw daily data'!$J:$J,'Raw daily data'!$I:$I,$A55)))/G55),"")</f>
        <v/>
      </c>
    </row>
    <row r="56" spans="1:25">
      <c r="A56" s="214"/>
      <c r="B56" s="205"/>
      <c r="C56" s="206" t="str">
        <f t="shared" si="0"/>
        <v/>
      </c>
      <c r="D56" s="205"/>
      <c r="E56" s="207" t="str">
        <f t="shared" si="1"/>
        <v/>
      </c>
      <c r="F56" s="208" t="str">
        <f>IF($A56="","",$E56*Summary!$B$8)</f>
        <v/>
      </c>
      <c r="G56" s="208" t="str">
        <f>IF($A56="","",F56*Summary!$B$9)</f>
        <v/>
      </c>
      <c r="H56" s="207" t="str">
        <f>IF($A56="","",SUMIFS('Raw daily data'!$F:$F,'Raw daily data'!$I:$I,$A56))</f>
        <v/>
      </c>
      <c r="I56" s="207" t="str">
        <f t="shared" si="2"/>
        <v/>
      </c>
      <c r="J56" s="213" t="str">
        <f t="shared" si="15"/>
        <v/>
      </c>
      <c r="K56" s="207" t="str">
        <f>IF($A56="","",Summary!$B$6)</f>
        <v/>
      </c>
      <c r="L56" s="207" t="str">
        <f t="shared" si="10"/>
        <v/>
      </c>
      <c r="M56" s="205"/>
      <c r="N56" s="206" t="str">
        <f>IF($A56="","",COUNTIFS('Raw daily data'!$I:$I,$A56))</f>
        <v/>
      </c>
      <c r="O56" s="206" t="str">
        <f>IF($A56="","",COUNTIFS('Raw daily data'!$I:$I,$A56,'Raw daily data'!$F:$F,"&gt;0"))</f>
        <v/>
      </c>
      <c r="P56" s="206" t="str">
        <f>IF($A56="","",COUNTIFS('Raw daily data'!$I:$I,$A56,'Raw daily data'!$F:$F,"&lt;0"))</f>
        <v/>
      </c>
      <c r="Q56" s="208" t="str">
        <f>IF($A56="","",SUMIFS('Raw daily data'!$F:$F,'Raw daily data'!$I:$I,$A56,'Raw daily data'!$F:$F,"&gt;0"))</f>
        <v/>
      </c>
      <c r="R56" s="208" t="str">
        <f>IF($A56="","",ABS(SUMIFS('Raw daily data'!$F:$F,'Raw daily data'!$I:$I,$A56,'Raw daily data'!$F:$F,"&lt;0")))</f>
        <v/>
      </c>
      <c r="S56" s="210" t="str">
        <f t="shared" si="11"/>
        <v/>
      </c>
      <c r="T56" s="211" t="str">
        <f t="shared" si="12"/>
        <v/>
      </c>
      <c r="U56" s="212" t="str">
        <f t="shared" si="13"/>
        <v/>
      </c>
      <c r="V56" s="210" t="str">
        <f t="shared" si="14"/>
        <v/>
      </c>
      <c r="W56" s="208" t="str">
        <f>IF($A56="","",_xlfn.MAXIFS('Raw daily data'!$J:$J,'Raw daily data'!$I:$I,$A56))</f>
        <v/>
      </c>
      <c r="X56" s="204" t="str">
        <f t="shared" si="16"/>
        <v/>
      </c>
      <c r="Y56" s="204" t="str">
        <f>IFERROR(IF($A56="","",ABS(MIN(0,_xlfn.MINIFS('Raw daily data'!$J:$J,'Raw daily data'!$I:$I,$A56)))/G56),"")</f>
        <v/>
      </c>
    </row>
    <row r="57" spans="1:25">
      <c r="A57" s="214"/>
      <c r="B57" s="205"/>
      <c r="C57" s="206" t="str">
        <f t="shared" si="0"/>
        <v/>
      </c>
      <c r="D57" s="205"/>
      <c r="E57" s="207" t="str">
        <f t="shared" si="1"/>
        <v/>
      </c>
      <c r="F57" s="208" t="str">
        <f>IF($A57="","",$E57*Summary!$B$8)</f>
        <v/>
      </c>
      <c r="G57" s="208" t="str">
        <f>IF($A57="","",F57*Summary!$B$9)</f>
        <v/>
      </c>
      <c r="H57" s="207" t="str">
        <f>IF($A57="","",SUMIFS('Raw daily data'!$F:$F,'Raw daily data'!$I:$I,$A57))</f>
        <v/>
      </c>
      <c r="I57" s="207" t="str">
        <f t="shared" si="2"/>
        <v/>
      </c>
      <c r="J57" s="213" t="str">
        <f t="shared" si="15"/>
        <v/>
      </c>
      <c r="K57" s="207" t="str">
        <f>IF($A57="","",Summary!$B$6)</f>
        <v/>
      </c>
      <c r="L57" s="207" t="str">
        <f t="shared" si="10"/>
        <v/>
      </c>
      <c r="M57" s="205"/>
      <c r="N57" s="206" t="str">
        <f>IF($A57="","",COUNTIFS('Raw daily data'!$I:$I,$A57))</f>
        <v/>
      </c>
      <c r="O57" s="206" t="str">
        <f>IF($A57="","",COUNTIFS('Raw daily data'!$I:$I,$A57,'Raw daily data'!$F:$F,"&gt;0"))</f>
        <v/>
      </c>
      <c r="P57" s="206" t="str">
        <f>IF($A57="","",COUNTIFS('Raw daily data'!$I:$I,$A57,'Raw daily data'!$F:$F,"&lt;0"))</f>
        <v/>
      </c>
      <c r="Q57" s="208" t="str">
        <f>IF($A57="","",SUMIFS('Raw daily data'!$F:$F,'Raw daily data'!$I:$I,$A57,'Raw daily data'!$F:$F,"&gt;0"))</f>
        <v/>
      </c>
      <c r="R57" s="208" t="str">
        <f>IF($A57="","",ABS(SUMIFS('Raw daily data'!$F:$F,'Raw daily data'!$I:$I,$A57,'Raw daily data'!$F:$F,"&lt;0")))</f>
        <v/>
      </c>
      <c r="S57" s="210" t="str">
        <f t="shared" si="11"/>
        <v/>
      </c>
      <c r="T57" s="211" t="str">
        <f t="shared" si="12"/>
        <v/>
      </c>
      <c r="U57" s="212" t="str">
        <f t="shared" si="13"/>
        <v/>
      </c>
      <c r="V57" s="210" t="str">
        <f t="shared" si="14"/>
        <v/>
      </c>
      <c r="W57" s="208" t="str">
        <f>IF($A57="","",_xlfn.MAXIFS('Raw daily data'!$J:$J,'Raw daily data'!$I:$I,$A57))</f>
        <v/>
      </c>
      <c r="X57" s="204" t="str">
        <f t="shared" si="16"/>
        <v/>
      </c>
      <c r="Y57" s="204" t="str">
        <f>IFERROR(IF($A57="","",ABS(MIN(0,_xlfn.MINIFS('Raw daily data'!$J:$J,'Raw daily data'!$I:$I,$A57)))/G57),"")</f>
        <v/>
      </c>
    </row>
    <row r="58" spans="1:25">
      <c r="A58" s="214"/>
      <c r="B58" s="205"/>
      <c r="C58" s="206" t="str">
        <f t="shared" si="0"/>
        <v/>
      </c>
      <c r="D58" s="205"/>
      <c r="E58" s="207" t="str">
        <f t="shared" si="1"/>
        <v/>
      </c>
      <c r="F58" s="208" t="str">
        <f>IF($A58="","",$E58*Summary!$B$8)</f>
        <v/>
      </c>
      <c r="G58" s="208" t="str">
        <f>IF($A58="","",F58*Summary!$B$9)</f>
        <v/>
      </c>
      <c r="H58" s="207" t="str">
        <f>IF($A58="","",SUMIFS('Raw daily data'!$F:$F,'Raw daily data'!$I:$I,$A58))</f>
        <v/>
      </c>
      <c r="I58" s="207" t="str">
        <f t="shared" si="2"/>
        <v/>
      </c>
      <c r="J58" s="213" t="str">
        <f t="shared" si="15"/>
        <v/>
      </c>
      <c r="K58" s="207" t="str">
        <f>IF($A58="","",Summary!$B$6)</f>
        <v/>
      </c>
      <c r="L58" s="207" t="str">
        <f t="shared" si="10"/>
        <v/>
      </c>
      <c r="M58" s="205"/>
      <c r="N58" s="206" t="str">
        <f>IF($A58="","",COUNTIFS('Raw daily data'!$I:$I,$A58))</f>
        <v/>
      </c>
      <c r="O58" s="206" t="str">
        <f>IF($A58="","",COUNTIFS('Raw daily data'!$I:$I,$A58,'Raw daily data'!$F:$F,"&gt;0"))</f>
        <v/>
      </c>
      <c r="P58" s="206" t="str">
        <f>IF($A58="","",COUNTIFS('Raw daily data'!$I:$I,$A58,'Raw daily data'!$F:$F,"&lt;0"))</f>
        <v/>
      </c>
      <c r="Q58" s="208" t="str">
        <f>IF($A58="","",SUMIFS('Raw daily data'!$F:$F,'Raw daily data'!$I:$I,$A58,'Raw daily data'!$F:$F,"&gt;0"))</f>
        <v/>
      </c>
      <c r="R58" s="208" t="str">
        <f>IF($A58="","",ABS(SUMIFS('Raw daily data'!$F:$F,'Raw daily data'!$I:$I,$A58,'Raw daily data'!$F:$F,"&lt;0")))</f>
        <v/>
      </c>
      <c r="S58" s="210" t="str">
        <f t="shared" si="11"/>
        <v/>
      </c>
      <c r="T58" s="211" t="str">
        <f t="shared" si="12"/>
        <v/>
      </c>
      <c r="U58" s="212" t="str">
        <f t="shared" si="13"/>
        <v/>
      </c>
      <c r="V58" s="210" t="str">
        <f t="shared" si="14"/>
        <v/>
      </c>
      <c r="W58" s="208" t="str">
        <f>IF($A58="","",_xlfn.MAXIFS('Raw daily data'!$J:$J,'Raw daily data'!$I:$I,$A58))</f>
        <v/>
      </c>
      <c r="X58" s="204" t="str">
        <f t="shared" si="16"/>
        <v/>
      </c>
      <c r="Y58" s="204" t="str">
        <f>IFERROR(IF($A58="","",ABS(MIN(0,_xlfn.MINIFS('Raw daily data'!$J:$J,'Raw daily data'!$I:$I,$A58)))/G58),"")</f>
        <v/>
      </c>
    </row>
    <row r="59" spans="1:25">
      <c r="A59" s="214"/>
      <c r="B59" s="205"/>
      <c r="C59" s="206" t="str">
        <f t="shared" si="0"/>
        <v/>
      </c>
      <c r="D59" s="205"/>
      <c r="E59" s="207" t="str">
        <f t="shared" si="1"/>
        <v/>
      </c>
      <c r="F59" s="208" t="str">
        <f>IF($A59="","",$E59*Summary!$B$8)</f>
        <v/>
      </c>
      <c r="G59" s="208" t="str">
        <f>IF($A59="","",F59*Summary!$B$9)</f>
        <v/>
      </c>
      <c r="H59" s="207" t="str">
        <f>IF($A59="","",SUMIFS('Raw daily data'!$F:$F,'Raw daily data'!$I:$I,$A59))</f>
        <v/>
      </c>
      <c r="I59" s="207" t="str">
        <f t="shared" si="2"/>
        <v/>
      </c>
      <c r="J59" s="213" t="str">
        <f t="shared" si="15"/>
        <v/>
      </c>
      <c r="K59" s="207" t="str">
        <f>IF($A59="","",Summary!$B$6)</f>
        <v/>
      </c>
      <c r="L59" s="207" t="str">
        <f t="shared" si="10"/>
        <v/>
      </c>
      <c r="M59" s="205"/>
      <c r="N59" s="206" t="str">
        <f>IF($A59="","",COUNTIFS('Raw daily data'!$I:$I,$A59))</f>
        <v/>
      </c>
      <c r="O59" s="206" t="str">
        <f>IF($A59="","",COUNTIFS('Raw daily data'!$I:$I,$A59,'Raw daily data'!$F:$F,"&gt;0"))</f>
        <v/>
      </c>
      <c r="P59" s="206" t="str">
        <f>IF($A59="","",COUNTIFS('Raw daily data'!$I:$I,$A59,'Raw daily data'!$F:$F,"&lt;0"))</f>
        <v/>
      </c>
      <c r="Q59" s="208" t="str">
        <f>IF($A59="","",SUMIFS('Raw daily data'!$F:$F,'Raw daily data'!$I:$I,$A59,'Raw daily data'!$F:$F,"&gt;0"))</f>
        <v/>
      </c>
      <c r="R59" s="208" t="str">
        <f>IF($A59="","",ABS(SUMIFS('Raw daily data'!$F:$F,'Raw daily data'!$I:$I,$A59,'Raw daily data'!$F:$F,"&lt;0")))</f>
        <v/>
      </c>
      <c r="S59" s="210" t="str">
        <f t="shared" si="11"/>
        <v/>
      </c>
      <c r="T59" s="211" t="str">
        <f t="shared" si="12"/>
        <v/>
      </c>
      <c r="U59" s="212" t="str">
        <f t="shared" si="13"/>
        <v/>
      </c>
      <c r="V59" s="210" t="str">
        <f t="shared" si="14"/>
        <v/>
      </c>
      <c r="W59" s="208" t="str">
        <f>IF($A59="","",_xlfn.MAXIFS('Raw daily data'!$J:$J,'Raw daily data'!$I:$I,$A59))</f>
        <v/>
      </c>
      <c r="X59" s="204" t="str">
        <f t="shared" si="16"/>
        <v/>
      </c>
      <c r="Y59" s="204" t="str">
        <f>IFERROR(IF($A59="","",ABS(MIN(0,_xlfn.MINIFS('Raw daily data'!$J:$J,'Raw daily data'!$I:$I,$A59)))/G59),"")</f>
        <v/>
      </c>
    </row>
    <row r="60" spans="1:25">
      <c r="A60" s="214"/>
      <c r="B60" s="205"/>
      <c r="C60" s="206" t="str">
        <f t="shared" si="0"/>
        <v/>
      </c>
      <c r="D60" s="205"/>
      <c r="E60" s="207" t="str">
        <f t="shared" si="1"/>
        <v/>
      </c>
      <c r="F60" s="208" t="str">
        <f>IF($A60="","",$E60*Summary!$B$8)</f>
        <v/>
      </c>
      <c r="G60" s="208" t="str">
        <f>IF($A60="","",F60*Summary!$B$9)</f>
        <v/>
      </c>
      <c r="H60" s="207" t="str">
        <f>IF($A60="","",SUMIFS('Raw daily data'!$F:$F,'Raw daily data'!$I:$I,$A60))</f>
        <v/>
      </c>
      <c r="I60" s="207" t="str">
        <f t="shared" si="2"/>
        <v/>
      </c>
      <c r="J60" s="213" t="str">
        <f t="shared" si="15"/>
        <v/>
      </c>
      <c r="K60" s="207" t="str">
        <f>IF($A60="","",Summary!$B$6)</f>
        <v/>
      </c>
      <c r="L60" s="207" t="str">
        <f t="shared" si="10"/>
        <v/>
      </c>
      <c r="M60" s="205"/>
      <c r="N60" s="206" t="str">
        <f>IF($A60="","",COUNTIFS('Raw daily data'!$I:$I,$A60))</f>
        <v/>
      </c>
      <c r="O60" s="206" t="str">
        <f>IF($A60="","",COUNTIFS('Raw daily data'!$I:$I,$A60,'Raw daily data'!$F:$F,"&gt;0"))</f>
        <v/>
      </c>
      <c r="P60" s="206" t="str">
        <f>IF($A60="","",COUNTIFS('Raw daily data'!$I:$I,$A60,'Raw daily data'!$F:$F,"&lt;0"))</f>
        <v/>
      </c>
      <c r="Q60" s="208" t="str">
        <f>IF($A60="","",SUMIFS('Raw daily data'!$F:$F,'Raw daily data'!$I:$I,$A60,'Raw daily data'!$F:$F,"&gt;0"))</f>
        <v/>
      </c>
      <c r="R60" s="208" t="str">
        <f>IF($A60="","",ABS(SUMIFS('Raw daily data'!$F:$F,'Raw daily data'!$I:$I,$A60,'Raw daily data'!$F:$F,"&lt;0")))</f>
        <v/>
      </c>
      <c r="S60" s="210" t="str">
        <f t="shared" si="11"/>
        <v/>
      </c>
      <c r="T60" s="211" t="str">
        <f t="shared" si="12"/>
        <v/>
      </c>
      <c r="U60" s="212" t="str">
        <f t="shared" si="13"/>
        <v/>
      </c>
      <c r="V60" s="210" t="str">
        <f t="shared" si="14"/>
        <v/>
      </c>
      <c r="W60" s="208" t="str">
        <f>IF($A60="","",_xlfn.MAXIFS('Raw daily data'!$J:$J,'Raw daily data'!$I:$I,$A60))</f>
        <v/>
      </c>
      <c r="X60" s="204" t="str">
        <f t="shared" si="16"/>
        <v/>
      </c>
      <c r="Y60" s="204" t="str">
        <f>IFERROR(IF($A60="","",ABS(MIN(0,_xlfn.MINIFS('Raw daily data'!$J:$J,'Raw daily data'!$I:$I,$A60)))/G60),"")</f>
        <v/>
      </c>
    </row>
    <row r="61" spans="1:25">
      <c r="A61" s="214"/>
      <c r="B61" s="205"/>
      <c r="C61" s="206" t="str">
        <f t="shared" si="0"/>
        <v/>
      </c>
      <c r="D61" s="205"/>
      <c r="E61" s="207" t="str">
        <f t="shared" si="1"/>
        <v/>
      </c>
      <c r="F61" s="208" t="str">
        <f>IF($A61="","",$E61*Summary!$B$8)</f>
        <v/>
      </c>
      <c r="G61" s="208" t="str">
        <f>IF($A61="","",F61*Summary!$B$9)</f>
        <v/>
      </c>
      <c r="H61" s="207" t="str">
        <f>IF($A61="","",SUMIFS('Raw daily data'!$F:$F,'Raw daily data'!$I:$I,$A61))</f>
        <v/>
      </c>
      <c r="I61" s="207" t="str">
        <f t="shared" si="2"/>
        <v/>
      </c>
      <c r="J61" s="213" t="str">
        <f t="shared" si="15"/>
        <v/>
      </c>
      <c r="K61" s="207" t="str">
        <f>IF($A61="","",Summary!$B$6)</f>
        <v/>
      </c>
      <c r="L61" s="207" t="str">
        <f t="shared" si="10"/>
        <v/>
      </c>
      <c r="M61" s="205"/>
      <c r="N61" s="206" t="str">
        <f>IF($A61="","",COUNTIFS('Raw daily data'!$I:$I,$A61))</f>
        <v/>
      </c>
      <c r="O61" s="206" t="str">
        <f>IF($A61="","",COUNTIFS('Raw daily data'!$I:$I,$A61,'Raw daily data'!$F:$F,"&gt;0"))</f>
        <v/>
      </c>
      <c r="P61" s="206" t="str">
        <f>IF($A61="","",COUNTIFS('Raw daily data'!$I:$I,$A61,'Raw daily data'!$F:$F,"&lt;0"))</f>
        <v/>
      </c>
      <c r="Q61" s="208" t="str">
        <f>IF($A61="","",SUMIFS('Raw daily data'!$F:$F,'Raw daily data'!$I:$I,$A61,'Raw daily data'!$F:$F,"&gt;0"))</f>
        <v/>
      </c>
      <c r="R61" s="208" t="str">
        <f>IF($A61="","",ABS(SUMIFS('Raw daily data'!$F:$F,'Raw daily data'!$I:$I,$A61,'Raw daily data'!$F:$F,"&lt;0")))</f>
        <v/>
      </c>
      <c r="S61" s="210" t="str">
        <f t="shared" si="11"/>
        <v/>
      </c>
      <c r="T61" s="211" t="str">
        <f t="shared" si="12"/>
        <v/>
      </c>
      <c r="U61" s="212" t="str">
        <f t="shared" si="13"/>
        <v/>
      </c>
      <c r="V61" s="210" t="str">
        <f t="shared" si="14"/>
        <v/>
      </c>
      <c r="W61" s="208" t="str">
        <f>IF($A61="","",_xlfn.MAXIFS('Raw daily data'!$J:$J,'Raw daily data'!$I:$I,$A61))</f>
        <v/>
      </c>
      <c r="X61" s="204" t="str">
        <f t="shared" si="16"/>
        <v/>
      </c>
      <c r="Y61" s="204" t="str">
        <f>IFERROR(IF($A61="","",ABS(MIN(0,_xlfn.MINIFS('Raw daily data'!$J:$J,'Raw daily data'!$I:$I,$A61)))/G61),"")</f>
        <v/>
      </c>
    </row>
    <row r="62" spans="1:25">
      <c r="A62" s="214"/>
      <c r="B62" s="205"/>
      <c r="C62" s="206" t="str">
        <f t="shared" si="0"/>
        <v/>
      </c>
      <c r="D62" s="205"/>
      <c r="E62" s="207" t="str">
        <f t="shared" si="1"/>
        <v/>
      </c>
      <c r="F62" s="208" t="str">
        <f>IF($A62="","",$E62*Summary!$B$8)</f>
        <v/>
      </c>
      <c r="G62" s="208" t="str">
        <f>IF($A62="","",F62*Summary!$B$9)</f>
        <v/>
      </c>
      <c r="H62" s="207" t="str">
        <f>IF($A62="","",SUMIFS('Raw daily data'!$F:$F,'Raw daily data'!$I:$I,$A62))</f>
        <v/>
      </c>
      <c r="I62" s="207" t="str">
        <f t="shared" si="2"/>
        <v/>
      </c>
      <c r="J62" s="213" t="str">
        <f t="shared" si="15"/>
        <v/>
      </c>
      <c r="K62" s="207" t="str">
        <f>IF($A62="","",Summary!$B$6)</f>
        <v/>
      </c>
      <c r="L62" s="207" t="str">
        <f t="shared" si="10"/>
        <v/>
      </c>
      <c r="M62" s="205"/>
      <c r="N62" s="206" t="str">
        <f>IF($A62="","",COUNTIFS('Raw daily data'!$I:$I,$A62))</f>
        <v/>
      </c>
      <c r="O62" s="206" t="str">
        <f>IF($A62="","",COUNTIFS('Raw daily data'!$I:$I,$A62,'Raw daily data'!$F:$F,"&gt;0"))</f>
        <v/>
      </c>
      <c r="P62" s="206" t="str">
        <f>IF($A62="","",COUNTIFS('Raw daily data'!$I:$I,$A62,'Raw daily data'!$F:$F,"&lt;0"))</f>
        <v/>
      </c>
      <c r="Q62" s="208" t="str">
        <f>IF($A62="","",SUMIFS('Raw daily data'!$F:$F,'Raw daily data'!$I:$I,$A62,'Raw daily data'!$F:$F,"&gt;0"))</f>
        <v/>
      </c>
      <c r="R62" s="208" t="str">
        <f>IF($A62="","",ABS(SUMIFS('Raw daily data'!$F:$F,'Raw daily data'!$I:$I,$A62,'Raw daily data'!$F:$F,"&lt;0")))</f>
        <v/>
      </c>
      <c r="S62" s="210" t="str">
        <f t="shared" si="11"/>
        <v/>
      </c>
      <c r="T62" s="211" t="str">
        <f t="shared" si="12"/>
        <v/>
      </c>
      <c r="U62" s="212" t="str">
        <f t="shared" si="13"/>
        <v/>
      </c>
      <c r="V62" s="210" t="str">
        <f t="shared" si="14"/>
        <v/>
      </c>
      <c r="W62" s="208" t="str">
        <f>IF($A62="","",_xlfn.MAXIFS('Raw daily data'!$J:$J,'Raw daily data'!$I:$I,$A62))</f>
        <v/>
      </c>
      <c r="X62" s="204" t="str">
        <f t="shared" si="16"/>
        <v/>
      </c>
      <c r="Y62" s="204" t="str">
        <f>IFERROR(IF($A62="","",ABS(MIN(0,_xlfn.MINIFS('Raw daily data'!$J:$J,'Raw daily data'!$I:$I,$A62)))/G62),"")</f>
        <v/>
      </c>
    </row>
    <row r="63" spans="1:25">
      <c r="A63" s="214"/>
      <c r="B63" s="205"/>
      <c r="C63" s="206" t="str">
        <f t="shared" si="0"/>
        <v/>
      </c>
      <c r="D63" s="205"/>
      <c r="E63" s="207" t="str">
        <f t="shared" si="1"/>
        <v/>
      </c>
      <c r="F63" s="208" t="str">
        <f>IF($A63="","",$E63*Summary!$B$8)</f>
        <v/>
      </c>
      <c r="G63" s="208" t="str">
        <f>IF($A63="","",F63*Summary!$B$9)</f>
        <v/>
      </c>
      <c r="H63" s="207" t="str">
        <f>IF($A63="","",SUMIFS('Raw daily data'!$F:$F,'Raw daily data'!$I:$I,$A63))</f>
        <v/>
      </c>
      <c r="I63" s="207" t="str">
        <f t="shared" si="2"/>
        <v/>
      </c>
      <c r="J63" s="213" t="str">
        <f t="shared" si="15"/>
        <v/>
      </c>
      <c r="K63" s="207" t="str">
        <f>IF($A63="","",Summary!$B$6)</f>
        <v/>
      </c>
      <c r="L63" s="207" t="str">
        <f t="shared" si="10"/>
        <v/>
      </c>
      <c r="M63" s="205"/>
      <c r="N63" s="206" t="str">
        <f>IF($A63="","",COUNTIFS('Raw daily data'!$I:$I,$A63))</f>
        <v/>
      </c>
      <c r="O63" s="206" t="str">
        <f>IF($A63="","",COUNTIFS('Raw daily data'!$I:$I,$A63,'Raw daily data'!$F:$F,"&gt;0"))</f>
        <v/>
      </c>
      <c r="P63" s="206" t="str">
        <f>IF($A63="","",COUNTIFS('Raw daily data'!$I:$I,$A63,'Raw daily data'!$F:$F,"&lt;0"))</f>
        <v/>
      </c>
      <c r="Q63" s="208" t="str">
        <f>IF($A63="","",SUMIFS('Raw daily data'!$F:$F,'Raw daily data'!$I:$I,$A63,'Raw daily data'!$F:$F,"&gt;0"))</f>
        <v/>
      </c>
      <c r="R63" s="208" t="str">
        <f>IF($A63="","",ABS(SUMIFS('Raw daily data'!$F:$F,'Raw daily data'!$I:$I,$A63,'Raw daily data'!$F:$F,"&lt;0")))</f>
        <v/>
      </c>
      <c r="S63" s="210" t="str">
        <f t="shared" si="11"/>
        <v/>
      </c>
      <c r="T63" s="211" t="str">
        <f t="shared" si="12"/>
        <v/>
      </c>
      <c r="U63" s="212" t="str">
        <f t="shared" si="13"/>
        <v/>
      </c>
      <c r="V63" s="210" t="str">
        <f t="shared" si="14"/>
        <v/>
      </c>
      <c r="W63" s="208" t="str">
        <f>IF($A63="","",_xlfn.MAXIFS('Raw daily data'!$J:$J,'Raw daily data'!$I:$I,$A63))</f>
        <v/>
      </c>
      <c r="X63" s="204" t="str">
        <f t="shared" si="16"/>
        <v/>
      </c>
      <c r="Y63" s="204" t="str">
        <f>IFERROR(IF($A63="","",ABS(MIN(0,_xlfn.MINIFS('Raw daily data'!$J:$J,'Raw daily data'!$I:$I,$A63)))/G63),"")</f>
        <v/>
      </c>
    </row>
    <row r="64" spans="1:25">
      <c r="A64" s="214"/>
      <c r="B64" s="205"/>
      <c r="C64" s="206" t="str">
        <f t="shared" si="0"/>
        <v/>
      </c>
      <c r="D64" s="205"/>
      <c r="E64" s="207" t="str">
        <f t="shared" si="1"/>
        <v/>
      </c>
      <c r="F64" s="208" t="str">
        <f>IF($A64="","",$E64*Summary!$B$8)</f>
        <v/>
      </c>
      <c r="G64" s="208" t="str">
        <f>IF($A64="","",F64*Summary!$B$9)</f>
        <v/>
      </c>
      <c r="H64" s="207" t="str">
        <f>IF($A64="","",SUMIFS('Raw daily data'!$F:$F,'Raw daily data'!$I:$I,$A64))</f>
        <v/>
      </c>
      <c r="I64" s="207" t="str">
        <f t="shared" si="2"/>
        <v/>
      </c>
      <c r="J64" s="213" t="str">
        <f t="shared" si="15"/>
        <v/>
      </c>
      <c r="K64" s="207" t="str">
        <f>IF($A64="","",Summary!$B$6)</f>
        <v/>
      </c>
      <c r="L64" s="207" t="str">
        <f t="shared" si="10"/>
        <v/>
      </c>
      <c r="M64" s="205"/>
      <c r="N64" s="206" t="str">
        <f>IF($A64="","",COUNTIFS('Raw daily data'!$I:$I,$A64))</f>
        <v/>
      </c>
      <c r="O64" s="206" t="str">
        <f>IF($A64="","",COUNTIFS('Raw daily data'!$I:$I,$A64,'Raw daily data'!$F:$F,"&gt;0"))</f>
        <v/>
      </c>
      <c r="P64" s="206" t="str">
        <f>IF($A64="","",COUNTIFS('Raw daily data'!$I:$I,$A64,'Raw daily data'!$F:$F,"&lt;0"))</f>
        <v/>
      </c>
      <c r="Q64" s="208" t="str">
        <f>IF($A64="","",SUMIFS('Raw daily data'!$F:$F,'Raw daily data'!$I:$I,$A64,'Raw daily data'!$F:$F,"&gt;0"))</f>
        <v/>
      </c>
      <c r="R64" s="208" t="str">
        <f>IF($A64="","",ABS(SUMIFS('Raw daily data'!$F:$F,'Raw daily data'!$I:$I,$A64,'Raw daily data'!$F:$F,"&lt;0")))</f>
        <v/>
      </c>
      <c r="S64" s="210" t="str">
        <f t="shared" si="11"/>
        <v/>
      </c>
      <c r="T64" s="211" t="str">
        <f t="shared" si="12"/>
        <v/>
      </c>
      <c r="U64" s="212" t="str">
        <f t="shared" si="13"/>
        <v/>
      </c>
      <c r="V64" s="210" t="str">
        <f t="shared" si="14"/>
        <v/>
      </c>
      <c r="W64" s="208" t="str">
        <f>IF($A64="","",_xlfn.MAXIFS('Raw daily data'!$J:$J,'Raw daily data'!$I:$I,$A64))</f>
        <v/>
      </c>
      <c r="X64" s="204" t="str">
        <f t="shared" si="16"/>
        <v/>
      </c>
      <c r="Y64" s="204" t="str">
        <f>IFERROR(IF($A64="","",ABS(MIN(0,_xlfn.MINIFS('Raw daily data'!$J:$J,'Raw daily data'!$I:$I,$A64)))/G64),"")</f>
        <v/>
      </c>
    </row>
    <row r="65" spans="1:25">
      <c r="A65" s="214"/>
      <c r="B65" s="205"/>
      <c r="C65" s="206" t="str">
        <f t="shared" si="0"/>
        <v/>
      </c>
      <c r="D65" s="205"/>
      <c r="E65" s="207" t="str">
        <f t="shared" si="1"/>
        <v/>
      </c>
      <c r="F65" s="208" t="str">
        <f>IF($A65="","",$E65*Summary!$B$8)</f>
        <v/>
      </c>
      <c r="G65" s="208" t="str">
        <f>IF($A65="","",F65*Summary!$B$9)</f>
        <v/>
      </c>
      <c r="H65" s="207" t="str">
        <f>IF($A65="","",SUMIFS('Raw daily data'!$F:$F,'Raw daily data'!$I:$I,$A65))</f>
        <v/>
      </c>
      <c r="I65" s="207" t="str">
        <f t="shared" si="2"/>
        <v/>
      </c>
      <c r="J65" s="213" t="str">
        <f t="shared" si="15"/>
        <v/>
      </c>
      <c r="K65" s="207" t="str">
        <f>IF($A65="","",Summary!$B$6)</f>
        <v/>
      </c>
      <c r="L65" s="207" t="str">
        <f t="shared" si="10"/>
        <v/>
      </c>
      <c r="M65" s="205"/>
      <c r="N65" s="206" t="str">
        <f>IF($A65="","",COUNTIFS('Raw daily data'!$I:$I,$A65))</f>
        <v/>
      </c>
      <c r="O65" s="206" t="str">
        <f>IF($A65="","",COUNTIFS('Raw daily data'!$I:$I,$A65,'Raw daily data'!$F:$F,"&gt;0"))</f>
        <v/>
      </c>
      <c r="P65" s="206" t="str">
        <f>IF($A65="","",COUNTIFS('Raw daily data'!$I:$I,$A65,'Raw daily data'!$F:$F,"&lt;0"))</f>
        <v/>
      </c>
      <c r="Q65" s="208" t="str">
        <f>IF($A65="","",SUMIFS('Raw daily data'!$F:$F,'Raw daily data'!$I:$I,$A65,'Raw daily data'!$F:$F,"&gt;0"))</f>
        <v/>
      </c>
      <c r="R65" s="208" t="str">
        <f>IF($A65="","",ABS(SUMIFS('Raw daily data'!$F:$F,'Raw daily data'!$I:$I,$A65,'Raw daily data'!$F:$F,"&lt;0")))</f>
        <v/>
      </c>
      <c r="S65" s="210" t="str">
        <f t="shared" si="11"/>
        <v/>
      </c>
      <c r="T65" s="211" t="str">
        <f t="shared" si="12"/>
        <v/>
      </c>
      <c r="U65" s="212" t="str">
        <f t="shared" si="13"/>
        <v/>
      </c>
      <c r="V65" s="210" t="str">
        <f t="shared" si="14"/>
        <v/>
      </c>
      <c r="W65" s="208" t="str">
        <f>IF($A65="","",_xlfn.MAXIFS('Raw daily data'!$J:$J,'Raw daily data'!$I:$I,$A65))</f>
        <v/>
      </c>
      <c r="X65" s="204" t="str">
        <f t="shared" si="16"/>
        <v/>
      </c>
      <c r="Y65" s="204" t="str">
        <f>IFERROR(IF($A65="","",ABS(MIN(0,_xlfn.MINIFS('Raw daily data'!$J:$J,'Raw daily data'!$I:$I,$A65)))/G65),"")</f>
        <v/>
      </c>
    </row>
    <row r="66" spans="1:25">
      <c r="A66" s="214"/>
      <c r="B66" s="205"/>
      <c r="C66" s="206" t="str">
        <f t="shared" ref="C66:C100" si="17">IF($A66="","",TEXT($A66,"dddd"))</f>
        <v/>
      </c>
      <c r="D66" s="205"/>
      <c r="E66" s="207" t="str">
        <f t="shared" ref="E66:E100" si="18">IF($A66="","", E65+H65)</f>
        <v/>
      </c>
      <c r="F66" s="208" t="str">
        <f>IF($A66="","",$E66*Summary!$B$8)</f>
        <v/>
      </c>
      <c r="G66" s="208" t="str">
        <f>IF($A66="","",F66*Summary!$B$9)</f>
        <v/>
      </c>
      <c r="H66" s="207" t="str">
        <f>IF($A66="","",SUMIFS('Raw daily data'!$F:$F,'Raw daily data'!$I:$I,$A66))</f>
        <v/>
      </c>
      <c r="I66" s="207" t="str">
        <f t="shared" ref="I66:I100" si="19">IF($A66="","", I65+H66)</f>
        <v/>
      </c>
      <c r="J66" s="213" t="str">
        <f t="shared" ref="J66:J100" si="20">IF($A66="","",SUMIF($B$2:$B$100,B66,$H$2:$H$100))</f>
        <v/>
      </c>
      <c r="K66" s="207" t="str">
        <f>IF($A66="","",Summary!$B$6)</f>
        <v/>
      </c>
      <c r="L66" s="207" t="str">
        <f t="shared" si="10"/>
        <v/>
      </c>
      <c r="M66" s="205"/>
      <c r="N66" s="206" t="str">
        <f>IF($A66="","",COUNTIFS('Raw daily data'!$I:$I,$A66))</f>
        <v/>
      </c>
      <c r="O66" s="206" t="str">
        <f>IF($A66="","",COUNTIFS('Raw daily data'!$I:$I,$A66,'Raw daily data'!$F:$F,"&gt;0"))</f>
        <v/>
      </c>
      <c r="P66" s="206" t="str">
        <f>IF($A66="","",COUNTIFS('Raw daily data'!$I:$I,$A66,'Raw daily data'!$F:$F,"&lt;0"))</f>
        <v/>
      </c>
      <c r="Q66" s="208" t="str">
        <f>IF($A66="","",SUMIFS('Raw daily data'!$F:$F,'Raw daily data'!$I:$I,$A66,'Raw daily data'!$F:$F,"&gt;0"))</f>
        <v/>
      </c>
      <c r="R66" s="208" t="str">
        <f>IF($A66="","",ABS(SUMIFS('Raw daily data'!$F:$F,'Raw daily data'!$I:$I,$A66,'Raw daily data'!$F:$F,"&lt;0")))</f>
        <v/>
      </c>
      <c r="S66" s="210" t="str">
        <f t="shared" si="11"/>
        <v/>
      </c>
      <c r="T66" s="211" t="str">
        <f t="shared" si="12"/>
        <v/>
      </c>
      <c r="U66" s="212" t="str">
        <f t="shared" si="13"/>
        <v/>
      </c>
      <c r="V66" s="210" t="str">
        <f t="shared" si="14"/>
        <v/>
      </c>
      <c r="W66" s="208" t="str">
        <f>IF($A66="","",_xlfn.MAXIFS('Raw daily data'!$J:$J,'Raw daily data'!$I:$I,$A66))</f>
        <v/>
      </c>
      <c r="X66" s="204" t="str">
        <f t="shared" si="16"/>
        <v/>
      </c>
      <c r="Y66" s="204" t="str">
        <f>IFERROR(IF($A66="","",ABS(MIN(0,_xlfn.MINIFS('Raw daily data'!$J:$J,'Raw daily data'!$I:$I,$A66)))/G66),"")</f>
        <v/>
      </c>
    </row>
    <row r="67" spans="1:25">
      <c r="A67" s="214"/>
      <c r="B67" s="205"/>
      <c r="C67" s="206" t="str">
        <f t="shared" si="17"/>
        <v/>
      </c>
      <c r="D67" s="205"/>
      <c r="E67" s="207" t="str">
        <f t="shared" si="18"/>
        <v/>
      </c>
      <c r="F67" s="208" t="str">
        <f>IF($A67="","",$E67*Summary!$B$8)</f>
        <v/>
      </c>
      <c r="G67" s="208" t="str">
        <f>IF($A67="","",F67*Summary!$B$9)</f>
        <v/>
      </c>
      <c r="H67" s="207" t="str">
        <f>IF($A67="","",SUMIFS('Raw daily data'!$F:$F,'Raw daily data'!$I:$I,$A67))</f>
        <v/>
      </c>
      <c r="I67" s="207" t="str">
        <f t="shared" si="19"/>
        <v/>
      </c>
      <c r="J67" s="213" t="str">
        <f t="shared" si="20"/>
        <v/>
      </c>
      <c r="K67" s="207" t="str">
        <f>IF($A67="","",Summary!$B$6)</f>
        <v/>
      </c>
      <c r="L67" s="207" t="str">
        <f t="shared" ref="L67:L100" si="21">IF($A67="","",IFERROR(J67-K67,""))</f>
        <v/>
      </c>
      <c r="M67" s="205"/>
      <c r="N67" s="206" t="str">
        <f>IF($A67="","",COUNTIFS('Raw daily data'!$I:$I,$A67))</f>
        <v/>
      </c>
      <c r="O67" s="206" t="str">
        <f>IF($A67="","",COUNTIFS('Raw daily data'!$I:$I,$A67,'Raw daily data'!$F:$F,"&gt;0"))</f>
        <v/>
      </c>
      <c r="P67" s="206" t="str">
        <f>IF($A67="","",COUNTIFS('Raw daily data'!$I:$I,$A67,'Raw daily data'!$F:$F,"&lt;0"))</f>
        <v/>
      </c>
      <c r="Q67" s="208" t="str">
        <f>IF($A67="","",SUMIFS('Raw daily data'!$F:$F,'Raw daily data'!$I:$I,$A67,'Raw daily data'!$F:$F,"&gt;0"))</f>
        <v/>
      </c>
      <c r="R67" s="208" t="str">
        <f>IF($A67="","",ABS(SUMIFS('Raw daily data'!$F:$F,'Raw daily data'!$I:$I,$A67,'Raw daily data'!$F:$F,"&lt;0")))</f>
        <v/>
      </c>
      <c r="S67" s="210" t="str">
        <f t="shared" ref="S67:S100" si="22">IF($A67="","",IF(N67&gt;0,O67/N67,""))</f>
        <v/>
      </c>
      <c r="T67" s="211" t="str">
        <f t="shared" ref="T67:T100" si="23">IF($A67="","",IF(R67&gt;0,Q67/ABS(R67),""))</f>
        <v/>
      </c>
      <c r="U67" s="212" t="str">
        <f t="shared" ref="U67:U100" si="24">IF($A67="","",IF(F67&gt;0,H67/F67,""))</f>
        <v/>
      </c>
      <c r="V67" s="210" t="str">
        <f t="shared" ref="V67:V100" si="25">IF($A67="","",IFERROR(IF(H67&lt;0,MIN(ABS(H67)/G67,1),0),""))</f>
        <v/>
      </c>
      <c r="W67" s="208" t="str">
        <f>IF($A67="","",_xlfn.MAXIFS('Raw daily data'!$J:$J,'Raw daily data'!$I:$I,$A67))</f>
        <v/>
      </c>
      <c r="X67" s="204" t="str">
        <f t="shared" si="16"/>
        <v/>
      </c>
      <c r="Y67" s="204" t="str">
        <f>IFERROR(IF($A67="","",ABS(MIN(0,_xlfn.MINIFS('Raw daily data'!$J:$J,'Raw daily data'!$I:$I,$A67)))/G67),"")</f>
        <v/>
      </c>
    </row>
    <row r="68" spans="1:25">
      <c r="A68" s="214"/>
      <c r="B68" s="205"/>
      <c r="C68" s="206" t="str">
        <f t="shared" si="17"/>
        <v/>
      </c>
      <c r="D68" s="205"/>
      <c r="E68" s="207" t="str">
        <f t="shared" si="18"/>
        <v/>
      </c>
      <c r="F68" s="208" t="str">
        <f>IF($A68="","",$E68*Summary!$B$8)</f>
        <v/>
      </c>
      <c r="G68" s="208" t="str">
        <f>IF($A68="","",F68*Summary!$B$9)</f>
        <v/>
      </c>
      <c r="H68" s="207" t="str">
        <f>IF($A68="","",SUMIFS('Raw daily data'!$F:$F,'Raw daily data'!$I:$I,$A68))</f>
        <v/>
      </c>
      <c r="I68" s="207" t="str">
        <f t="shared" si="19"/>
        <v/>
      </c>
      <c r="J68" s="213" t="str">
        <f t="shared" si="20"/>
        <v/>
      </c>
      <c r="K68" s="207" t="str">
        <f>IF($A68="","",Summary!$B$6)</f>
        <v/>
      </c>
      <c r="L68" s="207" t="str">
        <f t="shared" si="21"/>
        <v/>
      </c>
      <c r="M68" s="205"/>
      <c r="N68" s="206" t="str">
        <f>IF($A68="","",COUNTIFS('Raw daily data'!$I:$I,$A68))</f>
        <v/>
      </c>
      <c r="O68" s="206" t="str">
        <f>IF($A68="","",COUNTIFS('Raw daily data'!$I:$I,$A68,'Raw daily data'!$F:$F,"&gt;0"))</f>
        <v/>
      </c>
      <c r="P68" s="206" t="str">
        <f>IF($A68="","",COUNTIFS('Raw daily data'!$I:$I,$A68,'Raw daily data'!$F:$F,"&lt;0"))</f>
        <v/>
      </c>
      <c r="Q68" s="208" t="str">
        <f>IF($A68="","",SUMIFS('Raw daily data'!$F:$F,'Raw daily data'!$I:$I,$A68,'Raw daily data'!$F:$F,"&gt;0"))</f>
        <v/>
      </c>
      <c r="R68" s="208" t="str">
        <f>IF($A68="","",ABS(SUMIFS('Raw daily data'!$F:$F,'Raw daily data'!$I:$I,$A68,'Raw daily data'!$F:$F,"&lt;0")))</f>
        <v/>
      </c>
      <c r="S68" s="210" t="str">
        <f t="shared" si="22"/>
        <v/>
      </c>
      <c r="T68" s="211" t="str">
        <f t="shared" si="23"/>
        <v/>
      </c>
      <c r="U68" s="212" t="str">
        <f t="shared" si="24"/>
        <v/>
      </c>
      <c r="V68" s="210" t="str">
        <f t="shared" si="25"/>
        <v/>
      </c>
      <c r="W68" s="208" t="str">
        <f>IF($A68="","",_xlfn.MAXIFS('Raw daily data'!$J:$J,'Raw daily data'!$I:$I,$A68))</f>
        <v/>
      </c>
      <c r="X68" s="204" t="str">
        <f t="shared" si="16"/>
        <v/>
      </c>
      <c r="Y68" s="204" t="str">
        <f>IFERROR(IF($A68="","",ABS(MIN(0,_xlfn.MINIFS('Raw daily data'!$J:$J,'Raw daily data'!$I:$I,$A68)))/G68),"")</f>
        <v/>
      </c>
    </row>
    <row r="69" spans="1:25">
      <c r="A69" s="214"/>
      <c r="B69" s="205"/>
      <c r="C69" s="206" t="str">
        <f t="shared" si="17"/>
        <v/>
      </c>
      <c r="D69" s="205"/>
      <c r="E69" s="207" t="str">
        <f t="shared" si="18"/>
        <v/>
      </c>
      <c r="F69" s="208" t="str">
        <f>IF($A69="","",$E69*Summary!$B$8)</f>
        <v/>
      </c>
      <c r="G69" s="208" t="str">
        <f>IF($A69="","",F69*Summary!$B$9)</f>
        <v/>
      </c>
      <c r="H69" s="207" t="str">
        <f>IF($A69="","",SUMIFS('Raw daily data'!$F:$F,'Raw daily data'!$I:$I,$A69))</f>
        <v/>
      </c>
      <c r="I69" s="207" t="str">
        <f t="shared" si="19"/>
        <v/>
      </c>
      <c r="J69" s="213" t="str">
        <f t="shared" si="20"/>
        <v/>
      </c>
      <c r="K69" s="207" t="str">
        <f>IF($A69="","",Summary!$B$6)</f>
        <v/>
      </c>
      <c r="L69" s="207" t="str">
        <f t="shared" si="21"/>
        <v/>
      </c>
      <c r="M69" s="205"/>
      <c r="N69" s="206" t="str">
        <f>IF($A69="","",COUNTIFS('Raw daily data'!$I:$I,$A69))</f>
        <v/>
      </c>
      <c r="O69" s="206" t="str">
        <f>IF($A69="","",COUNTIFS('Raw daily data'!$I:$I,$A69,'Raw daily data'!$F:$F,"&gt;0"))</f>
        <v/>
      </c>
      <c r="P69" s="206" t="str">
        <f>IF($A69="","",COUNTIFS('Raw daily data'!$I:$I,$A69,'Raw daily data'!$F:$F,"&lt;0"))</f>
        <v/>
      </c>
      <c r="Q69" s="208" t="str">
        <f>IF($A69="","",SUMIFS('Raw daily data'!$F:$F,'Raw daily data'!$I:$I,$A69,'Raw daily data'!$F:$F,"&gt;0"))</f>
        <v/>
      </c>
      <c r="R69" s="208" t="str">
        <f>IF($A69="","",ABS(SUMIFS('Raw daily data'!$F:$F,'Raw daily data'!$I:$I,$A69,'Raw daily data'!$F:$F,"&lt;0")))</f>
        <v/>
      </c>
      <c r="S69" s="210" t="str">
        <f t="shared" si="22"/>
        <v/>
      </c>
      <c r="T69" s="211" t="str">
        <f t="shared" si="23"/>
        <v/>
      </c>
      <c r="U69" s="212" t="str">
        <f t="shared" si="24"/>
        <v/>
      </c>
      <c r="V69" s="210" t="str">
        <f t="shared" si="25"/>
        <v/>
      </c>
      <c r="W69" s="208" t="str">
        <f>IF($A69="","",_xlfn.MAXIFS('Raw daily data'!$J:$J,'Raw daily data'!$I:$I,$A69))</f>
        <v/>
      </c>
      <c r="X69" s="204" t="str">
        <f t="shared" si="16"/>
        <v/>
      </c>
      <c r="Y69" s="204" t="str">
        <f>IFERROR(IF($A69="","",ABS(MIN(0,_xlfn.MINIFS('Raw daily data'!$J:$J,'Raw daily data'!$I:$I,$A69)))/G69),"")</f>
        <v/>
      </c>
    </row>
    <row r="70" spans="1:25">
      <c r="A70" s="214"/>
      <c r="B70" s="205"/>
      <c r="C70" s="206" t="str">
        <f t="shared" si="17"/>
        <v/>
      </c>
      <c r="D70" s="205"/>
      <c r="E70" s="207" t="str">
        <f t="shared" si="18"/>
        <v/>
      </c>
      <c r="F70" s="208" t="str">
        <f>IF($A70="","",$E70*Summary!$B$8)</f>
        <v/>
      </c>
      <c r="G70" s="208" t="str">
        <f>IF($A70="","",F70*Summary!$B$9)</f>
        <v/>
      </c>
      <c r="H70" s="207" t="str">
        <f>IF($A70="","",SUMIFS('Raw daily data'!$F:$F,'Raw daily data'!$I:$I,$A70))</f>
        <v/>
      </c>
      <c r="I70" s="207" t="str">
        <f t="shared" si="19"/>
        <v/>
      </c>
      <c r="J70" s="213" t="str">
        <f t="shared" si="20"/>
        <v/>
      </c>
      <c r="K70" s="207" t="str">
        <f>IF($A70="","",Summary!$B$6)</f>
        <v/>
      </c>
      <c r="L70" s="207" t="str">
        <f t="shared" si="21"/>
        <v/>
      </c>
      <c r="M70" s="205"/>
      <c r="N70" s="206" t="str">
        <f>IF($A70="","",COUNTIFS('Raw daily data'!$I:$I,$A70))</f>
        <v/>
      </c>
      <c r="O70" s="206" t="str">
        <f>IF($A70="","",COUNTIFS('Raw daily data'!$I:$I,$A70,'Raw daily data'!$F:$F,"&gt;0"))</f>
        <v/>
      </c>
      <c r="P70" s="206" t="str">
        <f>IF($A70="","",COUNTIFS('Raw daily data'!$I:$I,$A70,'Raw daily data'!$F:$F,"&lt;0"))</f>
        <v/>
      </c>
      <c r="Q70" s="208" t="str">
        <f>IF($A70="","",SUMIFS('Raw daily data'!$F:$F,'Raw daily data'!$I:$I,$A70,'Raw daily data'!$F:$F,"&gt;0"))</f>
        <v/>
      </c>
      <c r="R70" s="208" t="str">
        <f>IF($A70="","",ABS(SUMIFS('Raw daily data'!$F:$F,'Raw daily data'!$I:$I,$A70,'Raw daily data'!$F:$F,"&lt;0")))</f>
        <v/>
      </c>
      <c r="S70" s="210" t="str">
        <f t="shared" si="22"/>
        <v/>
      </c>
      <c r="T70" s="211" t="str">
        <f t="shared" si="23"/>
        <v/>
      </c>
      <c r="U70" s="212" t="str">
        <f t="shared" si="24"/>
        <v/>
      </c>
      <c r="V70" s="210" t="str">
        <f t="shared" si="25"/>
        <v/>
      </c>
      <c r="W70" s="208" t="str">
        <f>IF($A70="","",_xlfn.MAXIFS('Raw daily data'!$J:$J,'Raw daily data'!$I:$I,$A70))</f>
        <v/>
      </c>
      <c r="X70" s="204" t="str">
        <f t="shared" si="16"/>
        <v/>
      </c>
      <c r="Y70" s="204" t="str">
        <f>IFERROR(IF($A70="","",ABS(MIN(0,_xlfn.MINIFS('Raw daily data'!$J:$J,'Raw daily data'!$I:$I,$A70)))/G70),"")</f>
        <v/>
      </c>
    </row>
    <row r="71" spans="1:25">
      <c r="A71" s="214"/>
      <c r="B71" s="205"/>
      <c r="C71" s="206" t="str">
        <f t="shared" si="17"/>
        <v/>
      </c>
      <c r="D71" s="205"/>
      <c r="E71" s="207" t="str">
        <f t="shared" si="18"/>
        <v/>
      </c>
      <c r="F71" s="208" t="str">
        <f>IF($A71="","",$E71*Summary!$B$8)</f>
        <v/>
      </c>
      <c r="G71" s="208" t="str">
        <f>IF($A71="","",F71*Summary!$B$9)</f>
        <v/>
      </c>
      <c r="H71" s="207" t="str">
        <f>IF($A71="","",SUMIFS('Raw daily data'!$F:$F,'Raw daily data'!$I:$I,$A71))</f>
        <v/>
      </c>
      <c r="I71" s="207" t="str">
        <f t="shared" si="19"/>
        <v/>
      </c>
      <c r="J71" s="213" t="str">
        <f t="shared" si="20"/>
        <v/>
      </c>
      <c r="K71" s="207" t="str">
        <f>IF($A71="","",Summary!$B$6)</f>
        <v/>
      </c>
      <c r="L71" s="207" t="str">
        <f t="shared" si="21"/>
        <v/>
      </c>
      <c r="M71" s="205"/>
      <c r="N71" s="206" t="str">
        <f>IF($A71="","",COUNTIFS('Raw daily data'!$I:$I,$A71))</f>
        <v/>
      </c>
      <c r="O71" s="206" t="str">
        <f>IF($A71="","",COUNTIFS('Raw daily data'!$I:$I,$A71,'Raw daily data'!$F:$F,"&gt;0"))</f>
        <v/>
      </c>
      <c r="P71" s="206" t="str">
        <f>IF($A71="","",COUNTIFS('Raw daily data'!$I:$I,$A71,'Raw daily data'!$F:$F,"&lt;0"))</f>
        <v/>
      </c>
      <c r="Q71" s="208" t="str">
        <f>IF($A71="","",SUMIFS('Raw daily data'!$F:$F,'Raw daily data'!$I:$I,$A71,'Raw daily data'!$F:$F,"&gt;0"))</f>
        <v/>
      </c>
      <c r="R71" s="208" t="str">
        <f>IF($A71="","",ABS(SUMIFS('Raw daily data'!$F:$F,'Raw daily data'!$I:$I,$A71,'Raw daily data'!$F:$F,"&lt;0")))</f>
        <v/>
      </c>
      <c r="S71" s="210" t="str">
        <f t="shared" si="22"/>
        <v/>
      </c>
      <c r="T71" s="211" t="str">
        <f t="shared" si="23"/>
        <v/>
      </c>
      <c r="U71" s="212" t="str">
        <f t="shared" si="24"/>
        <v/>
      </c>
      <c r="V71" s="210" t="str">
        <f t="shared" si="25"/>
        <v/>
      </c>
      <c r="W71" s="208" t="str">
        <f>IF($A71="","",_xlfn.MAXIFS('Raw daily data'!$J:$J,'Raw daily data'!$I:$I,$A71))</f>
        <v/>
      </c>
      <c r="X71" s="204" t="str">
        <f t="shared" si="16"/>
        <v/>
      </c>
      <c r="Y71" s="204" t="str">
        <f>IFERROR(IF($A71="","",ABS(MIN(0,_xlfn.MINIFS('Raw daily data'!$J:$J,'Raw daily data'!$I:$I,$A71)))/G71),"")</f>
        <v/>
      </c>
    </row>
    <row r="72" spans="1:25">
      <c r="A72" s="214"/>
      <c r="B72" s="205"/>
      <c r="C72" s="206" t="str">
        <f t="shared" si="17"/>
        <v/>
      </c>
      <c r="D72" s="205"/>
      <c r="E72" s="207" t="str">
        <f t="shared" si="18"/>
        <v/>
      </c>
      <c r="F72" s="208" t="str">
        <f>IF($A72="","",$E72*Summary!$B$8)</f>
        <v/>
      </c>
      <c r="G72" s="208" t="str">
        <f>IF($A72="","",F72*Summary!$B$9)</f>
        <v/>
      </c>
      <c r="H72" s="207" t="str">
        <f>IF($A72="","",SUMIFS('Raw daily data'!$F:$F,'Raw daily data'!$I:$I,$A72))</f>
        <v/>
      </c>
      <c r="I72" s="207" t="str">
        <f t="shared" si="19"/>
        <v/>
      </c>
      <c r="J72" s="213" t="str">
        <f t="shared" si="20"/>
        <v/>
      </c>
      <c r="K72" s="207" t="str">
        <f>IF($A72="","",Summary!$B$6)</f>
        <v/>
      </c>
      <c r="L72" s="207" t="str">
        <f t="shared" si="21"/>
        <v/>
      </c>
      <c r="M72" s="205"/>
      <c r="N72" s="206" t="str">
        <f>IF($A72="","",COUNTIFS('Raw daily data'!$I:$I,$A72))</f>
        <v/>
      </c>
      <c r="O72" s="206" t="str">
        <f>IF($A72="","",COUNTIFS('Raw daily data'!$I:$I,$A72,'Raw daily data'!$F:$F,"&gt;0"))</f>
        <v/>
      </c>
      <c r="P72" s="206" t="str">
        <f>IF($A72="","",COUNTIFS('Raw daily data'!$I:$I,$A72,'Raw daily data'!$F:$F,"&lt;0"))</f>
        <v/>
      </c>
      <c r="Q72" s="208" t="str">
        <f>IF($A72="","",SUMIFS('Raw daily data'!$F:$F,'Raw daily data'!$I:$I,$A72,'Raw daily data'!$F:$F,"&gt;0"))</f>
        <v/>
      </c>
      <c r="R72" s="208" t="str">
        <f>IF($A72="","",ABS(SUMIFS('Raw daily data'!$F:$F,'Raw daily data'!$I:$I,$A72,'Raw daily data'!$F:$F,"&lt;0")))</f>
        <v/>
      </c>
      <c r="S72" s="210" t="str">
        <f t="shared" si="22"/>
        <v/>
      </c>
      <c r="T72" s="211" t="str">
        <f t="shared" si="23"/>
        <v/>
      </c>
      <c r="U72" s="212" t="str">
        <f t="shared" si="24"/>
        <v/>
      </c>
      <c r="V72" s="210" t="str">
        <f t="shared" si="25"/>
        <v/>
      </c>
      <c r="W72" s="208" t="str">
        <f>IF($A72="","",_xlfn.MAXIFS('Raw daily data'!$J:$J,'Raw daily data'!$I:$I,$A72))</f>
        <v/>
      </c>
      <c r="X72" s="204" t="str">
        <f t="shared" si="16"/>
        <v/>
      </c>
      <c r="Y72" s="204" t="str">
        <f>IFERROR(IF($A72="","",ABS(MIN(0,_xlfn.MINIFS('Raw daily data'!$J:$J,'Raw daily data'!$I:$I,$A72)))/G72),"")</f>
        <v/>
      </c>
    </row>
    <row r="73" spans="1:25">
      <c r="A73" s="214"/>
      <c r="B73" s="205"/>
      <c r="C73" s="206" t="str">
        <f t="shared" si="17"/>
        <v/>
      </c>
      <c r="D73" s="205"/>
      <c r="E73" s="207" t="str">
        <f t="shared" si="18"/>
        <v/>
      </c>
      <c r="F73" s="208" t="str">
        <f>IF($A73="","",$E73*Summary!$B$8)</f>
        <v/>
      </c>
      <c r="G73" s="208" t="str">
        <f>IF($A73="","",F73*Summary!$B$9)</f>
        <v/>
      </c>
      <c r="H73" s="207" t="str">
        <f>IF($A73="","",SUMIFS('Raw daily data'!$F:$F,'Raw daily data'!$I:$I,$A73))</f>
        <v/>
      </c>
      <c r="I73" s="207" t="str">
        <f t="shared" si="19"/>
        <v/>
      </c>
      <c r="J73" s="213" t="str">
        <f t="shared" si="20"/>
        <v/>
      </c>
      <c r="K73" s="207" t="str">
        <f>IF($A73="","",Summary!$B$6)</f>
        <v/>
      </c>
      <c r="L73" s="207" t="str">
        <f t="shared" si="21"/>
        <v/>
      </c>
      <c r="M73" s="205"/>
      <c r="N73" s="206" t="str">
        <f>IF($A73="","",COUNTIFS('Raw daily data'!$I:$I,$A73))</f>
        <v/>
      </c>
      <c r="O73" s="206" t="str">
        <f>IF($A73="","",COUNTIFS('Raw daily data'!$I:$I,$A73,'Raw daily data'!$F:$F,"&gt;0"))</f>
        <v/>
      </c>
      <c r="P73" s="206" t="str">
        <f>IF($A73="","",COUNTIFS('Raw daily data'!$I:$I,$A73,'Raw daily data'!$F:$F,"&lt;0"))</f>
        <v/>
      </c>
      <c r="Q73" s="208" t="str">
        <f>IF($A73="","",SUMIFS('Raw daily data'!$F:$F,'Raw daily data'!$I:$I,$A73,'Raw daily data'!$F:$F,"&gt;0"))</f>
        <v/>
      </c>
      <c r="R73" s="208" t="str">
        <f>IF($A73="","",ABS(SUMIFS('Raw daily data'!$F:$F,'Raw daily data'!$I:$I,$A73,'Raw daily data'!$F:$F,"&lt;0")))</f>
        <v/>
      </c>
      <c r="S73" s="210" t="str">
        <f t="shared" si="22"/>
        <v/>
      </c>
      <c r="T73" s="211" t="str">
        <f t="shared" si="23"/>
        <v/>
      </c>
      <c r="U73" s="212" t="str">
        <f t="shared" si="24"/>
        <v/>
      </c>
      <c r="V73" s="210" t="str">
        <f t="shared" si="25"/>
        <v/>
      </c>
      <c r="W73" s="208" t="str">
        <f>IF($A73="","",_xlfn.MAXIFS('Raw daily data'!$J:$J,'Raw daily data'!$I:$I,$A73))</f>
        <v/>
      </c>
      <c r="X73" s="204" t="str">
        <f t="shared" si="16"/>
        <v/>
      </c>
      <c r="Y73" s="204" t="str">
        <f>IFERROR(IF($A73="","",ABS(MIN(0,_xlfn.MINIFS('Raw daily data'!$J:$J,'Raw daily data'!$I:$I,$A73)))/G73),"")</f>
        <v/>
      </c>
    </row>
    <row r="74" spans="1:25">
      <c r="A74" s="214"/>
      <c r="B74" s="205"/>
      <c r="C74" s="206" t="str">
        <f t="shared" si="17"/>
        <v/>
      </c>
      <c r="D74" s="205"/>
      <c r="E74" s="207" t="str">
        <f t="shared" si="18"/>
        <v/>
      </c>
      <c r="F74" s="208" t="str">
        <f>IF($A74="","",$E74*Summary!$B$8)</f>
        <v/>
      </c>
      <c r="G74" s="208" t="str">
        <f>IF($A74="","",F74*Summary!$B$9)</f>
        <v/>
      </c>
      <c r="H74" s="207" t="str">
        <f>IF($A74="","",SUMIFS('Raw daily data'!$F:$F,'Raw daily data'!$I:$I,$A74))</f>
        <v/>
      </c>
      <c r="I74" s="207" t="str">
        <f t="shared" si="19"/>
        <v/>
      </c>
      <c r="J74" s="213" t="str">
        <f t="shared" si="20"/>
        <v/>
      </c>
      <c r="K74" s="207" t="str">
        <f>IF($A74="","",Summary!$B$6)</f>
        <v/>
      </c>
      <c r="L74" s="207" t="str">
        <f t="shared" si="21"/>
        <v/>
      </c>
      <c r="M74" s="205"/>
      <c r="N74" s="206" t="str">
        <f>IF($A74="","",COUNTIFS('Raw daily data'!$I:$I,$A74))</f>
        <v/>
      </c>
      <c r="O74" s="206" t="str">
        <f>IF($A74="","",COUNTIFS('Raw daily data'!$I:$I,$A74,'Raw daily data'!$F:$F,"&gt;0"))</f>
        <v/>
      </c>
      <c r="P74" s="206" t="str">
        <f>IF($A74="","",COUNTIFS('Raw daily data'!$I:$I,$A74,'Raw daily data'!$F:$F,"&lt;0"))</f>
        <v/>
      </c>
      <c r="Q74" s="208" t="str">
        <f>IF($A74="","",SUMIFS('Raw daily data'!$F:$F,'Raw daily data'!$I:$I,$A74,'Raw daily data'!$F:$F,"&gt;0"))</f>
        <v/>
      </c>
      <c r="R74" s="208" t="str">
        <f>IF($A74="","",ABS(SUMIFS('Raw daily data'!$F:$F,'Raw daily data'!$I:$I,$A74,'Raw daily data'!$F:$F,"&lt;0")))</f>
        <v/>
      </c>
      <c r="S74" s="210" t="str">
        <f t="shared" si="22"/>
        <v/>
      </c>
      <c r="T74" s="211" t="str">
        <f t="shared" si="23"/>
        <v/>
      </c>
      <c r="U74" s="212" t="str">
        <f t="shared" si="24"/>
        <v/>
      </c>
      <c r="V74" s="210" t="str">
        <f t="shared" si="25"/>
        <v/>
      </c>
      <c r="W74" s="208" t="str">
        <f>IF($A74="","",_xlfn.MAXIFS('Raw daily data'!$J:$J,'Raw daily data'!$I:$I,$A74))</f>
        <v/>
      </c>
      <c r="X74" s="204" t="str">
        <f t="shared" ref="X74:X100" si="26">IF($A74="","",IF(W74&gt;=0,0,ABS(W74)/G74))</f>
        <v/>
      </c>
      <c r="Y74" s="204" t="str">
        <f>IFERROR(IF($A74="","",ABS(MIN(0,_xlfn.MINIFS('Raw daily data'!$J:$J,'Raw daily data'!$I:$I,$A74)))/G74),"")</f>
        <v/>
      </c>
    </row>
    <row r="75" spans="1:25">
      <c r="A75" s="214"/>
      <c r="B75" s="205"/>
      <c r="C75" s="206" t="str">
        <f t="shared" si="17"/>
        <v/>
      </c>
      <c r="D75" s="205"/>
      <c r="E75" s="207" t="str">
        <f t="shared" si="18"/>
        <v/>
      </c>
      <c r="F75" s="208" t="str">
        <f>IF($A75="","",$E75*Summary!$B$8)</f>
        <v/>
      </c>
      <c r="G75" s="208" t="str">
        <f>IF($A75="","",F75*Summary!$B$9)</f>
        <v/>
      </c>
      <c r="H75" s="207" t="str">
        <f>IF($A75="","",SUMIFS('Raw daily data'!$F:$F,'Raw daily data'!$I:$I,$A75))</f>
        <v/>
      </c>
      <c r="I75" s="207" t="str">
        <f t="shared" si="19"/>
        <v/>
      </c>
      <c r="J75" s="213" t="str">
        <f t="shared" si="20"/>
        <v/>
      </c>
      <c r="K75" s="207" t="str">
        <f>IF($A75="","",Summary!$B$6)</f>
        <v/>
      </c>
      <c r="L75" s="207" t="str">
        <f t="shared" si="21"/>
        <v/>
      </c>
      <c r="M75" s="205"/>
      <c r="N75" s="206" t="str">
        <f>IF($A75="","",COUNTIFS('Raw daily data'!$I:$I,$A75))</f>
        <v/>
      </c>
      <c r="O75" s="206" t="str">
        <f>IF($A75="","",COUNTIFS('Raw daily data'!$I:$I,$A75,'Raw daily data'!$F:$F,"&gt;0"))</f>
        <v/>
      </c>
      <c r="P75" s="206" t="str">
        <f>IF($A75="","",COUNTIFS('Raw daily data'!$I:$I,$A75,'Raw daily data'!$F:$F,"&lt;0"))</f>
        <v/>
      </c>
      <c r="Q75" s="208" t="str">
        <f>IF($A75="","",SUMIFS('Raw daily data'!$F:$F,'Raw daily data'!$I:$I,$A75,'Raw daily data'!$F:$F,"&gt;0"))</f>
        <v/>
      </c>
      <c r="R75" s="208" t="str">
        <f>IF($A75="","",ABS(SUMIFS('Raw daily data'!$F:$F,'Raw daily data'!$I:$I,$A75,'Raw daily data'!$F:$F,"&lt;0")))</f>
        <v/>
      </c>
      <c r="S75" s="210" t="str">
        <f t="shared" si="22"/>
        <v/>
      </c>
      <c r="T75" s="211" t="str">
        <f t="shared" si="23"/>
        <v/>
      </c>
      <c r="U75" s="212" t="str">
        <f t="shared" si="24"/>
        <v/>
      </c>
      <c r="V75" s="210" t="str">
        <f t="shared" si="25"/>
        <v/>
      </c>
      <c r="W75" s="208" t="str">
        <f>IF($A75="","",_xlfn.MAXIFS('Raw daily data'!$J:$J,'Raw daily data'!$I:$I,$A75))</f>
        <v/>
      </c>
      <c r="X75" s="204" t="str">
        <f t="shared" si="26"/>
        <v/>
      </c>
      <c r="Y75" s="204" t="str">
        <f>IFERROR(IF($A75="","",ABS(MIN(0,_xlfn.MINIFS('Raw daily data'!$J:$J,'Raw daily data'!$I:$I,$A75)))/G75),"")</f>
        <v/>
      </c>
    </row>
    <row r="76" spans="1:25">
      <c r="A76" s="214"/>
      <c r="B76" s="205"/>
      <c r="C76" s="206" t="str">
        <f t="shared" si="17"/>
        <v/>
      </c>
      <c r="D76" s="205"/>
      <c r="E76" s="207" t="str">
        <f t="shared" si="18"/>
        <v/>
      </c>
      <c r="F76" s="208" t="str">
        <f>IF($A76="","",$E76*Summary!$B$8)</f>
        <v/>
      </c>
      <c r="G76" s="208" t="str">
        <f>IF($A76="","",F76*Summary!$B$9)</f>
        <v/>
      </c>
      <c r="H76" s="207" t="str">
        <f>IF($A76="","",SUMIFS('Raw daily data'!$F:$F,'Raw daily data'!$I:$I,$A76))</f>
        <v/>
      </c>
      <c r="I76" s="207" t="str">
        <f t="shared" si="19"/>
        <v/>
      </c>
      <c r="J76" s="213" t="str">
        <f t="shared" si="20"/>
        <v/>
      </c>
      <c r="K76" s="207" t="str">
        <f>IF($A76="","",Summary!$B$6)</f>
        <v/>
      </c>
      <c r="L76" s="207" t="str">
        <f t="shared" si="21"/>
        <v/>
      </c>
      <c r="M76" s="205"/>
      <c r="N76" s="206" t="str">
        <f>IF($A76="","",COUNTIFS('Raw daily data'!$I:$I,$A76))</f>
        <v/>
      </c>
      <c r="O76" s="206" t="str">
        <f>IF($A76="","",COUNTIFS('Raw daily data'!$I:$I,$A76,'Raw daily data'!$F:$F,"&gt;0"))</f>
        <v/>
      </c>
      <c r="P76" s="206" t="str">
        <f>IF($A76="","",COUNTIFS('Raw daily data'!$I:$I,$A76,'Raw daily data'!$F:$F,"&lt;0"))</f>
        <v/>
      </c>
      <c r="Q76" s="208" t="str">
        <f>IF($A76="","",SUMIFS('Raw daily data'!$F:$F,'Raw daily data'!$I:$I,$A76,'Raw daily data'!$F:$F,"&gt;0"))</f>
        <v/>
      </c>
      <c r="R76" s="208" t="str">
        <f>IF($A76="","",ABS(SUMIFS('Raw daily data'!$F:$F,'Raw daily data'!$I:$I,$A76,'Raw daily data'!$F:$F,"&lt;0")))</f>
        <v/>
      </c>
      <c r="S76" s="210" t="str">
        <f t="shared" si="22"/>
        <v/>
      </c>
      <c r="T76" s="211" t="str">
        <f t="shared" si="23"/>
        <v/>
      </c>
      <c r="U76" s="212" t="str">
        <f t="shared" si="24"/>
        <v/>
      </c>
      <c r="V76" s="210" t="str">
        <f t="shared" si="25"/>
        <v/>
      </c>
      <c r="W76" s="208" t="str">
        <f>IF($A76="","",_xlfn.MAXIFS('Raw daily data'!$J:$J,'Raw daily data'!$I:$I,$A76))</f>
        <v/>
      </c>
      <c r="X76" s="204" t="str">
        <f t="shared" si="26"/>
        <v/>
      </c>
      <c r="Y76" s="204" t="str">
        <f>IFERROR(IF($A76="","",ABS(MIN(0,_xlfn.MINIFS('Raw daily data'!$J:$J,'Raw daily data'!$I:$I,$A76)))/G76),"")</f>
        <v/>
      </c>
    </row>
    <row r="77" spans="1:25">
      <c r="A77" s="214"/>
      <c r="B77" s="205"/>
      <c r="C77" s="206" t="str">
        <f t="shared" si="17"/>
        <v/>
      </c>
      <c r="D77" s="205"/>
      <c r="E77" s="207" t="str">
        <f t="shared" si="18"/>
        <v/>
      </c>
      <c r="F77" s="208" t="str">
        <f>IF($A77="","",$E77*Summary!$B$8)</f>
        <v/>
      </c>
      <c r="G77" s="208" t="str">
        <f>IF($A77="","",F77*Summary!$B$9)</f>
        <v/>
      </c>
      <c r="H77" s="207" t="str">
        <f>IF($A77="","",SUMIFS('Raw daily data'!$F:$F,'Raw daily data'!$I:$I,$A77))</f>
        <v/>
      </c>
      <c r="I77" s="207" t="str">
        <f t="shared" si="19"/>
        <v/>
      </c>
      <c r="J77" s="213" t="str">
        <f t="shared" si="20"/>
        <v/>
      </c>
      <c r="K77" s="207" t="str">
        <f>IF($A77="","",Summary!$B$6)</f>
        <v/>
      </c>
      <c r="L77" s="207" t="str">
        <f t="shared" si="21"/>
        <v/>
      </c>
      <c r="M77" s="205"/>
      <c r="N77" s="206" t="str">
        <f>IF($A77="","",COUNTIFS('Raw daily data'!$I:$I,$A77))</f>
        <v/>
      </c>
      <c r="O77" s="206" t="str">
        <f>IF($A77="","",COUNTIFS('Raw daily data'!$I:$I,$A77,'Raw daily data'!$F:$F,"&gt;0"))</f>
        <v/>
      </c>
      <c r="P77" s="206" t="str">
        <f>IF($A77="","",COUNTIFS('Raw daily data'!$I:$I,$A77,'Raw daily data'!$F:$F,"&lt;0"))</f>
        <v/>
      </c>
      <c r="Q77" s="208" t="str">
        <f>IF($A77="","",SUMIFS('Raw daily data'!$F:$F,'Raw daily data'!$I:$I,$A77,'Raw daily data'!$F:$F,"&gt;0"))</f>
        <v/>
      </c>
      <c r="R77" s="208" t="str">
        <f>IF($A77="","",ABS(SUMIFS('Raw daily data'!$F:$F,'Raw daily data'!$I:$I,$A77,'Raw daily data'!$F:$F,"&lt;0")))</f>
        <v/>
      </c>
      <c r="S77" s="210" t="str">
        <f t="shared" si="22"/>
        <v/>
      </c>
      <c r="T77" s="211" t="str">
        <f t="shared" si="23"/>
        <v/>
      </c>
      <c r="U77" s="212" t="str">
        <f t="shared" si="24"/>
        <v/>
      </c>
      <c r="V77" s="210" t="str">
        <f t="shared" si="25"/>
        <v/>
      </c>
      <c r="W77" s="208" t="str">
        <f>IF($A77="","",_xlfn.MAXIFS('Raw daily data'!$J:$J,'Raw daily data'!$I:$I,$A77))</f>
        <v/>
      </c>
      <c r="X77" s="204" t="str">
        <f t="shared" si="26"/>
        <v/>
      </c>
      <c r="Y77" s="204" t="str">
        <f>IFERROR(IF($A77="","",ABS(MIN(0,_xlfn.MINIFS('Raw daily data'!$J:$J,'Raw daily data'!$I:$I,$A77)))/G77),"")</f>
        <v/>
      </c>
    </row>
    <row r="78" spans="1:25">
      <c r="A78" s="214"/>
      <c r="B78" s="205"/>
      <c r="C78" s="206" t="str">
        <f t="shared" si="17"/>
        <v/>
      </c>
      <c r="D78" s="205"/>
      <c r="E78" s="207" t="str">
        <f t="shared" si="18"/>
        <v/>
      </c>
      <c r="F78" s="208" t="str">
        <f>IF($A78="","",$E78*Summary!$B$8)</f>
        <v/>
      </c>
      <c r="G78" s="208" t="str">
        <f>IF($A78="","",F78*Summary!$B$9)</f>
        <v/>
      </c>
      <c r="H78" s="207" t="str">
        <f>IF($A78="","",SUMIFS('Raw daily data'!$F:$F,'Raw daily data'!$I:$I,$A78))</f>
        <v/>
      </c>
      <c r="I78" s="207" t="str">
        <f t="shared" si="19"/>
        <v/>
      </c>
      <c r="J78" s="213" t="str">
        <f t="shared" si="20"/>
        <v/>
      </c>
      <c r="K78" s="207" t="str">
        <f>IF($A78="","",Summary!$B$6)</f>
        <v/>
      </c>
      <c r="L78" s="207" t="str">
        <f t="shared" si="21"/>
        <v/>
      </c>
      <c r="M78" s="205"/>
      <c r="N78" s="206" t="str">
        <f>IF($A78="","",COUNTIFS('Raw daily data'!$I:$I,$A78))</f>
        <v/>
      </c>
      <c r="O78" s="206" t="str">
        <f>IF($A78="","",COUNTIFS('Raw daily data'!$I:$I,$A78,'Raw daily data'!$F:$F,"&gt;0"))</f>
        <v/>
      </c>
      <c r="P78" s="206" t="str">
        <f>IF($A78="","",COUNTIFS('Raw daily data'!$I:$I,$A78,'Raw daily data'!$F:$F,"&lt;0"))</f>
        <v/>
      </c>
      <c r="Q78" s="208" t="str">
        <f>IF($A78="","",SUMIFS('Raw daily data'!$F:$F,'Raw daily data'!$I:$I,$A78,'Raw daily data'!$F:$F,"&gt;0"))</f>
        <v/>
      </c>
      <c r="R78" s="208" t="str">
        <f>IF($A78="","",ABS(SUMIFS('Raw daily data'!$F:$F,'Raw daily data'!$I:$I,$A78,'Raw daily data'!$F:$F,"&lt;0")))</f>
        <v/>
      </c>
      <c r="S78" s="210" t="str">
        <f t="shared" si="22"/>
        <v/>
      </c>
      <c r="T78" s="211" t="str">
        <f t="shared" si="23"/>
        <v/>
      </c>
      <c r="U78" s="212" t="str">
        <f t="shared" si="24"/>
        <v/>
      </c>
      <c r="V78" s="210" t="str">
        <f t="shared" si="25"/>
        <v/>
      </c>
      <c r="W78" s="208" t="str">
        <f>IF($A78="","",_xlfn.MAXIFS('Raw daily data'!$J:$J,'Raw daily data'!$I:$I,$A78))</f>
        <v/>
      </c>
      <c r="X78" s="204" t="str">
        <f t="shared" si="26"/>
        <v/>
      </c>
      <c r="Y78" s="204" t="str">
        <f>IFERROR(IF($A78="","",ABS(MIN(0,_xlfn.MINIFS('Raw daily data'!$J:$J,'Raw daily data'!$I:$I,$A78)))/G78),"")</f>
        <v/>
      </c>
    </row>
    <row r="79" spans="1:25">
      <c r="A79" s="214"/>
      <c r="B79" s="205"/>
      <c r="C79" s="206" t="str">
        <f t="shared" si="17"/>
        <v/>
      </c>
      <c r="D79" s="205"/>
      <c r="E79" s="207" t="str">
        <f t="shared" si="18"/>
        <v/>
      </c>
      <c r="F79" s="208" t="str">
        <f>IF($A79="","",$E79*Summary!$B$8)</f>
        <v/>
      </c>
      <c r="G79" s="208" t="str">
        <f>IF($A79="","",F79*Summary!$B$9)</f>
        <v/>
      </c>
      <c r="H79" s="207" t="str">
        <f>IF($A79="","",SUMIFS('Raw daily data'!$F:$F,'Raw daily data'!$I:$I,$A79))</f>
        <v/>
      </c>
      <c r="I79" s="207" t="str">
        <f t="shared" si="19"/>
        <v/>
      </c>
      <c r="J79" s="213" t="str">
        <f t="shared" si="20"/>
        <v/>
      </c>
      <c r="K79" s="207" t="str">
        <f>IF($A79="","",Summary!$B$6)</f>
        <v/>
      </c>
      <c r="L79" s="207" t="str">
        <f t="shared" si="21"/>
        <v/>
      </c>
      <c r="M79" s="205"/>
      <c r="N79" s="206" t="str">
        <f>IF($A79="","",COUNTIFS('Raw daily data'!$I:$I,$A79))</f>
        <v/>
      </c>
      <c r="O79" s="206" t="str">
        <f>IF($A79="","",COUNTIFS('Raw daily data'!$I:$I,$A79,'Raw daily data'!$F:$F,"&gt;0"))</f>
        <v/>
      </c>
      <c r="P79" s="206" t="str">
        <f>IF($A79="","",COUNTIFS('Raw daily data'!$I:$I,$A79,'Raw daily data'!$F:$F,"&lt;0"))</f>
        <v/>
      </c>
      <c r="Q79" s="208" t="str">
        <f>IF($A79="","",SUMIFS('Raw daily data'!$F:$F,'Raw daily data'!$I:$I,$A79,'Raw daily data'!$F:$F,"&gt;0"))</f>
        <v/>
      </c>
      <c r="R79" s="208" t="str">
        <f>IF($A79="","",ABS(SUMIFS('Raw daily data'!$F:$F,'Raw daily data'!$I:$I,$A79,'Raw daily data'!$F:$F,"&lt;0")))</f>
        <v/>
      </c>
      <c r="S79" s="210" t="str">
        <f t="shared" si="22"/>
        <v/>
      </c>
      <c r="T79" s="211" t="str">
        <f t="shared" si="23"/>
        <v/>
      </c>
      <c r="U79" s="212" t="str">
        <f t="shared" si="24"/>
        <v/>
      </c>
      <c r="V79" s="210" t="str">
        <f t="shared" si="25"/>
        <v/>
      </c>
      <c r="W79" s="208" t="str">
        <f>IF($A79="","",_xlfn.MAXIFS('Raw daily data'!$J:$J,'Raw daily data'!$I:$I,$A79))</f>
        <v/>
      </c>
      <c r="X79" s="204" t="str">
        <f t="shared" si="26"/>
        <v/>
      </c>
      <c r="Y79" s="204" t="str">
        <f>IFERROR(IF($A79="","",ABS(MIN(0,_xlfn.MINIFS('Raw daily data'!$J:$J,'Raw daily data'!$I:$I,$A79)))/G79),"")</f>
        <v/>
      </c>
    </row>
    <row r="80" spans="1:25">
      <c r="A80" s="214"/>
      <c r="B80" s="205"/>
      <c r="C80" s="206" t="str">
        <f t="shared" si="17"/>
        <v/>
      </c>
      <c r="D80" s="205"/>
      <c r="E80" s="207" t="str">
        <f t="shared" si="18"/>
        <v/>
      </c>
      <c r="F80" s="208" t="str">
        <f>IF($A80="","",$E80*Summary!$B$8)</f>
        <v/>
      </c>
      <c r="G80" s="208" t="str">
        <f>IF($A80="","",F80*Summary!$B$9)</f>
        <v/>
      </c>
      <c r="H80" s="207" t="str">
        <f>IF($A80="","",SUMIFS('Raw daily data'!$F:$F,'Raw daily data'!$I:$I,$A80))</f>
        <v/>
      </c>
      <c r="I80" s="207" t="str">
        <f t="shared" si="19"/>
        <v/>
      </c>
      <c r="J80" s="213" t="str">
        <f t="shared" si="20"/>
        <v/>
      </c>
      <c r="K80" s="207" t="str">
        <f>IF($A80="","",Summary!$B$6)</f>
        <v/>
      </c>
      <c r="L80" s="207" t="str">
        <f t="shared" si="21"/>
        <v/>
      </c>
      <c r="M80" s="205"/>
      <c r="N80" s="206" t="str">
        <f>IF($A80="","",COUNTIFS('Raw daily data'!$I:$I,$A80))</f>
        <v/>
      </c>
      <c r="O80" s="206" t="str">
        <f>IF($A80="","",COUNTIFS('Raw daily data'!$I:$I,$A80,'Raw daily data'!$F:$F,"&gt;0"))</f>
        <v/>
      </c>
      <c r="P80" s="206" t="str">
        <f>IF($A80="","",COUNTIFS('Raw daily data'!$I:$I,$A80,'Raw daily data'!$F:$F,"&lt;0"))</f>
        <v/>
      </c>
      <c r="Q80" s="208" t="str">
        <f>IF($A80="","",SUMIFS('Raw daily data'!$F:$F,'Raw daily data'!$I:$I,$A80,'Raw daily data'!$F:$F,"&gt;0"))</f>
        <v/>
      </c>
      <c r="R80" s="208" t="str">
        <f>IF($A80="","",ABS(SUMIFS('Raw daily data'!$F:$F,'Raw daily data'!$I:$I,$A80,'Raw daily data'!$F:$F,"&lt;0")))</f>
        <v/>
      </c>
      <c r="S80" s="210" t="str">
        <f t="shared" si="22"/>
        <v/>
      </c>
      <c r="T80" s="211" t="str">
        <f t="shared" si="23"/>
        <v/>
      </c>
      <c r="U80" s="212" t="str">
        <f t="shared" si="24"/>
        <v/>
      </c>
      <c r="V80" s="210" t="str">
        <f t="shared" si="25"/>
        <v/>
      </c>
      <c r="W80" s="208" t="str">
        <f>IF($A80="","",_xlfn.MAXIFS('Raw daily data'!$J:$J,'Raw daily data'!$I:$I,$A80))</f>
        <v/>
      </c>
      <c r="X80" s="204" t="str">
        <f t="shared" si="26"/>
        <v/>
      </c>
      <c r="Y80" s="204" t="str">
        <f>IFERROR(IF($A80="","",ABS(MIN(0,_xlfn.MINIFS('Raw daily data'!$J:$J,'Raw daily data'!$I:$I,$A80)))/G80),"")</f>
        <v/>
      </c>
    </row>
    <row r="81" spans="1:25">
      <c r="A81" s="214"/>
      <c r="B81" s="205"/>
      <c r="C81" s="206" t="str">
        <f t="shared" si="17"/>
        <v/>
      </c>
      <c r="D81" s="205"/>
      <c r="E81" s="207" t="str">
        <f t="shared" si="18"/>
        <v/>
      </c>
      <c r="F81" s="208" t="str">
        <f>IF($A81="","",$E81*Summary!$B$8)</f>
        <v/>
      </c>
      <c r="G81" s="208" t="str">
        <f>IF($A81="","",F81*Summary!$B$9)</f>
        <v/>
      </c>
      <c r="H81" s="207" t="str">
        <f>IF($A81="","",SUMIFS('Raw daily data'!$F:$F,'Raw daily data'!$I:$I,$A81))</f>
        <v/>
      </c>
      <c r="I81" s="207" t="str">
        <f t="shared" si="19"/>
        <v/>
      </c>
      <c r="J81" s="213" t="str">
        <f t="shared" si="20"/>
        <v/>
      </c>
      <c r="K81" s="207" t="str">
        <f>IF($A81="","",Summary!$B$6)</f>
        <v/>
      </c>
      <c r="L81" s="207" t="str">
        <f t="shared" si="21"/>
        <v/>
      </c>
      <c r="M81" s="205"/>
      <c r="N81" s="206" t="str">
        <f>IF($A81="","",COUNTIFS('Raw daily data'!$I:$I,$A81))</f>
        <v/>
      </c>
      <c r="O81" s="206" t="str">
        <f>IF($A81="","",COUNTIFS('Raw daily data'!$I:$I,$A81,'Raw daily data'!$F:$F,"&gt;0"))</f>
        <v/>
      </c>
      <c r="P81" s="206" t="str">
        <f>IF($A81="","",COUNTIFS('Raw daily data'!$I:$I,$A81,'Raw daily data'!$F:$F,"&lt;0"))</f>
        <v/>
      </c>
      <c r="Q81" s="208" t="str">
        <f>IF($A81="","",SUMIFS('Raw daily data'!$F:$F,'Raw daily data'!$I:$I,$A81,'Raw daily data'!$F:$F,"&gt;0"))</f>
        <v/>
      </c>
      <c r="R81" s="208" t="str">
        <f>IF($A81="","",ABS(SUMIFS('Raw daily data'!$F:$F,'Raw daily data'!$I:$I,$A81,'Raw daily data'!$F:$F,"&lt;0")))</f>
        <v/>
      </c>
      <c r="S81" s="210" t="str">
        <f t="shared" si="22"/>
        <v/>
      </c>
      <c r="T81" s="211" t="str">
        <f t="shared" si="23"/>
        <v/>
      </c>
      <c r="U81" s="212" t="str">
        <f t="shared" si="24"/>
        <v/>
      </c>
      <c r="V81" s="210" t="str">
        <f t="shared" si="25"/>
        <v/>
      </c>
      <c r="W81" s="208" t="str">
        <f>IF($A81="","",_xlfn.MAXIFS('Raw daily data'!$J:$J,'Raw daily data'!$I:$I,$A81))</f>
        <v/>
      </c>
      <c r="X81" s="204" t="str">
        <f t="shared" si="26"/>
        <v/>
      </c>
      <c r="Y81" s="204" t="str">
        <f>IFERROR(IF($A81="","",ABS(MIN(0,_xlfn.MINIFS('Raw daily data'!$J:$J,'Raw daily data'!$I:$I,$A81)))/G81),"")</f>
        <v/>
      </c>
    </row>
    <row r="82" spans="1:25">
      <c r="A82" s="214"/>
      <c r="B82" s="205"/>
      <c r="C82" s="206" t="str">
        <f t="shared" si="17"/>
        <v/>
      </c>
      <c r="D82" s="205"/>
      <c r="E82" s="207" t="str">
        <f t="shared" si="18"/>
        <v/>
      </c>
      <c r="F82" s="208" t="str">
        <f>IF($A82="","",$E82*Summary!$B$8)</f>
        <v/>
      </c>
      <c r="G82" s="208" t="str">
        <f>IF($A82="","",F82*Summary!$B$9)</f>
        <v/>
      </c>
      <c r="H82" s="207" t="str">
        <f>IF($A82="","",SUMIFS('Raw daily data'!$F:$F,'Raw daily data'!$I:$I,$A82))</f>
        <v/>
      </c>
      <c r="I82" s="207" t="str">
        <f t="shared" si="19"/>
        <v/>
      </c>
      <c r="J82" s="213" t="str">
        <f t="shared" si="20"/>
        <v/>
      </c>
      <c r="K82" s="207" t="str">
        <f>IF($A82="","",Summary!$B$6)</f>
        <v/>
      </c>
      <c r="L82" s="207" t="str">
        <f t="shared" si="21"/>
        <v/>
      </c>
      <c r="M82" s="205"/>
      <c r="N82" s="206" t="str">
        <f>IF($A82="","",COUNTIFS('Raw daily data'!$I:$I,$A82))</f>
        <v/>
      </c>
      <c r="O82" s="206" t="str">
        <f>IF($A82="","",COUNTIFS('Raw daily data'!$I:$I,$A82,'Raw daily data'!$F:$F,"&gt;0"))</f>
        <v/>
      </c>
      <c r="P82" s="206" t="str">
        <f>IF($A82="","",COUNTIFS('Raw daily data'!$I:$I,$A82,'Raw daily data'!$F:$F,"&lt;0"))</f>
        <v/>
      </c>
      <c r="Q82" s="208" t="str">
        <f>IF($A82="","",SUMIFS('Raw daily data'!$F:$F,'Raw daily data'!$I:$I,$A82,'Raw daily data'!$F:$F,"&gt;0"))</f>
        <v/>
      </c>
      <c r="R82" s="208" t="str">
        <f>IF($A82="","",ABS(SUMIFS('Raw daily data'!$F:$F,'Raw daily data'!$I:$I,$A82,'Raw daily data'!$F:$F,"&lt;0")))</f>
        <v/>
      </c>
      <c r="S82" s="210" t="str">
        <f t="shared" si="22"/>
        <v/>
      </c>
      <c r="T82" s="211" t="str">
        <f t="shared" si="23"/>
        <v/>
      </c>
      <c r="U82" s="212" t="str">
        <f t="shared" si="24"/>
        <v/>
      </c>
      <c r="V82" s="210" t="str">
        <f t="shared" si="25"/>
        <v/>
      </c>
      <c r="W82" s="208" t="str">
        <f>IF($A82="","",_xlfn.MAXIFS('Raw daily data'!$J:$J,'Raw daily data'!$I:$I,$A82))</f>
        <v/>
      </c>
      <c r="X82" s="204" t="str">
        <f t="shared" si="26"/>
        <v/>
      </c>
      <c r="Y82" s="204" t="str">
        <f>IFERROR(IF($A82="","",ABS(MIN(0,_xlfn.MINIFS('Raw daily data'!$J:$J,'Raw daily data'!$I:$I,$A82)))/G82),"")</f>
        <v/>
      </c>
    </row>
    <row r="83" spans="1:25">
      <c r="A83" s="214"/>
      <c r="B83" s="205"/>
      <c r="C83" s="206" t="str">
        <f t="shared" si="17"/>
        <v/>
      </c>
      <c r="D83" s="205"/>
      <c r="E83" s="207" t="str">
        <f t="shared" si="18"/>
        <v/>
      </c>
      <c r="F83" s="208" t="str">
        <f>IF($A83="","",$E83*Summary!$B$8)</f>
        <v/>
      </c>
      <c r="G83" s="208" t="str">
        <f>IF($A83="","",F83*Summary!$B$9)</f>
        <v/>
      </c>
      <c r="H83" s="207" t="str">
        <f>IF($A83="","",SUMIFS('Raw daily data'!$F:$F,'Raw daily data'!$I:$I,$A83))</f>
        <v/>
      </c>
      <c r="I83" s="207" t="str">
        <f t="shared" si="19"/>
        <v/>
      </c>
      <c r="J83" s="213" t="str">
        <f t="shared" si="20"/>
        <v/>
      </c>
      <c r="K83" s="207" t="str">
        <f>IF($A83="","",Summary!$B$6)</f>
        <v/>
      </c>
      <c r="L83" s="207" t="str">
        <f t="shared" si="21"/>
        <v/>
      </c>
      <c r="M83" s="205"/>
      <c r="N83" s="206" t="str">
        <f>IF($A83="","",COUNTIFS('Raw daily data'!$I:$I,$A83))</f>
        <v/>
      </c>
      <c r="O83" s="206" t="str">
        <f>IF($A83="","",COUNTIFS('Raw daily data'!$I:$I,$A83,'Raw daily data'!$F:$F,"&gt;0"))</f>
        <v/>
      </c>
      <c r="P83" s="206" t="str">
        <f>IF($A83="","",COUNTIFS('Raw daily data'!$I:$I,$A83,'Raw daily data'!$F:$F,"&lt;0"))</f>
        <v/>
      </c>
      <c r="Q83" s="208" t="str">
        <f>IF($A83="","",SUMIFS('Raw daily data'!$F:$F,'Raw daily data'!$I:$I,$A83,'Raw daily data'!$F:$F,"&gt;0"))</f>
        <v/>
      </c>
      <c r="R83" s="208" t="str">
        <f>IF($A83="","",ABS(SUMIFS('Raw daily data'!$F:$F,'Raw daily data'!$I:$I,$A83,'Raw daily data'!$F:$F,"&lt;0")))</f>
        <v/>
      </c>
      <c r="S83" s="210" t="str">
        <f t="shared" si="22"/>
        <v/>
      </c>
      <c r="T83" s="211" t="str">
        <f t="shared" si="23"/>
        <v/>
      </c>
      <c r="U83" s="212" t="str">
        <f t="shared" si="24"/>
        <v/>
      </c>
      <c r="V83" s="210" t="str">
        <f t="shared" si="25"/>
        <v/>
      </c>
      <c r="W83" s="208" t="str">
        <f>IF($A83="","",_xlfn.MAXIFS('Raw daily data'!$J:$J,'Raw daily data'!$I:$I,$A83))</f>
        <v/>
      </c>
      <c r="X83" s="204" t="str">
        <f t="shared" si="26"/>
        <v/>
      </c>
      <c r="Y83" s="204" t="str">
        <f>IFERROR(IF($A83="","",ABS(MIN(0,_xlfn.MINIFS('Raw daily data'!$J:$J,'Raw daily data'!$I:$I,$A83)))/G83),"")</f>
        <v/>
      </c>
    </row>
    <row r="84" spans="1:25">
      <c r="A84" s="214"/>
      <c r="B84" s="205"/>
      <c r="C84" s="206" t="str">
        <f t="shared" si="17"/>
        <v/>
      </c>
      <c r="D84" s="205"/>
      <c r="E84" s="207" t="str">
        <f t="shared" si="18"/>
        <v/>
      </c>
      <c r="F84" s="208" t="str">
        <f>IF($A84="","",$E84*Summary!$B$8)</f>
        <v/>
      </c>
      <c r="G84" s="208" t="str">
        <f>IF($A84="","",F84*Summary!$B$9)</f>
        <v/>
      </c>
      <c r="H84" s="207" t="str">
        <f>IF($A84="","",SUMIFS('Raw daily data'!$F:$F,'Raw daily data'!$I:$I,$A84))</f>
        <v/>
      </c>
      <c r="I84" s="207" t="str">
        <f t="shared" si="19"/>
        <v/>
      </c>
      <c r="J84" s="213" t="str">
        <f t="shared" si="20"/>
        <v/>
      </c>
      <c r="K84" s="207" t="str">
        <f>IF($A84="","",Summary!$B$6)</f>
        <v/>
      </c>
      <c r="L84" s="207" t="str">
        <f t="shared" si="21"/>
        <v/>
      </c>
      <c r="M84" s="205"/>
      <c r="N84" s="206" t="str">
        <f>IF($A84="","",COUNTIFS('Raw daily data'!$I:$I,$A84))</f>
        <v/>
      </c>
      <c r="O84" s="206" t="str">
        <f>IF($A84="","",COUNTIFS('Raw daily data'!$I:$I,$A84,'Raw daily data'!$F:$F,"&gt;0"))</f>
        <v/>
      </c>
      <c r="P84" s="206" t="str">
        <f>IF($A84="","",COUNTIFS('Raw daily data'!$I:$I,$A84,'Raw daily data'!$F:$F,"&lt;0"))</f>
        <v/>
      </c>
      <c r="Q84" s="208" t="str">
        <f>IF($A84="","",SUMIFS('Raw daily data'!$F:$F,'Raw daily data'!$I:$I,$A84,'Raw daily data'!$F:$F,"&gt;0"))</f>
        <v/>
      </c>
      <c r="R84" s="208" t="str">
        <f>IF($A84="","",ABS(SUMIFS('Raw daily data'!$F:$F,'Raw daily data'!$I:$I,$A84,'Raw daily data'!$F:$F,"&lt;0")))</f>
        <v/>
      </c>
      <c r="S84" s="210" t="str">
        <f t="shared" si="22"/>
        <v/>
      </c>
      <c r="T84" s="211" t="str">
        <f t="shared" si="23"/>
        <v/>
      </c>
      <c r="U84" s="212" t="str">
        <f t="shared" si="24"/>
        <v/>
      </c>
      <c r="V84" s="210" t="str">
        <f t="shared" si="25"/>
        <v/>
      </c>
      <c r="W84" s="208" t="str">
        <f>IF($A84="","",_xlfn.MAXIFS('Raw daily data'!$J:$J,'Raw daily data'!$I:$I,$A84))</f>
        <v/>
      </c>
      <c r="X84" s="204" t="str">
        <f t="shared" si="26"/>
        <v/>
      </c>
      <c r="Y84" s="204" t="str">
        <f>IFERROR(IF($A84="","",ABS(MIN(0,_xlfn.MINIFS('Raw daily data'!$J:$J,'Raw daily data'!$I:$I,$A84)))/G84),"")</f>
        <v/>
      </c>
    </row>
    <row r="85" spans="1:25">
      <c r="A85" s="214"/>
      <c r="B85" s="205"/>
      <c r="C85" s="206" t="str">
        <f t="shared" si="17"/>
        <v/>
      </c>
      <c r="D85" s="205"/>
      <c r="E85" s="207" t="str">
        <f t="shared" si="18"/>
        <v/>
      </c>
      <c r="F85" s="208" t="str">
        <f>IF($A85="","",$E85*Summary!$B$8)</f>
        <v/>
      </c>
      <c r="G85" s="208" t="str">
        <f>IF($A85="","",F85*Summary!$B$9)</f>
        <v/>
      </c>
      <c r="H85" s="207" t="str">
        <f>IF($A85="","",SUMIFS('Raw daily data'!$F:$F,'Raw daily data'!$I:$I,$A85))</f>
        <v/>
      </c>
      <c r="I85" s="207" t="str">
        <f t="shared" si="19"/>
        <v/>
      </c>
      <c r="J85" s="213" t="str">
        <f t="shared" si="20"/>
        <v/>
      </c>
      <c r="K85" s="207" t="str">
        <f>IF($A85="","",Summary!$B$6)</f>
        <v/>
      </c>
      <c r="L85" s="207" t="str">
        <f t="shared" si="21"/>
        <v/>
      </c>
      <c r="M85" s="205"/>
      <c r="N85" s="206" t="str">
        <f>IF($A85="","",COUNTIFS('Raw daily data'!$I:$I,$A85))</f>
        <v/>
      </c>
      <c r="O85" s="206" t="str">
        <f>IF($A85="","",COUNTIFS('Raw daily data'!$I:$I,$A85,'Raw daily data'!$F:$F,"&gt;0"))</f>
        <v/>
      </c>
      <c r="P85" s="206" t="str">
        <f>IF($A85="","",COUNTIFS('Raw daily data'!$I:$I,$A85,'Raw daily data'!$F:$F,"&lt;0"))</f>
        <v/>
      </c>
      <c r="Q85" s="208" t="str">
        <f>IF($A85="","",SUMIFS('Raw daily data'!$F:$F,'Raw daily data'!$I:$I,$A85,'Raw daily data'!$F:$F,"&gt;0"))</f>
        <v/>
      </c>
      <c r="R85" s="208" t="str">
        <f>IF($A85="","",ABS(SUMIFS('Raw daily data'!$F:$F,'Raw daily data'!$I:$I,$A85,'Raw daily data'!$F:$F,"&lt;0")))</f>
        <v/>
      </c>
      <c r="S85" s="210" t="str">
        <f t="shared" si="22"/>
        <v/>
      </c>
      <c r="T85" s="211" t="str">
        <f t="shared" si="23"/>
        <v/>
      </c>
      <c r="U85" s="212" t="str">
        <f t="shared" si="24"/>
        <v/>
      </c>
      <c r="V85" s="210" t="str">
        <f t="shared" si="25"/>
        <v/>
      </c>
      <c r="W85" s="208" t="str">
        <f>IF($A85="","",_xlfn.MAXIFS('Raw daily data'!$J:$J,'Raw daily data'!$I:$I,$A85))</f>
        <v/>
      </c>
      <c r="X85" s="204" t="str">
        <f t="shared" si="26"/>
        <v/>
      </c>
      <c r="Y85" s="204" t="str">
        <f>IFERROR(IF($A85="","",ABS(MIN(0,_xlfn.MINIFS('Raw daily data'!$J:$J,'Raw daily data'!$I:$I,$A85)))/G85),"")</f>
        <v/>
      </c>
    </row>
    <row r="86" spans="1:25">
      <c r="A86" s="214"/>
      <c r="B86" s="205"/>
      <c r="C86" s="206" t="str">
        <f t="shared" si="17"/>
        <v/>
      </c>
      <c r="D86" s="205"/>
      <c r="E86" s="207" t="str">
        <f t="shared" si="18"/>
        <v/>
      </c>
      <c r="F86" s="208" t="str">
        <f>IF($A86="","",$E86*Summary!$B$8)</f>
        <v/>
      </c>
      <c r="G86" s="208" t="str">
        <f>IF($A86="","",F86*Summary!$B$9)</f>
        <v/>
      </c>
      <c r="H86" s="207" t="str">
        <f>IF($A86="","",SUMIFS('Raw daily data'!$F:$F,'Raw daily data'!$I:$I,$A86))</f>
        <v/>
      </c>
      <c r="I86" s="207" t="str">
        <f t="shared" si="19"/>
        <v/>
      </c>
      <c r="J86" s="213" t="str">
        <f t="shared" si="20"/>
        <v/>
      </c>
      <c r="K86" s="207" t="str">
        <f>IF($A86="","",Summary!$B$6)</f>
        <v/>
      </c>
      <c r="L86" s="207" t="str">
        <f t="shared" si="21"/>
        <v/>
      </c>
      <c r="M86" s="205"/>
      <c r="N86" s="206" t="str">
        <f>IF($A86="","",COUNTIFS('Raw daily data'!$I:$I,$A86))</f>
        <v/>
      </c>
      <c r="O86" s="206" t="str">
        <f>IF($A86="","",COUNTIFS('Raw daily data'!$I:$I,$A86,'Raw daily data'!$F:$F,"&gt;0"))</f>
        <v/>
      </c>
      <c r="P86" s="206" t="str">
        <f>IF($A86="","",COUNTIFS('Raw daily data'!$I:$I,$A86,'Raw daily data'!$F:$F,"&lt;0"))</f>
        <v/>
      </c>
      <c r="Q86" s="208" t="str">
        <f>IF($A86="","",SUMIFS('Raw daily data'!$F:$F,'Raw daily data'!$I:$I,$A86,'Raw daily data'!$F:$F,"&gt;0"))</f>
        <v/>
      </c>
      <c r="R86" s="208" t="str">
        <f>IF($A86="","",ABS(SUMIFS('Raw daily data'!$F:$F,'Raw daily data'!$I:$I,$A86,'Raw daily data'!$F:$F,"&lt;0")))</f>
        <v/>
      </c>
      <c r="S86" s="210" t="str">
        <f t="shared" si="22"/>
        <v/>
      </c>
      <c r="T86" s="211" t="str">
        <f t="shared" si="23"/>
        <v/>
      </c>
      <c r="U86" s="212" t="str">
        <f t="shared" si="24"/>
        <v/>
      </c>
      <c r="V86" s="210" t="str">
        <f t="shared" si="25"/>
        <v/>
      </c>
      <c r="W86" s="208" t="str">
        <f>IF($A86="","",_xlfn.MAXIFS('Raw daily data'!$J:$J,'Raw daily data'!$I:$I,$A86))</f>
        <v/>
      </c>
      <c r="X86" s="204" t="str">
        <f t="shared" si="26"/>
        <v/>
      </c>
      <c r="Y86" s="204" t="str">
        <f>IFERROR(IF($A86="","",ABS(MIN(0,_xlfn.MINIFS('Raw daily data'!$J:$J,'Raw daily data'!$I:$I,$A86)))/G86),"")</f>
        <v/>
      </c>
    </row>
    <row r="87" spans="1:25">
      <c r="A87" s="214"/>
      <c r="B87" s="205"/>
      <c r="C87" s="206" t="str">
        <f t="shared" si="17"/>
        <v/>
      </c>
      <c r="D87" s="205"/>
      <c r="E87" s="207" t="str">
        <f t="shared" si="18"/>
        <v/>
      </c>
      <c r="F87" s="208" t="str">
        <f>IF($A87="","",$E87*Summary!$B$8)</f>
        <v/>
      </c>
      <c r="G87" s="208" t="str">
        <f>IF($A87="","",F87*Summary!$B$9)</f>
        <v/>
      </c>
      <c r="H87" s="207" t="str">
        <f>IF($A87="","",SUMIFS('Raw daily data'!$F:$F,'Raw daily data'!$I:$I,$A87))</f>
        <v/>
      </c>
      <c r="I87" s="207" t="str">
        <f t="shared" si="19"/>
        <v/>
      </c>
      <c r="J87" s="213" t="str">
        <f t="shared" si="20"/>
        <v/>
      </c>
      <c r="K87" s="207" t="str">
        <f>IF($A87="","",Summary!$B$6)</f>
        <v/>
      </c>
      <c r="L87" s="207" t="str">
        <f t="shared" si="21"/>
        <v/>
      </c>
      <c r="M87" s="205"/>
      <c r="N87" s="206" t="str">
        <f>IF($A87="","",COUNTIFS('Raw daily data'!$I:$I,$A87))</f>
        <v/>
      </c>
      <c r="O87" s="206" t="str">
        <f>IF($A87="","",COUNTIFS('Raw daily data'!$I:$I,$A87,'Raw daily data'!$F:$F,"&gt;0"))</f>
        <v/>
      </c>
      <c r="P87" s="206" t="str">
        <f>IF($A87="","",COUNTIFS('Raw daily data'!$I:$I,$A87,'Raw daily data'!$F:$F,"&lt;0"))</f>
        <v/>
      </c>
      <c r="Q87" s="208" t="str">
        <f>IF($A87="","",SUMIFS('Raw daily data'!$F:$F,'Raw daily data'!$I:$I,$A87,'Raw daily data'!$F:$F,"&gt;0"))</f>
        <v/>
      </c>
      <c r="R87" s="208" t="str">
        <f>IF($A87="","",ABS(SUMIFS('Raw daily data'!$F:$F,'Raw daily data'!$I:$I,$A87,'Raw daily data'!$F:$F,"&lt;0")))</f>
        <v/>
      </c>
      <c r="S87" s="210" t="str">
        <f t="shared" si="22"/>
        <v/>
      </c>
      <c r="T87" s="211" t="str">
        <f t="shared" si="23"/>
        <v/>
      </c>
      <c r="U87" s="212" t="str">
        <f t="shared" si="24"/>
        <v/>
      </c>
      <c r="V87" s="210" t="str">
        <f t="shared" si="25"/>
        <v/>
      </c>
      <c r="W87" s="208" t="str">
        <f>IF($A87="","",_xlfn.MAXIFS('Raw daily data'!$J:$J,'Raw daily data'!$I:$I,$A87))</f>
        <v/>
      </c>
      <c r="X87" s="204" t="str">
        <f t="shared" si="26"/>
        <v/>
      </c>
      <c r="Y87" s="204" t="str">
        <f>IFERROR(IF($A87="","",ABS(MIN(0,_xlfn.MINIFS('Raw daily data'!$J:$J,'Raw daily data'!$I:$I,$A87)))/G87),"")</f>
        <v/>
      </c>
    </row>
    <row r="88" spans="1:25">
      <c r="A88" s="214"/>
      <c r="B88" s="205"/>
      <c r="C88" s="206" t="str">
        <f t="shared" si="17"/>
        <v/>
      </c>
      <c r="D88" s="205"/>
      <c r="E88" s="207" t="str">
        <f t="shared" si="18"/>
        <v/>
      </c>
      <c r="F88" s="208" t="str">
        <f>IF($A88="","",$E88*Summary!$B$8)</f>
        <v/>
      </c>
      <c r="G88" s="208" t="str">
        <f>IF($A88="","",F88*Summary!$B$9)</f>
        <v/>
      </c>
      <c r="H88" s="207" t="str">
        <f>IF($A88="","",SUMIFS('Raw daily data'!$F:$F,'Raw daily data'!$I:$I,$A88))</f>
        <v/>
      </c>
      <c r="I88" s="207" t="str">
        <f t="shared" si="19"/>
        <v/>
      </c>
      <c r="J88" s="213" t="str">
        <f t="shared" si="20"/>
        <v/>
      </c>
      <c r="K88" s="207" t="str">
        <f>IF($A88="","",Summary!$B$6)</f>
        <v/>
      </c>
      <c r="L88" s="207" t="str">
        <f t="shared" si="21"/>
        <v/>
      </c>
      <c r="M88" s="205"/>
      <c r="N88" s="206" t="str">
        <f>IF($A88="","",COUNTIFS('Raw daily data'!$I:$I,$A88))</f>
        <v/>
      </c>
      <c r="O88" s="206" t="str">
        <f>IF($A88="","",COUNTIFS('Raw daily data'!$I:$I,$A88,'Raw daily data'!$F:$F,"&gt;0"))</f>
        <v/>
      </c>
      <c r="P88" s="206" t="str">
        <f>IF($A88="","",COUNTIFS('Raw daily data'!$I:$I,$A88,'Raw daily data'!$F:$F,"&lt;0"))</f>
        <v/>
      </c>
      <c r="Q88" s="208" t="str">
        <f>IF($A88="","",SUMIFS('Raw daily data'!$F:$F,'Raw daily data'!$I:$I,$A88,'Raw daily data'!$F:$F,"&gt;0"))</f>
        <v/>
      </c>
      <c r="R88" s="208" t="str">
        <f>IF($A88="","",ABS(SUMIFS('Raw daily data'!$F:$F,'Raw daily data'!$I:$I,$A88,'Raw daily data'!$F:$F,"&lt;0")))</f>
        <v/>
      </c>
      <c r="S88" s="210" t="str">
        <f t="shared" si="22"/>
        <v/>
      </c>
      <c r="T88" s="211" t="str">
        <f t="shared" si="23"/>
        <v/>
      </c>
      <c r="U88" s="212" t="str">
        <f t="shared" si="24"/>
        <v/>
      </c>
      <c r="V88" s="210" t="str">
        <f t="shared" si="25"/>
        <v/>
      </c>
      <c r="W88" s="208" t="str">
        <f>IF($A88="","",_xlfn.MAXIFS('Raw daily data'!$J:$J,'Raw daily data'!$I:$I,$A88))</f>
        <v/>
      </c>
      <c r="X88" s="204" t="str">
        <f t="shared" si="26"/>
        <v/>
      </c>
      <c r="Y88" s="204" t="str">
        <f>IFERROR(IF($A88="","",ABS(MIN(0,_xlfn.MINIFS('Raw daily data'!$J:$J,'Raw daily data'!$I:$I,$A88)))/G88),"")</f>
        <v/>
      </c>
    </row>
    <row r="89" spans="1:25">
      <c r="A89" s="214"/>
      <c r="B89" s="205"/>
      <c r="C89" s="206" t="str">
        <f t="shared" si="17"/>
        <v/>
      </c>
      <c r="D89" s="205"/>
      <c r="E89" s="207" t="str">
        <f t="shared" si="18"/>
        <v/>
      </c>
      <c r="F89" s="208" t="str">
        <f>IF($A89="","",$E89*Summary!$B$8)</f>
        <v/>
      </c>
      <c r="G89" s="208" t="str">
        <f>IF($A89="","",F89*Summary!$B$9)</f>
        <v/>
      </c>
      <c r="H89" s="207" t="str">
        <f>IF($A89="","",SUMIFS('Raw daily data'!$F:$F,'Raw daily data'!$I:$I,$A89))</f>
        <v/>
      </c>
      <c r="I89" s="207" t="str">
        <f t="shared" si="19"/>
        <v/>
      </c>
      <c r="J89" s="213" t="str">
        <f t="shared" si="20"/>
        <v/>
      </c>
      <c r="K89" s="207" t="str">
        <f>IF($A89="","",Summary!$B$6)</f>
        <v/>
      </c>
      <c r="L89" s="207" t="str">
        <f t="shared" si="21"/>
        <v/>
      </c>
      <c r="M89" s="205"/>
      <c r="N89" s="206" t="str">
        <f>IF($A89="","",COUNTIFS('Raw daily data'!$I:$I,$A89))</f>
        <v/>
      </c>
      <c r="O89" s="206" t="str">
        <f>IF($A89="","",COUNTIFS('Raw daily data'!$I:$I,$A89,'Raw daily data'!$F:$F,"&gt;0"))</f>
        <v/>
      </c>
      <c r="P89" s="206" t="str">
        <f>IF($A89="","",COUNTIFS('Raw daily data'!$I:$I,$A89,'Raw daily data'!$F:$F,"&lt;0"))</f>
        <v/>
      </c>
      <c r="Q89" s="208" t="str">
        <f>IF($A89="","",SUMIFS('Raw daily data'!$F:$F,'Raw daily data'!$I:$I,$A89,'Raw daily data'!$F:$F,"&gt;0"))</f>
        <v/>
      </c>
      <c r="R89" s="208" t="str">
        <f>IF($A89="","",ABS(SUMIFS('Raw daily data'!$F:$F,'Raw daily data'!$I:$I,$A89,'Raw daily data'!$F:$F,"&lt;0")))</f>
        <v/>
      </c>
      <c r="S89" s="210" t="str">
        <f t="shared" si="22"/>
        <v/>
      </c>
      <c r="T89" s="211" t="str">
        <f t="shared" si="23"/>
        <v/>
      </c>
      <c r="U89" s="212" t="str">
        <f t="shared" si="24"/>
        <v/>
      </c>
      <c r="V89" s="210" t="str">
        <f t="shared" si="25"/>
        <v/>
      </c>
      <c r="W89" s="208" t="str">
        <f>IF($A89="","",_xlfn.MAXIFS('Raw daily data'!$J:$J,'Raw daily data'!$I:$I,$A89))</f>
        <v/>
      </c>
      <c r="X89" s="204" t="str">
        <f t="shared" si="26"/>
        <v/>
      </c>
      <c r="Y89" s="204" t="str">
        <f>IFERROR(IF($A89="","",ABS(MIN(0,_xlfn.MINIFS('Raw daily data'!$J:$J,'Raw daily data'!$I:$I,$A89)))/G89),"")</f>
        <v/>
      </c>
    </row>
    <row r="90" spans="1:25">
      <c r="A90" s="214"/>
      <c r="B90" s="205"/>
      <c r="C90" s="206" t="str">
        <f t="shared" si="17"/>
        <v/>
      </c>
      <c r="D90" s="205"/>
      <c r="E90" s="207" t="str">
        <f t="shared" si="18"/>
        <v/>
      </c>
      <c r="F90" s="208" t="str">
        <f>IF($A90="","",$E90*Summary!$B$8)</f>
        <v/>
      </c>
      <c r="G90" s="208" t="str">
        <f>IF($A90="","",F90*Summary!$B$9)</f>
        <v/>
      </c>
      <c r="H90" s="207" t="str">
        <f>IF($A90="","",SUMIFS('Raw daily data'!$F:$F,'Raw daily data'!$I:$I,$A90))</f>
        <v/>
      </c>
      <c r="I90" s="207" t="str">
        <f t="shared" si="19"/>
        <v/>
      </c>
      <c r="J90" s="213" t="str">
        <f t="shared" si="20"/>
        <v/>
      </c>
      <c r="K90" s="207" t="str">
        <f>IF($A90="","",Summary!$B$6)</f>
        <v/>
      </c>
      <c r="L90" s="207" t="str">
        <f t="shared" si="21"/>
        <v/>
      </c>
      <c r="M90" s="205"/>
      <c r="N90" s="206" t="str">
        <f>IF($A90="","",COUNTIFS('Raw daily data'!$I:$I,$A90))</f>
        <v/>
      </c>
      <c r="O90" s="206" t="str">
        <f>IF($A90="","",COUNTIFS('Raw daily data'!$I:$I,$A90,'Raw daily data'!$F:$F,"&gt;0"))</f>
        <v/>
      </c>
      <c r="P90" s="206" t="str">
        <f>IF($A90="","",COUNTIFS('Raw daily data'!$I:$I,$A90,'Raw daily data'!$F:$F,"&lt;0"))</f>
        <v/>
      </c>
      <c r="Q90" s="208" t="str">
        <f>IF($A90="","",SUMIFS('Raw daily data'!$F:$F,'Raw daily data'!$I:$I,$A90,'Raw daily data'!$F:$F,"&gt;0"))</f>
        <v/>
      </c>
      <c r="R90" s="208" t="str">
        <f>IF($A90="","",ABS(SUMIFS('Raw daily data'!$F:$F,'Raw daily data'!$I:$I,$A90,'Raw daily data'!$F:$F,"&lt;0")))</f>
        <v/>
      </c>
      <c r="S90" s="210" t="str">
        <f t="shared" si="22"/>
        <v/>
      </c>
      <c r="T90" s="211" t="str">
        <f t="shared" si="23"/>
        <v/>
      </c>
      <c r="U90" s="212" t="str">
        <f t="shared" si="24"/>
        <v/>
      </c>
      <c r="V90" s="210" t="str">
        <f t="shared" si="25"/>
        <v/>
      </c>
      <c r="W90" s="208" t="str">
        <f>IF($A90="","",_xlfn.MAXIFS('Raw daily data'!$J:$J,'Raw daily data'!$I:$I,$A90))</f>
        <v/>
      </c>
      <c r="X90" s="204" t="str">
        <f t="shared" si="26"/>
        <v/>
      </c>
      <c r="Y90" s="204" t="str">
        <f>IFERROR(IF($A90="","",ABS(MIN(0,_xlfn.MINIFS('Raw daily data'!$J:$J,'Raw daily data'!$I:$I,$A90)))/G90),"")</f>
        <v/>
      </c>
    </row>
    <row r="91" spans="1:25">
      <c r="A91" s="214"/>
      <c r="B91" s="205"/>
      <c r="C91" s="206" t="str">
        <f t="shared" si="17"/>
        <v/>
      </c>
      <c r="D91" s="205"/>
      <c r="E91" s="207" t="str">
        <f t="shared" si="18"/>
        <v/>
      </c>
      <c r="F91" s="208" t="str">
        <f>IF($A91="","",$E91*Summary!$B$8)</f>
        <v/>
      </c>
      <c r="G91" s="208" t="str">
        <f>IF($A91="","",F91*Summary!$B$9)</f>
        <v/>
      </c>
      <c r="H91" s="207" t="str">
        <f>IF($A91="","",SUMIFS('Raw daily data'!$F:$F,'Raw daily data'!$I:$I,$A91))</f>
        <v/>
      </c>
      <c r="I91" s="207" t="str">
        <f t="shared" si="19"/>
        <v/>
      </c>
      <c r="J91" s="213" t="str">
        <f t="shared" si="20"/>
        <v/>
      </c>
      <c r="K91" s="207" t="str">
        <f>IF($A91="","",Summary!$B$6)</f>
        <v/>
      </c>
      <c r="L91" s="207" t="str">
        <f t="shared" si="21"/>
        <v/>
      </c>
      <c r="M91" s="205"/>
      <c r="N91" s="206" t="str">
        <f>IF($A91="","",COUNTIFS('Raw daily data'!$I:$I,$A91))</f>
        <v/>
      </c>
      <c r="O91" s="206" t="str">
        <f>IF($A91="","",COUNTIFS('Raw daily data'!$I:$I,$A91,'Raw daily data'!$F:$F,"&gt;0"))</f>
        <v/>
      </c>
      <c r="P91" s="206" t="str">
        <f>IF($A91="","",COUNTIFS('Raw daily data'!$I:$I,$A91,'Raw daily data'!$F:$F,"&lt;0"))</f>
        <v/>
      </c>
      <c r="Q91" s="208" t="str">
        <f>IF($A91="","",SUMIFS('Raw daily data'!$F:$F,'Raw daily data'!$I:$I,$A91,'Raw daily data'!$F:$F,"&gt;0"))</f>
        <v/>
      </c>
      <c r="R91" s="208" t="str">
        <f>IF($A91="","",ABS(SUMIFS('Raw daily data'!$F:$F,'Raw daily data'!$I:$I,$A91,'Raw daily data'!$F:$F,"&lt;0")))</f>
        <v/>
      </c>
      <c r="S91" s="210" t="str">
        <f t="shared" si="22"/>
        <v/>
      </c>
      <c r="T91" s="211" t="str">
        <f t="shared" si="23"/>
        <v/>
      </c>
      <c r="U91" s="212" t="str">
        <f t="shared" si="24"/>
        <v/>
      </c>
      <c r="V91" s="210" t="str">
        <f t="shared" si="25"/>
        <v/>
      </c>
      <c r="W91" s="208" t="str">
        <f>IF($A91="","",_xlfn.MAXIFS('Raw daily data'!$J:$J,'Raw daily data'!$I:$I,$A91))</f>
        <v/>
      </c>
      <c r="X91" s="204" t="str">
        <f t="shared" si="26"/>
        <v/>
      </c>
      <c r="Y91" s="204" t="str">
        <f>IFERROR(IF($A91="","",ABS(MIN(0,_xlfn.MINIFS('Raw daily data'!$J:$J,'Raw daily data'!$I:$I,$A91)))/G91),"")</f>
        <v/>
      </c>
    </row>
    <row r="92" spans="1:25">
      <c r="A92" s="214"/>
      <c r="B92" s="205"/>
      <c r="C92" s="206" t="str">
        <f t="shared" si="17"/>
        <v/>
      </c>
      <c r="D92" s="205"/>
      <c r="E92" s="207" t="str">
        <f t="shared" si="18"/>
        <v/>
      </c>
      <c r="F92" s="208" t="str">
        <f>IF($A92="","",$E92*Summary!$B$8)</f>
        <v/>
      </c>
      <c r="G92" s="208" t="str">
        <f>IF($A92="","",F92*Summary!$B$9)</f>
        <v/>
      </c>
      <c r="H92" s="207" t="str">
        <f>IF($A92="","",SUMIFS('Raw daily data'!$F:$F,'Raw daily data'!$I:$I,$A92))</f>
        <v/>
      </c>
      <c r="I92" s="207" t="str">
        <f t="shared" si="19"/>
        <v/>
      </c>
      <c r="J92" s="213" t="str">
        <f t="shared" si="20"/>
        <v/>
      </c>
      <c r="K92" s="207" t="str">
        <f>IF($A92="","",Summary!$B$6)</f>
        <v/>
      </c>
      <c r="L92" s="207" t="str">
        <f t="shared" si="21"/>
        <v/>
      </c>
      <c r="M92" s="205"/>
      <c r="N92" s="206" t="str">
        <f>IF($A92="","",COUNTIFS('Raw daily data'!$I:$I,$A92))</f>
        <v/>
      </c>
      <c r="O92" s="206" t="str">
        <f>IF($A92="","",COUNTIFS('Raw daily data'!$I:$I,$A92,'Raw daily data'!$F:$F,"&gt;0"))</f>
        <v/>
      </c>
      <c r="P92" s="206" t="str">
        <f>IF($A92="","",COUNTIFS('Raw daily data'!$I:$I,$A92,'Raw daily data'!$F:$F,"&lt;0"))</f>
        <v/>
      </c>
      <c r="Q92" s="208" t="str">
        <f>IF($A92="","",SUMIFS('Raw daily data'!$F:$F,'Raw daily data'!$I:$I,$A92,'Raw daily data'!$F:$F,"&gt;0"))</f>
        <v/>
      </c>
      <c r="R92" s="208" t="str">
        <f>IF($A92="","",ABS(SUMIFS('Raw daily data'!$F:$F,'Raw daily data'!$I:$I,$A92,'Raw daily data'!$F:$F,"&lt;0")))</f>
        <v/>
      </c>
      <c r="S92" s="210" t="str">
        <f t="shared" si="22"/>
        <v/>
      </c>
      <c r="T92" s="211" t="str">
        <f t="shared" si="23"/>
        <v/>
      </c>
      <c r="U92" s="212" t="str">
        <f t="shared" si="24"/>
        <v/>
      </c>
      <c r="V92" s="210" t="str">
        <f t="shared" si="25"/>
        <v/>
      </c>
      <c r="W92" s="208" t="str">
        <f>IF($A92="","",_xlfn.MAXIFS('Raw daily data'!$J:$J,'Raw daily data'!$I:$I,$A92))</f>
        <v/>
      </c>
      <c r="X92" s="204" t="str">
        <f t="shared" si="26"/>
        <v/>
      </c>
      <c r="Y92" s="204" t="str">
        <f>IFERROR(IF($A92="","",ABS(MIN(0,_xlfn.MINIFS('Raw daily data'!$J:$J,'Raw daily data'!$I:$I,$A92)))/G92),"")</f>
        <v/>
      </c>
    </row>
    <row r="93" spans="1:25">
      <c r="A93" s="214"/>
      <c r="B93" s="205"/>
      <c r="C93" s="206" t="str">
        <f t="shared" si="17"/>
        <v/>
      </c>
      <c r="D93" s="205"/>
      <c r="E93" s="207" t="str">
        <f t="shared" si="18"/>
        <v/>
      </c>
      <c r="F93" s="208" t="str">
        <f>IF($A93="","",$E93*Summary!$B$8)</f>
        <v/>
      </c>
      <c r="G93" s="208" t="str">
        <f>IF($A93="","",F93*Summary!$B$9)</f>
        <v/>
      </c>
      <c r="H93" s="207" t="str">
        <f>IF($A93="","",SUMIFS('Raw daily data'!$F:$F,'Raw daily data'!$I:$I,$A93))</f>
        <v/>
      </c>
      <c r="I93" s="207" t="str">
        <f t="shared" si="19"/>
        <v/>
      </c>
      <c r="J93" s="213" t="str">
        <f t="shared" si="20"/>
        <v/>
      </c>
      <c r="K93" s="207" t="str">
        <f>IF($A93="","",Summary!$B$6)</f>
        <v/>
      </c>
      <c r="L93" s="207" t="str">
        <f t="shared" si="21"/>
        <v/>
      </c>
      <c r="M93" s="205"/>
      <c r="N93" s="206" t="str">
        <f>IF($A93="","",COUNTIFS('Raw daily data'!$I:$I,$A93))</f>
        <v/>
      </c>
      <c r="O93" s="206" t="str">
        <f>IF($A93="","",COUNTIFS('Raw daily data'!$I:$I,$A93,'Raw daily data'!$F:$F,"&gt;0"))</f>
        <v/>
      </c>
      <c r="P93" s="206" t="str">
        <f>IF($A93="","",COUNTIFS('Raw daily data'!$I:$I,$A93,'Raw daily data'!$F:$F,"&lt;0"))</f>
        <v/>
      </c>
      <c r="Q93" s="208" t="str">
        <f>IF($A93="","",SUMIFS('Raw daily data'!$F:$F,'Raw daily data'!$I:$I,$A93,'Raw daily data'!$F:$F,"&gt;0"))</f>
        <v/>
      </c>
      <c r="R93" s="208" t="str">
        <f>IF($A93="","",ABS(SUMIFS('Raw daily data'!$F:$F,'Raw daily data'!$I:$I,$A93,'Raw daily data'!$F:$F,"&lt;0")))</f>
        <v/>
      </c>
      <c r="S93" s="210" t="str">
        <f t="shared" si="22"/>
        <v/>
      </c>
      <c r="T93" s="211" t="str">
        <f t="shared" si="23"/>
        <v/>
      </c>
      <c r="U93" s="212" t="str">
        <f t="shared" si="24"/>
        <v/>
      </c>
      <c r="V93" s="210" t="str">
        <f t="shared" si="25"/>
        <v/>
      </c>
      <c r="W93" s="208" t="str">
        <f>IF($A93="","",_xlfn.MAXIFS('Raw daily data'!$J:$J,'Raw daily data'!$I:$I,$A93))</f>
        <v/>
      </c>
      <c r="X93" s="204" t="str">
        <f t="shared" si="26"/>
        <v/>
      </c>
      <c r="Y93" s="204" t="str">
        <f>IFERROR(IF($A93="","",ABS(MIN(0,_xlfn.MINIFS('Raw daily data'!$J:$J,'Raw daily data'!$I:$I,$A93)))/G93),"")</f>
        <v/>
      </c>
    </row>
    <row r="94" spans="1:25">
      <c r="A94" s="214"/>
      <c r="B94" s="205"/>
      <c r="C94" s="206" t="str">
        <f t="shared" si="17"/>
        <v/>
      </c>
      <c r="D94" s="205"/>
      <c r="E94" s="207" t="str">
        <f t="shared" si="18"/>
        <v/>
      </c>
      <c r="F94" s="208" t="str">
        <f>IF($A94="","",$E94*Summary!$B$8)</f>
        <v/>
      </c>
      <c r="G94" s="208" t="str">
        <f>IF($A94="","",F94*Summary!$B$9)</f>
        <v/>
      </c>
      <c r="H94" s="207" t="str">
        <f>IF($A94="","",SUMIFS('Raw daily data'!$F:$F,'Raw daily data'!$I:$I,$A94))</f>
        <v/>
      </c>
      <c r="I94" s="207" t="str">
        <f t="shared" si="19"/>
        <v/>
      </c>
      <c r="J94" s="213" t="str">
        <f t="shared" si="20"/>
        <v/>
      </c>
      <c r="K94" s="207" t="str">
        <f>IF($A94="","",Summary!$B$6)</f>
        <v/>
      </c>
      <c r="L94" s="207" t="str">
        <f t="shared" si="21"/>
        <v/>
      </c>
      <c r="M94" s="205"/>
      <c r="N94" s="206" t="str">
        <f>IF($A94="","",COUNTIFS('Raw daily data'!$I:$I,$A94))</f>
        <v/>
      </c>
      <c r="O94" s="206" t="str">
        <f>IF($A94="","",COUNTIFS('Raw daily data'!$I:$I,$A94,'Raw daily data'!$F:$F,"&gt;0"))</f>
        <v/>
      </c>
      <c r="P94" s="206" t="str">
        <f>IF($A94="","",COUNTIFS('Raw daily data'!$I:$I,$A94,'Raw daily data'!$F:$F,"&lt;0"))</f>
        <v/>
      </c>
      <c r="Q94" s="208" t="str">
        <f>IF($A94="","",SUMIFS('Raw daily data'!$F:$F,'Raw daily data'!$I:$I,$A94,'Raw daily data'!$F:$F,"&gt;0"))</f>
        <v/>
      </c>
      <c r="R94" s="208" t="str">
        <f>IF($A94="","",ABS(SUMIFS('Raw daily data'!$F:$F,'Raw daily data'!$I:$I,$A94,'Raw daily data'!$F:$F,"&lt;0")))</f>
        <v/>
      </c>
      <c r="S94" s="210" t="str">
        <f t="shared" si="22"/>
        <v/>
      </c>
      <c r="T94" s="211" t="str">
        <f t="shared" si="23"/>
        <v/>
      </c>
      <c r="U94" s="212" t="str">
        <f t="shared" si="24"/>
        <v/>
      </c>
      <c r="V94" s="210" t="str">
        <f t="shared" si="25"/>
        <v/>
      </c>
      <c r="W94" s="208" t="str">
        <f>IF($A94="","",_xlfn.MAXIFS('Raw daily data'!$J:$J,'Raw daily data'!$I:$I,$A94))</f>
        <v/>
      </c>
      <c r="X94" s="204" t="str">
        <f t="shared" si="26"/>
        <v/>
      </c>
      <c r="Y94" s="204" t="str">
        <f>IFERROR(IF($A94="","",ABS(MIN(0,_xlfn.MINIFS('Raw daily data'!$J:$J,'Raw daily data'!$I:$I,$A94)))/G94),"")</f>
        <v/>
      </c>
    </row>
    <row r="95" spans="1:25">
      <c r="A95" s="214"/>
      <c r="B95" s="205"/>
      <c r="C95" s="206" t="str">
        <f t="shared" si="17"/>
        <v/>
      </c>
      <c r="D95" s="205"/>
      <c r="E95" s="207" t="str">
        <f t="shared" si="18"/>
        <v/>
      </c>
      <c r="F95" s="208" t="str">
        <f>IF($A95="","",$E95*Summary!$B$8)</f>
        <v/>
      </c>
      <c r="G95" s="208" t="str">
        <f>IF($A95="","",F95*Summary!$B$9)</f>
        <v/>
      </c>
      <c r="H95" s="207" t="str">
        <f>IF($A95="","",SUMIFS('Raw daily data'!$F:$F,'Raw daily data'!$I:$I,$A95))</f>
        <v/>
      </c>
      <c r="I95" s="207" t="str">
        <f t="shared" si="19"/>
        <v/>
      </c>
      <c r="J95" s="213" t="str">
        <f t="shared" si="20"/>
        <v/>
      </c>
      <c r="K95" s="207" t="str">
        <f>IF($A95="","",Summary!$B$6)</f>
        <v/>
      </c>
      <c r="L95" s="207" t="str">
        <f t="shared" si="21"/>
        <v/>
      </c>
      <c r="M95" s="205"/>
      <c r="N95" s="206" t="str">
        <f>IF($A95="","",COUNTIFS('Raw daily data'!$I:$I,$A95))</f>
        <v/>
      </c>
      <c r="O95" s="206" t="str">
        <f>IF($A95="","",COUNTIFS('Raw daily data'!$I:$I,$A95,'Raw daily data'!$F:$F,"&gt;0"))</f>
        <v/>
      </c>
      <c r="P95" s="206" t="str">
        <f>IF($A95="","",COUNTIFS('Raw daily data'!$I:$I,$A95,'Raw daily data'!$F:$F,"&lt;0"))</f>
        <v/>
      </c>
      <c r="Q95" s="208" t="str">
        <f>IF($A95="","",SUMIFS('Raw daily data'!$F:$F,'Raw daily data'!$I:$I,$A95,'Raw daily data'!$F:$F,"&gt;0"))</f>
        <v/>
      </c>
      <c r="R95" s="208" t="str">
        <f>IF($A95="","",ABS(SUMIFS('Raw daily data'!$F:$F,'Raw daily data'!$I:$I,$A95,'Raw daily data'!$F:$F,"&lt;0")))</f>
        <v/>
      </c>
      <c r="S95" s="210" t="str">
        <f t="shared" si="22"/>
        <v/>
      </c>
      <c r="T95" s="211" t="str">
        <f t="shared" si="23"/>
        <v/>
      </c>
      <c r="U95" s="212" t="str">
        <f t="shared" si="24"/>
        <v/>
      </c>
      <c r="V95" s="210" t="str">
        <f t="shared" si="25"/>
        <v/>
      </c>
      <c r="W95" s="208" t="str">
        <f>IF($A95="","",_xlfn.MAXIFS('Raw daily data'!$J:$J,'Raw daily data'!$I:$I,$A95))</f>
        <v/>
      </c>
      <c r="X95" s="204" t="str">
        <f t="shared" si="26"/>
        <v/>
      </c>
      <c r="Y95" s="204" t="str">
        <f>IFERROR(IF($A95="","",ABS(MIN(0,_xlfn.MINIFS('Raw daily data'!$J:$J,'Raw daily data'!$I:$I,$A95)))/G95),"")</f>
        <v/>
      </c>
    </row>
    <row r="96" spans="1:25">
      <c r="A96" s="214"/>
      <c r="B96" s="205"/>
      <c r="C96" s="206" t="str">
        <f t="shared" si="17"/>
        <v/>
      </c>
      <c r="D96" s="205"/>
      <c r="E96" s="207" t="str">
        <f t="shared" si="18"/>
        <v/>
      </c>
      <c r="F96" s="208" t="str">
        <f>IF($A96="","",$E96*Summary!$B$8)</f>
        <v/>
      </c>
      <c r="G96" s="208" t="str">
        <f>IF($A96="","",F96*Summary!$B$9)</f>
        <v/>
      </c>
      <c r="H96" s="207" t="str">
        <f>IF($A96="","",SUMIFS('Raw daily data'!$F:$F,'Raw daily data'!$I:$I,$A96))</f>
        <v/>
      </c>
      <c r="I96" s="207" t="str">
        <f t="shared" si="19"/>
        <v/>
      </c>
      <c r="J96" s="213" t="str">
        <f t="shared" si="20"/>
        <v/>
      </c>
      <c r="K96" s="207" t="str">
        <f>IF($A96="","",Summary!$B$6)</f>
        <v/>
      </c>
      <c r="L96" s="207" t="str">
        <f t="shared" si="21"/>
        <v/>
      </c>
      <c r="M96" s="205"/>
      <c r="N96" s="206" t="str">
        <f>IF($A96="","",COUNTIFS('Raw daily data'!$I:$I,$A96))</f>
        <v/>
      </c>
      <c r="O96" s="206" t="str">
        <f>IF($A96="","",COUNTIFS('Raw daily data'!$I:$I,$A96,'Raw daily data'!$F:$F,"&gt;0"))</f>
        <v/>
      </c>
      <c r="P96" s="206" t="str">
        <f>IF($A96="","",COUNTIFS('Raw daily data'!$I:$I,$A96,'Raw daily data'!$F:$F,"&lt;0"))</f>
        <v/>
      </c>
      <c r="Q96" s="208" t="str">
        <f>IF($A96="","",SUMIFS('Raw daily data'!$F:$F,'Raw daily data'!$I:$I,$A96,'Raw daily data'!$F:$F,"&gt;0"))</f>
        <v/>
      </c>
      <c r="R96" s="208" t="str">
        <f>IF($A96="","",ABS(SUMIFS('Raw daily data'!$F:$F,'Raw daily data'!$I:$I,$A96,'Raw daily data'!$F:$F,"&lt;0")))</f>
        <v/>
      </c>
      <c r="S96" s="210" t="str">
        <f t="shared" si="22"/>
        <v/>
      </c>
      <c r="T96" s="211" t="str">
        <f t="shared" si="23"/>
        <v/>
      </c>
      <c r="U96" s="212" t="str">
        <f t="shared" si="24"/>
        <v/>
      </c>
      <c r="V96" s="210" t="str">
        <f t="shared" si="25"/>
        <v/>
      </c>
      <c r="W96" s="208" t="str">
        <f>IF($A96="","",_xlfn.MAXIFS('Raw daily data'!$J:$J,'Raw daily data'!$I:$I,$A96))</f>
        <v/>
      </c>
      <c r="X96" s="204" t="str">
        <f t="shared" si="26"/>
        <v/>
      </c>
      <c r="Y96" s="204" t="str">
        <f>IFERROR(IF($A96="","",ABS(MIN(0,_xlfn.MINIFS('Raw daily data'!$J:$J,'Raw daily data'!$I:$I,$A96)))/G96),"")</f>
        <v/>
      </c>
    </row>
    <row r="97" spans="1:25">
      <c r="A97" s="214"/>
      <c r="B97" s="205"/>
      <c r="C97" s="206" t="str">
        <f t="shared" si="17"/>
        <v/>
      </c>
      <c r="D97" s="205"/>
      <c r="E97" s="207" t="str">
        <f t="shared" si="18"/>
        <v/>
      </c>
      <c r="F97" s="208" t="str">
        <f>IF($A97="","",$E97*Summary!$B$8)</f>
        <v/>
      </c>
      <c r="G97" s="208" t="str">
        <f>IF($A97="","",F97*Summary!$B$9)</f>
        <v/>
      </c>
      <c r="H97" s="207" t="str">
        <f>IF($A97="","",SUMIFS('Raw daily data'!$F:$F,'Raw daily data'!$I:$I,$A97))</f>
        <v/>
      </c>
      <c r="I97" s="207" t="str">
        <f t="shared" si="19"/>
        <v/>
      </c>
      <c r="J97" s="213" t="str">
        <f t="shared" si="20"/>
        <v/>
      </c>
      <c r="K97" s="207" t="str">
        <f>IF($A97="","",Summary!$B$6)</f>
        <v/>
      </c>
      <c r="L97" s="207" t="str">
        <f t="shared" si="21"/>
        <v/>
      </c>
      <c r="M97" s="205"/>
      <c r="N97" s="206" t="str">
        <f>IF($A97="","",COUNTIFS('Raw daily data'!$I:$I,$A97))</f>
        <v/>
      </c>
      <c r="O97" s="206" t="str">
        <f>IF($A97="","",COUNTIFS('Raw daily data'!$I:$I,$A97,'Raw daily data'!$F:$F,"&gt;0"))</f>
        <v/>
      </c>
      <c r="P97" s="206" t="str">
        <f>IF($A97="","",COUNTIFS('Raw daily data'!$I:$I,$A97,'Raw daily data'!$F:$F,"&lt;0"))</f>
        <v/>
      </c>
      <c r="Q97" s="208" t="str">
        <f>IF($A97="","",SUMIFS('Raw daily data'!$F:$F,'Raw daily data'!$I:$I,$A97,'Raw daily data'!$F:$F,"&gt;0"))</f>
        <v/>
      </c>
      <c r="R97" s="208" t="str">
        <f>IF($A97="","",ABS(SUMIFS('Raw daily data'!$F:$F,'Raw daily data'!$I:$I,$A97,'Raw daily data'!$F:$F,"&lt;0")))</f>
        <v/>
      </c>
      <c r="S97" s="210" t="str">
        <f t="shared" si="22"/>
        <v/>
      </c>
      <c r="T97" s="211" t="str">
        <f t="shared" si="23"/>
        <v/>
      </c>
      <c r="U97" s="212" t="str">
        <f t="shared" si="24"/>
        <v/>
      </c>
      <c r="V97" s="210" t="str">
        <f t="shared" si="25"/>
        <v/>
      </c>
      <c r="W97" s="208" t="str">
        <f>IF($A97="","",_xlfn.MAXIFS('Raw daily data'!$J:$J,'Raw daily data'!$I:$I,$A97))</f>
        <v/>
      </c>
      <c r="X97" s="204" t="str">
        <f t="shared" si="26"/>
        <v/>
      </c>
      <c r="Y97" s="204" t="str">
        <f>IFERROR(IF($A97="","",ABS(MIN(0,_xlfn.MINIFS('Raw daily data'!$J:$J,'Raw daily data'!$I:$I,$A97)))/G97),"")</f>
        <v/>
      </c>
    </row>
    <row r="98" spans="1:25">
      <c r="A98" s="214"/>
      <c r="B98" s="205"/>
      <c r="C98" s="206" t="str">
        <f t="shared" si="17"/>
        <v/>
      </c>
      <c r="D98" s="205"/>
      <c r="E98" s="207" t="str">
        <f t="shared" si="18"/>
        <v/>
      </c>
      <c r="F98" s="208" t="str">
        <f>IF($A98="","",$E98*Summary!$B$8)</f>
        <v/>
      </c>
      <c r="G98" s="208" t="str">
        <f>IF($A98="","",F98*Summary!$B$9)</f>
        <v/>
      </c>
      <c r="H98" s="207" t="str">
        <f>IF($A98="","",SUMIFS('Raw daily data'!$F:$F,'Raw daily data'!$I:$I,$A98))</f>
        <v/>
      </c>
      <c r="I98" s="207" t="str">
        <f t="shared" si="19"/>
        <v/>
      </c>
      <c r="J98" s="213" t="str">
        <f t="shared" si="20"/>
        <v/>
      </c>
      <c r="K98" s="207" t="str">
        <f>IF($A98="","",Summary!$B$6)</f>
        <v/>
      </c>
      <c r="L98" s="207" t="str">
        <f t="shared" si="21"/>
        <v/>
      </c>
      <c r="M98" s="205"/>
      <c r="N98" s="206" t="str">
        <f>IF($A98="","",COUNTIFS('Raw daily data'!$I:$I,$A98))</f>
        <v/>
      </c>
      <c r="O98" s="206" t="str">
        <f>IF($A98="","",COUNTIFS('Raw daily data'!$I:$I,$A98,'Raw daily data'!$F:$F,"&gt;0"))</f>
        <v/>
      </c>
      <c r="P98" s="206" t="str">
        <f>IF($A98="","",COUNTIFS('Raw daily data'!$I:$I,$A98,'Raw daily data'!$F:$F,"&lt;0"))</f>
        <v/>
      </c>
      <c r="Q98" s="208" t="str">
        <f>IF($A98="","",SUMIFS('Raw daily data'!$F:$F,'Raw daily data'!$I:$I,$A98,'Raw daily data'!$F:$F,"&gt;0"))</f>
        <v/>
      </c>
      <c r="R98" s="208" t="str">
        <f>IF($A98="","",ABS(SUMIFS('Raw daily data'!$F:$F,'Raw daily data'!$I:$I,$A98,'Raw daily data'!$F:$F,"&lt;0")))</f>
        <v/>
      </c>
      <c r="S98" s="210" t="str">
        <f t="shared" si="22"/>
        <v/>
      </c>
      <c r="T98" s="211" t="str">
        <f t="shared" si="23"/>
        <v/>
      </c>
      <c r="U98" s="212" t="str">
        <f t="shared" si="24"/>
        <v/>
      </c>
      <c r="V98" s="210" t="str">
        <f t="shared" si="25"/>
        <v/>
      </c>
      <c r="W98" s="208" t="str">
        <f>IF($A98="","",_xlfn.MAXIFS('Raw daily data'!$J:$J,'Raw daily data'!$I:$I,$A98))</f>
        <v/>
      </c>
      <c r="X98" s="204" t="str">
        <f t="shared" si="26"/>
        <v/>
      </c>
      <c r="Y98" s="204" t="str">
        <f>IFERROR(IF($A98="","",ABS(MIN(0,_xlfn.MINIFS('Raw daily data'!$J:$J,'Raw daily data'!$I:$I,$A98)))/G98),"")</f>
        <v/>
      </c>
    </row>
    <row r="99" spans="1:25">
      <c r="A99" s="214"/>
      <c r="B99" s="205"/>
      <c r="C99" s="206" t="str">
        <f t="shared" si="17"/>
        <v/>
      </c>
      <c r="D99" s="205"/>
      <c r="E99" s="207" t="str">
        <f t="shared" si="18"/>
        <v/>
      </c>
      <c r="F99" s="208" t="str">
        <f>IF($A99="","",$E99*Summary!$B$8)</f>
        <v/>
      </c>
      <c r="G99" s="208" t="str">
        <f>IF($A99="","",F99*Summary!$B$9)</f>
        <v/>
      </c>
      <c r="H99" s="207" t="str">
        <f>IF($A99="","",SUMIFS('Raw daily data'!$F:$F,'Raw daily data'!$I:$I,$A99))</f>
        <v/>
      </c>
      <c r="I99" s="207" t="str">
        <f t="shared" si="19"/>
        <v/>
      </c>
      <c r="J99" s="213" t="str">
        <f t="shared" si="20"/>
        <v/>
      </c>
      <c r="K99" s="207" t="str">
        <f>IF($A99="","",Summary!$B$6)</f>
        <v/>
      </c>
      <c r="L99" s="207" t="str">
        <f t="shared" si="21"/>
        <v/>
      </c>
      <c r="M99" s="205"/>
      <c r="N99" s="206" t="str">
        <f>IF($A99="","",COUNTIFS('Raw daily data'!$I:$I,$A99))</f>
        <v/>
      </c>
      <c r="O99" s="206" t="str">
        <f>IF($A99="","",COUNTIFS('Raw daily data'!$I:$I,$A99,'Raw daily data'!$F:$F,"&gt;0"))</f>
        <v/>
      </c>
      <c r="P99" s="206" t="str">
        <f>IF($A99="","",COUNTIFS('Raw daily data'!$I:$I,$A99,'Raw daily data'!$F:$F,"&lt;0"))</f>
        <v/>
      </c>
      <c r="Q99" s="208" t="str">
        <f>IF($A99="","",SUMIFS('Raw daily data'!$F:$F,'Raw daily data'!$I:$I,$A99,'Raw daily data'!$F:$F,"&gt;0"))</f>
        <v/>
      </c>
      <c r="R99" s="208" t="str">
        <f>IF($A99="","",ABS(SUMIFS('Raw daily data'!$F:$F,'Raw daily data'!$I:$I,$A99,'Raw daily data'!$F:$F,"&lt;0")))</f>
        <v/>
      </c>
      <c r="S99" s="210" t="str">
        <f t="shared" si="22"/>
        <v/>
      </c>
      <c r="T99" s="211" t="str">
        <f t="shared" si="23"/>
        <v/>
      </c>
      <c r="U99" s="212" t="str">
        <f t="shared" si="24"/>
        <v/>
      </c>
      <c r="V99" s="210" t="str">
        <f t="shared" si="25"/>
        <v/>
      </c>
      <c r="W99" s="208" t="str">
        <f>IF($A99="","",_xlfn.MAXIFS('Raw daily data'!$J:$J,'Raw daily data'!$I:$I,$A99))</f>
        <v/>
      </c>
      <c r="X99" s="204" t="str">
        <f t="shared" si="26"/>
        <v/>
      </c>
      <c r="Y99" s="204" t="str">
        <f>IFERROR(IF($A99="","",ABS(MIN(0,_xlfn.MINIFS('Raw daily data'!$J:$J,'Raw daily data'!$I:$I,$A99)))/G99),"")</f>
        <v/>
      </c>
    </row>
    <row r="100" spans="1:25">
      <c r="A100" s="214"/>
      <c r="B100" s="205"/>
      <c r="C100" s="206" t="str">
        <f t="shared" si="17"/>
        <v/>
      </c>
      <c r="D100" s="205"/>
      <c r="E100" s="207" t="str">
        <f t="shared" si="18"/>
        <v/>
      </c>
      <c r="F100" s="208" t="str">
        <f>IF($A100="","",$E100*Summary!$B$8)</f>
        <v/>
      </c>
      <c r="G100" s="208" t="str">
        <f>IF($A100="","",F100*Summary!$B$9)</f>
        <v/>
      </c>
      <c r="H100" s="207" t="str">
        <f>IF($A100="","",SUMIFS('Raw daily data'!$F:$F,'Raw daily data'!$I:$I,$A100))</f>
        <v/>
      </c>
      <c r="I100" s="207" t="str">
        <f t="shared" si="19"/>
        <v/>
      </c>
      <c r="J100" s="213" t="str">
        <f t="shared" si="20"/>
        <v/>
      </c>
      <c r="K100" s="207" t="str">
        <f>IF($A100="","",Summary!$B$6)</f>
        <v/>
      </c>
      <c r="L100" s="207" t="str">
        <f t="shared" si="21"/>
        <v/>
      </c>
      <c r="M100" s="205"/>
      <c r="N100" s="206" t="str">
        <f>IF($A100="","",COUNTIFS('Raw daily data'!$I:$I,$A100))</f>
        <v/>
      </c>
      <c r="O100" s="206" t="str">
        <f>IF($A100="","",COUNTIFS('Raw daily data'!$I:$I,$A100,'Raw daily data'!$F:$F,"&gt;0"))</f>
        <v/>
      </c>
      <c r="P100" s="206" t="str">
        <f>IF($A100="","",COUNTIFS('Raw daily data'!$I:$I,$A100,'Raw daily data'!$F:$F,"&lt;0"))</f>
        <v/>
      </c>
      <c r="Q100" s="208" t="str">
        <f>IF($A100="","",SUMIFS('Raw daily data'!$F:$F,'Raw daily data'!$I:$I,$A100,'Raw daily data'!$F:$F,"&gt;0"))</f>
        <v/>
      </c>
      <c r="R100" s="208" t="str">
        <f>IF($A100="","",ABS(SUMIFS('Raw daily data'!$F:$F,'Raw daily data'!$I:$I,$A100,'Raw daily data'!$F:$F,"&lt;0")))</f>
        <v/>
      </c>
      <c r="S100" s="210" t="str">
        <f t="shared" si="22"/>
        <v/>
      </c>
      <c r="T100" s="211" t="str">
        <f t="shared" si="23"/>
        <v/>
      </c>
      <c r="U100" s="212" t="str">
        <f t="shared" si="24"/>
        <v/>
      </c>
      <c r="V100" s="210" t="str">
        <f t="shared" si="25"/>
        <v/>
      </c>
      <c r="W100" s="208" t="str">
        <f>IF($A100="","",_xlfn.MAXIFS('Raw daily data'!$J:$J,'Raw daily data'!$I:$I,$A100))</f>
        <v/>
      </c>
      <c r="X100" s="204" t="str">
        <f t="shared" si="26"/>
        <v/>
      </c>
      <c r="Y100" s="204" t="str">
        <f>IFERROR(IF($A100="","",ABS(MIN(0,_xlfn.MINIFS('Raw daily data'!$J:$J,'Raw daily data'!$I:$I,$A100)))/G100),"")</f>
        <v/>
      </c>
    </row>
    <row r="101" spans="1:25">
      <c r="A101" s="175"/>
      <c r="B101" s="175"/>
      <c r="C101" s="176" t="str">
        <f t="shared" ref="C101:C124" si="27">IF($A101="","",TEXT($A101,"dddd"))</f>
        <v/>
      </c>
      <c r="D101" s="175"/>
      <c r="E101" s="176" t="str">
        <f>IF($A101="","",E41+H41)</f>
        <v/>
      </c>
      <c r="F101" s="176"/>
      <c r="G101" s="176"/>
      <c r="H101" s="176"/>
      <c r="I101" s="176"/>
      <c r="J101" s="176"/>
      <c r="K101" s="176"/>
      <c r="L101" s="176"/>
      <c r="M101" s="175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175"/>
      <c r="B102" s="175"/>
      <c r="C102" s="176" t="str">
        <f t="shared" si="27"/>
        <v/>
      </c>
      <c r="D102" s="175"/>
      <c r="E102" s="176" t="str">
        <f t="shared" ref="E102:E125" si="28">IF($A102="","",E101+H101)</f>
        <v/>
      </c>
      <c r="F102" s="176"/>
      <c r="G102" s="176"/>
      <c r="H102" s="176"/>
      <c r="I102" s="176"/>
      <c r="J102" s="176"/>
      <c r="K102" s="176"/>
      <c r="L102" s="176"/>
      <c r="M102" s="175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175"/>
      <c r="B103" s="175"/>
      <c r="C103" s="176" t="str">
        <f t="shared" si="27"/>
        <v/>
      </c>
      <c r="D103" s="175"/>
      <c r="E103" s="176" t="str">
        <f t="shared" si="28"/>
        <v/>
      </c>
      <c r="F103" s="176"/>
      <c r="G103" s="176"/>
      <c r="H103" s="176"/>
      <c r="I103" s="176"/>
      <c r="J103" s="176"/>
      <c r="K103" s="176"/>
      <c r="L103" s="176"/>
      <c r="M103" s="175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175"/>
      <c r="B104" s="175"/>
      <c r="C104" s="176" t="str">
        <f t="shared" si="27"/>
        <v/>
      </c>
      <c r="D104" s="175"/>
      <c r="E104" s="176" t="str">
        <f t="shared" si="28"/>
        <v/>
      </c>
      <c r="F104" s="176"/>
      <c r="G104" s="176"/>
      <c r="H104" s="176"/>
      <c r="I104" s="176"/>
      <c r="J104" s="176"/>
      <c r="K104" s="176"/>
      <c r="L104" s="176"/>
      <c r="M104" s="175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175"/>
      <c r="B105" s="175"/>
      <c r="C105" s="176" t="str">
        <f t="shared" si="27"/>
        <v/>
      </c>
      <c r="D105" s="175"/>
      <c r="E105" s="176" t="str">
        <f t="shared" si="28"/>
        <v/>
      </c>
      <c r="F105" s="176"/>
      <c r="G105" s="176"/>
      <c r="H105" s="176"/>
      <c r="I105" s="176"/>
      <c r="J105" s="176"/>
      <c r="K105" s="176"/>
      <c r="L105" s="176"/>
      <c r="M105" s="175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175"/>
      <c r="B106" s="175"/>
      <c r="C106" s="176" t="str">
        <f t="shared" si="27"/>
        <v/>
      </c>
      <c r="D106" s="175"/>
      <c r="E106" s="176" t="str">
        <f t="shared" si="28"/>
        <v/>
      </c>
      <c r="F106" s="176"/>
      <c r="G106" s="176"/>
      <c r="H106" s="176"/>
      <c r="I106" s="176"/>
      <c r="J106" s="176"/>
      <c r="K106" s="176"/>
      <c r="L106" s="176"/>
      <c r="M106" s="175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175"/>
      <c r="B107" s="175"/>
      <c r="C107" s="176" t="str">
        <f t="shared" si="27"/>
        <v/>
      </c>
      <c r="D107" s="175"/>
      <c r="E107" s="176" t="str">
        <f t="shared" si="28"/>
        <v/>
      </c>
      <c r="F107" s="176"/>
      <c r="G107" s="176"/>
      <c r="H107" s="176"/>
      <c r="I107" s="176"/>
      <c r="J107" s="176"/>
      <c r="K107" s="176"/>
      <c r="L107" s="176"/>
      <c r="M107" s="175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175"/>
      <c r="B108" s="175"/>
      <c r="C108" s="176" t="str">
        <f t="shared" si="27"/>
        <v/>
      </c>
      <c r="D108" s="175"/>
      <c r="E108" s="176" t="str">
        <f t="shared" si="28"/>
        <v/>
      </c>
      <c r="F108" s="176"/>
      <c r="G108" s="176"/>
      <c r="H108" s="176"/>
      <c r="I108" s="176"/>
      <c r="J108" s="176"/>
      <c r="K108" s="176"/>
      <c r="L108" s="176"/>
      <c r="M108" s="175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175"/>
      <c r="B109" s="175"/>
      <c r="C109" s="176" t="str">
        <f t="shared" si="27"/>
        <v/>
      </c>
      <c r="D109" s="175"/>
      <c r="E109" s="176" t="str">
        <f t="shared" si="28"/>
        <v/>
      </c>
      <c r="F109" s="176"/>
      <c r="G109" s="176"/>
      <c r="H109" s="176"/>
      <c r="I109" s="176"/>
      <c r="J109" s="176"/>
      <c r="K109" s="176"/>
      <c r="L109" s="176"/>
      <c r="M109" s="175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175"/>
      <c r="B110" s="175"/>
      <c r="C110" s="176" t="str">
        <f t="shared" si="27"/>
        <v/>
      </c>
      <c r="D110" s="175"/>
      <c r="E110" s="176" t="str">
        <f t="shared" si="28"/>
        <v/>
      </c>
      <c r="F110" s="176"/>
      <c r="G110" s="176"/>
      <c r="H110" s="176"/>
      <c r="I110" s="176"/>
      <c r="J110" s="176"/>
      <c r="K110" s="176"/>
      <c r="L110" s="176"/>
      <c r="M110" s="175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175"/>
      <c r="B111" s="175"/>
      <c r="C111" s="176" t="str">
        <f t="shared" si="27"/>
        <v/>
      </c>
      <c r="D111" s="175"/>
      <c r="E111" s="176" t="str">
        <f t="shared" si="28"/>
        <v/>
      </c>
      <c r="F111" s="176"/>
      <c r="G111" s="176"/>
      <c r="H111" s="176"/>
      <c r="I111" s="176"/>
      <c r="J111" s="176"/>
      <c r="K111" s="176"/>
      <c r="L111" s="176"/>
      <c r="M111" s="175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175"/>
      <c r="B112" s="175"/>
      <c r="C112" s="176" t="str">
        <f t="shared" si="27"/>
        <v/>
      </c>
      <c r="D112" s="175"/>
      <c r="E112" s="176" t="str">
        <f t="shared" si="28"/>
        <v/>
      </c>
      <c r="F112" s="176"/>
      <c r="G112" s="176"/>
      <c r="H112" s="176"/>
      <c r="I112" s="176"/>
      <c r="J112" s="176"/>
      <c r="K112" s="176"/>
      <c r="L112" s="176"/>
      <c r="M112" s="175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175"/>
      <c r="B113" s="175"/>
      <c r="C113" s="176" t="str">
        <f t="shared" si="27"/>
        <v/>
      </c>
      <c r="D113" s="175"/>
      <c r="E113" s="176" t="str">
        <f t="shared" si="28"/>
        <v/>
      </c>
      <c r="F113" s="176"/>
      <c r="G113" s="176"/>
      <c r="H113" s="176"/>
      <c r="I113" s="176"/>
      <c r="J113" s="176"/>
      <c r="K113" s="176"/>
      <c r="L113" s="176"/>
      <c r="M113" s="175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175"/>
      <c r="B114" s="175"/>
      <c r="C114" s="176" t="str">
        <f t="shared" si="27"/>
        <v/>
      </c>
      <c r="D114" s="175"/>
      <c r="E114" s="176" t="str">
        <f t="shared" si="28"/>
        <v/>
      </c>
      <c r="F114" s="176"/>
      <c r="G114" s="176"/>
      <c r="H114" s="176"/>
      <c r="I114" s="176"/>
      <c r="J114" s="176"/>
      <c r="K114" s="176"/>
      <c r="L114" s="176"/>
      <c r="M114" s="175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175"/>
      <c r="B115" s="175"/>
      <c r="C115" s="176" t="str">
        <f t="shared" si="27"/>
        <v/>
      </c>
      <c r="D115" s="175"/>
      <c r="E115" s="176" t="str">
        <f t="shared" si="28"/>
        <v/>
      </c>
      <c r="F115" s="176"/>
      <c r="G115" s="176"/>
      <c r="H115" s="176"/>
      <c r="I115" s="176"/>
      <c r="J115" s="176"/>
      <c r="K115" s="176"/>
      <c r="L115" s="176"/>
      <c r="M115" s="175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175"/>
      <c r="B116" s="175"/>
      <c r="C116" s="176" t="str">
        <f t="shared" si="27"/>
        <v/>
      </c>
      <c r="D116" s="175"/>
      <c r="E116" s="176" t="str">
        <f t="shared" si="28"/>
        <v/>
      </c>
      <c r="F116" s="176"/>
      <c r="G116" s="176"/>
      <c r="H116" s="176"/>
      <c r="I116" s="176"/>
      <c r="J116" s="176"/>
      <c r="K116" s="176"/>
      <c r="L116" s="176"/>
      <c r="M116" s="175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175"/>
      <c r="B117" s="175"/>
      <c r="C117" s="176" t="str">
        <f t="shared" si="27"/>
        <v/>
      </c>
      <c r="D117" s="175"/>
      <c r="E117" s="176" t="str">
        <f t="shared" si="28"/>
        <v/>
      </c>
      <c r="F117" s="176"/>
      <c r="G117" s="176"/>
      <c r="H117" s="176"/>
      <c r="I117" s="176"/>
      <c r="J117" s="176"/>
      <c r="K117" s="176"/>
      <c r="L117" s="176"/>
      <c r="M117" s="175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175"/>
      <c r="B118" s="175"/>
      <c r="C118" s="176" t="str">
        <f t="shared" si="27"/>
        <v/>
      </c>
      <c r="D118" s="175"/>
      <c r="E118" s="176" t="str">
        <f t="shared" si="28"/>
        <v/>
      </c>
      <c r="F118" s="176"/>
      <c r="G118" s="176"/>
      <c r="H118" s="176"/>
      <c r="I118" s="176"/>
      <c r="J118" s="176"/>
      <c r="K118" s="176"/>
      <c r="L118" s="176"/>
      <c r="M118" s="175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175"/>
      <c r="B119" s="175"/>
      <c r="C119" s="176" t="str">
        <f t="shared" si="27"/>
        <v/>
      </c>
      <c r="D119" s="175"/>
      <c r="E119" s="176" t="str">
        <f t="shared" si="28"/>
        <v/>
      </c>
      <c r="F119" s="176"/>
      <c r="G119" s="176"/>
      <c r="H119" s="176"/>
      <c r="I119" s="176"/>
      <c r="J119" s="176"/>
      <c r="K119" s="176"/>
      <c r="L119" s="176"/>
      <c r="M119" s="175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175"/>
      <c r="B120" s="175"/>
      <c r="C120" s="176" t="str">
        <f t="shared" si="27"/>
        <v/>
      </c>
      <c r="D120" s="175"/>
      <c r="E120" s="176" t="str">
        <f t="shared" si="28"/>
        <v/>
      </c>
      <c r="F120" s="176"/>
      <c r="G120" s="176"/>
      <c r="H120" s="176"/>
      <c r="I120" s="176"/>
      <c r="J120" s="176"/>
      <c r="K120" s="176"/>
      <c r="L120" s="176"/>
      <c r="M120" s="175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175"/>
      <c r="B121" s="175"/>
      <c r="C121" s="176" t="str">
        <f t="shared" si="27"/>
        <v/>
      </c>
      <c r="D121" s="175"/>
      <c r="E121" s="176" t="str">
        <f t="shared" si="28"/>
        <v/>
      </c>
      <c r="F121" s="176"/>
      <c r="G121" s="176"/>
      <c r="H121" s="176"/>
      <c r="I121" s="176"/>
      <c r="J121" s="176"/>
      <c r="K121" s="176"/>
      <c r="L121" s="176"/>
      <c r="M121" s="175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175"/>
      <c r="B122" s="175"/>
      <c r="C122" s="176" t="str">
        <f t="shared" si="27"/>
        <v/>
      </c>
      <c r="D122" s="175"/>
      <c r="E122" s="176" t="str">
        <f t="shared" si="28"/>
        <v/>
      </c>
      <c r="F122" s="176"/>
      <c r="G122" s="176"/>
      <c r="H122" s="176"/>
      <c r="I122" s="176"/>
      <c r="J122" s="176"/>
      <c r="K122" s="176"/>
      <c r="L122" s="176"/>
      <c r="M122" s="175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175"/>
      <c r="B123" s="175"/>
      <c r="C123" s="176" t="str">
        <f t="shared" si="27"/>
        <v/>
      </c>
      <c r="D123" s="175"/>
      <c r="E123" s="176" t="str">
        <f t="shared" si="28"/>
        <v/>
      </c>
      <c r="F123" s="176"/>
      <c r="G123" s="176"/>
      <c r="H123" s="176"/>
      <c r="I123" s="176"/>
      <c r="J123" s="176"/>
      <c r="K123" s="176"/>
      <c r="L123" s="176"/>
      <c r="M123" s="175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175"/>
      <c r="B124" s="175"/>
      <c r="C124" s="176" t="str">
        <f t="shared" si="27"/>
        <v/>
      </c>
      <c r="D124" s="175"/>
      <c r="E124" s="176" t="str">
        <f t="shared" si="28"/>
        <v/>
      </c>
      <c r="F124" s="176"/>
      <c r="G124" s="176"/>
      <c r="H124" s="176"/>
      <c r="I124" s="176"/>
      <c r="J124" s="176"/>
      <c r="K124" s="176"/>
      <c r="L124" s="176"/>
      <c r="M124" s="175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175"/>
      <c r="B125" s="175"/>
      <c r="C125" s="176" t="str">
        <f t="shared" ref="C125:C159" si="29">IF($A125="","",TEXT($A125,"dddd"))</f>
        <v/>
      </c>
      <c r="D125" s="175"/>
      <c r="E125" s="176" t="str">
        <f t="shared" si="28"/>
        <v/>
      </c>
      <c r="F125" s="176"/>
      <c r="G125" s="176"/>
      <c r="H125" s="176"/>
      <c r="I125" s="176"/>
      <c r="J125" s="176"/>
      <c r="K125" s="176"/>
      <c r="L125" s="176"/>
      <c r="M125" s="175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175"/>
      <c r="B126" s="175"/>
      <c r="C126" s="176" t="str">
        <f t="shared" si="29"/>
        <v/>
      </c>
      <c r="D126" s="175"/>
      <c r="E126" s="176" t="str">
        <f t="shared" ref="E126:E159" si="30">IF($A126="","",E125+H125)</f>
        <v/>
      </c>
      <c r="F126" s="176"/>
      <c r="G126" s="176"/>
      <c r="H126" s="176"/>
      <c r="I126" s="176"/>
      <c r="J126" s="176"/>
      <c r="K126" s="176"/>
      <c r="L126" s="176"/>
      <c r="M126" s="175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175"/>
      <c r="B127" s="175"/>
      <c r="C127" s="176" t="str">
        <f t="shared" si="29"/>
        <v/>
      </c>
      <c r="D127" s="175"/>
      <c r="E127" s="176" t="str">
        <f t="shared" si="30"/>
        <v/>
      </c>
      <c r="F127" s="176"/>
      <c r="G127" s="176"/>
      <c r="H127" s="176"/>
      <c r="I127" s="176"/>
      <c r="J127" s="176"/>
      <c r="K127" s="176"/>
      <c r="L127" s="176"/>
      <c r="M127" s="175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175"/>
      <c r="B128" s="175"/>
      <c r="C128" s="176" t="str">
        <f t="shared" si="29"/>
        <v/>
      </c>
      <c r="D128" s="175"/>
      <c r="E128" s="176" t="str">
        <f t="shared" si="30"/>
        <v/>
      </c>
      <c r="F128" s="176"/>
      <c r="G128" s="176"/>
      <c r="H128" s="176"/>
      <c r="I128" s="176"/>
      <c r="J128" s="176"/>
      <c r="K128" s="176"/>
      <c r="L128" s="176"/>
      <c r="M128" s="175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175"/>
      <c r="B129" s="175"/>
      <c r="C129" s="176" t="str">
        <f t="shared" si="29"/>
        <v/>
      </c>
      <c r="D129" s="175"/>
      <c r="E129" s="176" t="str">
        <f t="shared" si="30"/>
        <v/>
      </c>
      <c r="F129" s="176"/>
      <c r="G129" s="176"/>
      <c r="H129" s="176"/>
      <c r="I129" s="176"/>
      <c r="J129" s="176"/>
      <c r="K129" s="176"/>
      <c r="L129" s="176"/>
      <c r="M129" s="175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175"/>
      <c r="B130" s="175"/>
      <c r="C130" s="176" t="str">
        <f t="shared" si="29"/>
        <v/>
      </c>
      <c r="D130" s="175"/>
      <c r="E130" s="176" t="str">
        <f t="shared" si="30"/>
        <v/>
      </c>
      <c r="F130" s="176"/>
      <c r="G130" s="176"/>
      <c r="H130" s="176"/>
      <c r="I130" s="176"/>
      <c r="J130" s="176"/>
      <c r="K130" s="176"/>
      <c r="L130" s="176"/>
      <c r="M130" s="175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175"/>
      <c r="B131" s="175"/>
      <c r="C131" s="176" t="str">
        <f t="shared" si="29"/>
        <v/>
      </c>
      <c r="D131" s="175"/>
      <c r="E131" s="176" t="str">
        <f t="shared" si="30"/>
        <v/>
      </c>
      <c r="F131" s="176"/>
      <c r="G131" s="176"/>
      <c r="H131" s="176"/>
      <c r="I131" s="176"/>
      <c r="J131" s="176"/>
      <c r="K131" s="176"/>
      <c r="L131" s="176"/>
      <c r="M131" s="175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175"/>
      <c r="B132" s="175"/>
      <c r="C132" s="176" t="str">
        <f t="shared" si="29"/>
        <v/>
      </c>
      <c r="D132" s="175"/>
      <c r="E132" s="176" t="str">
        <f t="shared" si="30"/>
        <v/>
      </c>
      <c r="F132" s="176"/>
      <c r="G132" s="176"/>
      <c r="H132" s="176"/>
      <c r="I132" s="176"/>
      <c r="J132" s="176"/>
      <c r="K132" s="176"/>
      <c r="L132" s="176"/>
      <c r="M132" s="175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175"/>
      <c r="B133" s="175"/>
      <c r="C133" s="176" t="str">
        <f t="shared" si="29"/>
        <v/>
      </c>
      <c r="D133" s="175"/>
      <c r="E133" s="176" t="str">
        <f t="shared" si="30"/>
        <v/>
      </c>
      <c r="F133" s="176"/>
      <c r="G133" s="176"/>
      <c r="H133" s="176"/>
      <c r="I133" s="176"/>
      <c r="J133" s="176"/>
      <c r="K133" s="176"/>
      <c r="L133" s="176"/>
      <c r="M133" s="175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175"/>
      <c r="B134" s="175"/>
      <c r="C134" s="176" t="str">
        <f t="shared" si="29"/>
        <v/>
      </c>
      <c r="D134" s="175"/>
      <c r="E134" s="176" t="str">
        <f t="shared" si="30"/>
        <v/>
      </c>
      <c r="F134" s="176"/>
      <c r="G134" s="176"/>
      <c r="H134" s="176"/>
      <c r="I134" s="176"/>
      <c r="J134" s="176"/>
      <c r="K134" s="176"/>
      <c r="L134" s="176"/>
      <c r="M134" s="175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175"/>
      <c r="B135" s="175"/>
      <c r="C135" s="176" t="str">
        <f t="shared" si="29"/>
        <v/>
      </c>
      <c r="D135" s="175"/>
      <c r="E135" s="176" t="str">
        <f t="shared" si="30"/>
        <v/>
      </c>
      <c r="F135" s="176"/>
      <c r="G135" s="176"/>
      <c r="H135" s="176"/>
      <c r="I135" s="176"/>
      <c r="J135" s="176"/>
      <c r="K135" s="176"/>
      <c r="L135" s="176"/>
      <c r="M135" s="175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175"/>
      <c r="B136" s="175"/>
      <c r="C136" s="176" t="str">
        <f t="shared" si="29"/>
        <v/>
      </c>
      <c r="D136" s="175"/>
      <c r="E136" s="176" t="str">
        <f t="shared" si="30"/>
        <v/>
      </c>
      <c r="F136" s="176"/>
      <c r="G136" s="176"/>
      <c r="H136" s="176"/>
      <c r="I136" s="176"/>
      <c r="J136" s="176"/>
      <c r="K136" s="176"/>
      <c r="L136" s="176"/>
      <c r="M136" s="175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175"/>
      <c r="B137" s="175"/>
      <c r="C137" s="176" t="str">
        <f t="shared" si="29"/>
        <v/>
      </c>
      <c r="D137" s="175"/>
      <c r="E137" s="176" t="str">
        <f t="shared" si="30"/>
        <v/>
      </c>
      <c r="F137" s="176"/>
      <c r="G137" s="176"/>
      <c r="H137" s="176"/>
      <c r="I137" s="176"/>
      <c r="J137" s="176"/>
      <c r="K137" s="176"/>
      <c r="L137" s="176"/>
      <c r="M137" s="175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175"/>
      <c r="B138" s="175"/>
      <c r="C138" s="176" t="str">
        <f t="shared" si="29"/>
        <v/>
      </c>
      <c r="D138" s="175"/>
      <c r="E138" s="176" t="str">
        <f t="shared" si="30"/>
        <v/>
      </c>
      <c r="F138" s="176"/>
      <c r="G138" s="176"/>
      <c r="H138" s="176"/>
      <c r="I138" s="176"/>
      <c r="J138" s="176"/>
      <c r="K138" s="176"/>
      <c r="L138" s="176"/>
      <c r="M138" s="175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175"/>
      <c r="B139" s="175"/>
      <c r="C139" s="176" t="str">
        <f t="shared" si="29"/>
        <v/>
      </c>
      <c r="D139" s="175"/>
      <c r="E139" s="176" t="str">
        <f t="shared" si="30"/>
        <v/>
      </c>
      <c r="F139" s="176"/>
      <c r="G139" s="176"/>
      <c r="H139" s="176"/>
      <c r="I139" s="176"/>
      <c r="J139" s="176"/>
      <c r="K139" s="176"/>
      <c r="L139" s="176"/>
      <c r="M139" s="175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175"/>
      <c r="B140" s="175"/>
      <c r="C140" s="176" t="str">
        <f t="shared" si="29"/>
        <v/>
      </c>
      <c r="D140" s="175"/>
      <c r="E140" s="176" t="str">
        <f t="shared" si="30"/>
        <v/>
      </c>
      <c r="F140" s="176"/>
      <c r="G140" s="176"/>
      <c r="H140" s="176"/>
      <c r="I140" s="176"/>
      <c r="J140" s="176"/>
      <c r="K140" s="176"/>
      <c r="L140" s="176"/>
      <c r="M140" s="175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175"/>
      <c r="B141" s="175"/>
      <c r="C141" s="176" t="str">
        <f t="shared" si="29"/>
        <v/>
      </c>
      <c r="D141" s="175"/>
      <c r="E141" s="176" t="str">
        <f t="shared" si="30"/>
        <v/>
      </c>
      <c r="F141" s="176"/>
      <c r="G141" s="176"/>
      <c r="H141" s="176"/>
      <c r="I141" s="176"/>
      <c r="J141" s="176"/>
      <c r="K141" s="176"/>
      <c r="L141" s="176"/>
      <c r="M141" s="175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175"/>
      <c r="B142" s="175"/>
      <c r="C142" s="176" t="str">
        <f t="shared" si="29"/>
        <v/>
      </c>
      <c r="D142" s="175"/>
      <c r="E142" s="176" t="str">
        <f t="shared" si="30"/>
        <v/>
      </c>
      <c r="F142" s="176"/>
      <c r="G142" s="176"/>
      <c r="H142" s="176"/>
      <c r="I142" s="176"/>
      <c r="J142" s="176"/>
      <c r="K142" s="176"/>
      <c r="L142" s="176"/>
      <c r="M142" s="175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175"/>
      <c r="B143" s="175"/>
      <c r="C143" s="176" t="str">
        <f t="shared" si="29"/>
        <v/>
      </c>
      <c r="D143" s="175"/>
      <c r="E143" s="176" t="str">
        <f t="shared" si="30"/>
        <v/>
      </c>
      <c r="F143" s="176"/>
      <c r="G143" s="176"/>
      <c r="H143" s="176"/>
      <c r="I143" s="176"/>
      <c r="J143" s="176"/>
      <c r="K143" s="176"/>
      <c r="L143" s="176"/>
      <c r="M143" s="175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175"/>
      <c r="B144" s="175"/>
      <c r="C144" s="176" t="str">
        <f t="shared" si="29"/>
        <v/>
      </c>
      <c r="D144" s="175"/>
      <c r="E144" s="176" t="str">
        <f t="shared" si="30"/>
        <v/>
      </c>
      <c r="F144" s="176"/>
      <c r="G144" s="176"/>
      <c r="H144" s="176"/>
      <c r="I144" s="176"/>
      <c r="J144" s="176"/>
      <c r="K144" s="176"/>
      <c r="L144" s="176"/>
      <c r="M144" s="175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175"/>
      <c r="B145" s="175"/>
      <c r="C145" s="176" t="str">
        <f t="shared" si="29"/>
        <v/>
      </c>
      <c r="D145" s="175"/>
      <c r="E145" s="176" t="str">
        <f t="shared" si="30"/>
        <v/>
      </c>
      <c r="F145" s="176"/>
      <c r="G145" s="176"/>
      <c r="H145" s="176"/>
      <c r="I145" s="176"/>
      <c r="J145" s="176"/>
      <c r="K145" s="176"/>
      <c r="L145" s="176"/>
      <c r="M145" s="175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175"/>
      <c r="B146" s="175"/>
      <c r="C146" s="176" t="str">
        <f t="shared" si="29"/>
        <v/>
      </c>
      <c r="D146" s="175"/>
      <c r="E146" s="176" t="str">
        <f t="shared" si="30"/>
        <v/>
      </c>
      <c r="F146" s="176"/>
      <c r="G146" s="176"/>
      <c r="H146" s="176"/>
      <c r="I146" s="176"/>
      <c r="J146" s="176"/>
      <c r="K146" s="176"/>
      <c r="L146" s="176"/>
      <c r="M146" s="175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175"/>
      <c r="B147" s="175"/>
      <c r="C147" s="176" t="str">
        <f t="shared" si="29"/>
        <v/>
      </c>
      <c r="D147" s="175"/>
      <c r="E147" s="176" t="str">
        <f t="shared" si="30"/>
        <v/>
      </c>
      <c r="F147" s="176"/>
      <c r="G147" s="176"/>
      <c r="H147" s="176"/>
      <c r="I147" s="176"/>
      <c r="J147" s="176"/>
      <c r="K147" s="176"/>
      <c r="L147" s="176"/>
      <c r="M147" s="175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175"/>
      <c r="B148" s="175"/>
      <c r="C148" s="176" t="str">
        <f t="shared" si="29"/>
        <v/>
      </c>
      <c r="D148" s="175"/>
      <c r="E148" s="176" t="str">
        <f t="shared" si="30"/>
        <v/>
      </c>
      <c r="F148" s="176"/>
      <c r="G148" s="176"/>
      <c r="H148" s="176"/>
      <c r="I148" s="176"/>
      <c r="J148" s="176"/>
      <c r="K148" s="176"/>
      <c r="L148" s="176"/>
      <c r="M148" s="175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175"/>
      <c r="B149" s="175"/>
      <c r="C149" s="176" t="str">
        <f t="shared" si="29"/>
        <v/>
      </c>
      <c r="D149" s="175"/>
      <c r="E149" s="176" t="str">
        <f t="shared" si="30"/>
        <v/>
      </c>
      <c r="F149" s="176"/>
      <c r="G149" s="176"/>
      <c r="H149" s="176"/>
      <c r="I149" s="176"/>
      <c r="J149" s="176"/>
      <c r="K149" s="176"/>
      <c r="L149" s="176"/>
      <c r="M149" s="175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175"/>
      <c r="B150" s="175"/>
      <c r="C150" s="176" t="str">
        <f t="shared" si="29"/>
        <v/>
      </c>
      <c r="D150" s="175"/>
      <c r="E150" s="176" t="str">
        <f t="shared" si="30"/>
        <v/>
      </c>
      <c r="F150" s="176"/>
      <c r="G150" s="176"/>
      <c r="H150" s="176"/>
      <c r="I150" s="176"/>
      <c r="J150" s="176"/>
      <c r="K150" s="176"/>
      <c r="L150" s="176"/>
      <c r="M150" s="175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175"/>
      <c r="B151" s="175"/>
      <c r="C151" s="176" t="str">
        <f t="shared" si="29"/>
        <v/>
      </c>
      <c r="D151" s="175"/>
      <c r="E151" s="176" t="str">
        <f t="shared" si="30"/>
        <v/>
      </c>
      <c r="F151" s="176"/>
      <c r="G151" s="176"/>
      <c r="H151" s="176"/>
      <c r="I151" s="176"/>
      <c r="J151" s="176"/>
      <c r="K151" s="176"/>
      <c r="L151" s="176"/>
      <c r="M151" s="175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175"/>
      <c r="B152" s="175"/>
      <c r="C152" s="176" t="str">
        <f t="shared" si="29"/>
        <v/>
      </c>
      <c r="D152" s="175"/>
      <c r="E152" s="176" t="str">
        <f t="shared" si="30"/>
        <v/>
      </c>
      <c r="F152" s="176"/>
      <c r="G152" s="176"/>
      <c r="H152" s="176"/>
      <c r="I152" s="176"/>
      <c r="J152" s="176"/>
      <c r="K152" s="176"/>
      <c r="L152" s="176"/>
      <c r="M152" s="175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175"/>
      <c r="B153" s="175"/>
      <c r="C153" s="176" t="str">
        <f t="shared" si="29"/>
        <v/>
      </c>
      <c r="D153" s="175"/>
      <c r="E153" s="176" t="str">
        <f t="shared" si="30"/>
        <v/>
      </c>
      <c r="F153" s="176"/>
      <c r="G153" s="176"/>
      <c r="H153" s="176"/>
      <c r="I153" s="176"/>
      <c r="J153" s="176"/>
      <c r="K153" s="176"/>
      <c r="L153" s="176"/>
      <c r="M153" s="175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175"/>
      <c r="B154" s="175"/>
      <c r="C154" s="176" t="str">
        <f t="shared" si="29"/>
        <v/>
      </c>
      <c r="D154" s="175"/>
      <c r="E154" s="176" t="str">
        <f t="shared" si="30"/>
        <v/>
      </c>
      <c r="F154" s="176"/>
      <c r="G154" s="176"/>
      <c r="H154" s="176"/>
      <c r="I154" s="176"/>
      <c r="J154" s="176"/>
      <c r="K154" s="176"/>
      <c r="L154" s="176"/>
      <c r="M154" s="175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175"/>
      <c r="B155" s="175"/>
      <c r="C155" s="176" t="str">
        <f t="shared" si="29"/>
        <v/>
      </c>
      <c r="D155" s="175"/>
      <c r="E155" s="176" t="str">
        <f t="shared" si="30"/>
        <v/>
      </c>
      <c r="F155" s="176"/>
      <c r="G155" s="176"/>
      <c r="H155" s="176"/>
      <c r="I155" s="176"/>
      <c r="J155" s="176"/>
      <c r="K155" s="176"/>
      <c r="L155" s="176"/>
      <c r="M155" s="175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175"/>
      <c r="B156" s="175"/>
      <c r="C156" s="176" t="str">
        <f t="shared" si="29"/>
        <v/>
      </c>
      <c r="D156" s="175"/>
      <c r="E156" s="176" t="str">
        <f t="shared" si="30"/>
        <v/>
      </c>
      <c r="F156" s="176"/>
      <c r="G156" s="176"/>
      <c r="H156" s="176"/>
      <c r="I156" s="176"/>
      <c r="J156" s="176"/>
      <c r="K156" s="176"/>
      <c r="L156" s="176"/>
      <c r="M156" s="175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175"/>
      <c r="B157" s="175"/>
      <c r="C157" s="176" t="str">
        <f t="shared" si="29"/>
        <v/>
      </c>
      <c r="D157" s="175"/>
      <c r="E157" s="176" t="str">
        <f t="shared" si="30"/>
        <v/>
      </c>
      <c r="F157" s="176"/>
      <c r="G157" s="176"/>
      <c r="H157" s="176"/>
      <c r="I157" s="176"/>
      <c r="J157" s="176"/>
      <c r="K157" s="176"/>
      <c r="L157" s="176"/>
      <c r="M157" s="175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175"/>
      <c r="B158" s="175"/>
      <c r="C158" s="176" t="str">
        <f t="shared" si="29"/>
        <v/>
      </c>
      <c r="D158" s="175"/>
      <c r="E158" s="176" t="str">
        <f t="shared" si="30"/>
        <v/>
      </c>
      <c r="F158" s="176"/>
      <c r="G158" s="176"/>
      <c r="H158" s="176"/>
      <c r="I158" s="176"/>
      <c r="J158" s="176"/>
      <c r="K158" s="176"/>
      <c r="L158" s="176"/>
      <c r="M158" s="175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175"/>
      <c r="B159" s="175"/>
      <c r="C159" s="176" t="str">
        <f t="shared" si="29"/>
        <v/>
      </c>
      <c r="D159" s="175"/>
      <c r="E159" s="176" t="str">
        <f t="shared" si="30"/>
        <v/>
      </c>
      <c r="F159" s="176"/>
      <c r="G159" s="176"/>
      <c r="H159" s="176"/>
      <c r="I159" s="176"/>
      <c r="J159" s="176"/>
      <c r="K159" s="176"/>
      <c r="L159" s="176"/>
      <c r="M159" s="175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</sheetData>
  <sheetProtection algorithmName="SHA-512" hashValue="ruE656DLwOktpCfBL/ishib3gkILIMXFF0M+t+EFfwrBnrtmKrc4J5Y2/JOiyxjjuTBWG56mBfs7/mM+OcfIqQ==" saltValue="ULN3NpfldXk4NML+Y1um3Q==" spinCount="100000" sheet="1" scenarios="1" formatColumns="0" formatRows="0" autoFilter="0"/>
  <conditionalFormatting sqref="H2:H159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V2:V159">
    <cfRule type="cellIs" dxfId="13" priority="3" operator="greaterThan">
      <formula>0.8</formula>
    </cfRule>
    <cfRule type="cellIs" dxfId="12" priority="4" operator="lessThan">
      <formula>1.001</formula>
    </cfRule>
  </conditionalFormatting>
  <dataValidations count="1">
    <dataValidation type="list" allowBlank="1" showInputMessage="1" showErrorMessage="1" sqref="D2:D159" xr:uid="{00000000-0002-0000-0200-000000000000}">
      <formula1>"Y,N"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68EE"/>
  </sheetPr>
  <dimension ref="A1:L500"/>
  <sheetViews>
    <sheetView showGridLines="0" zoomScale="99" zoomScaleNormal="99" workbookViewId="0">
      <pane activePane="bottomRight" state="frozen"/>
    </sheetView>
  </sheetViews>
  <sheetFormatPr defaultColWidth="45" defaultRowHeight="14.5"/>
  <cols>
    <col min="1" max="1" width="14.6328125" style="55" customWidth="1"/>
    <col min="2" max="2" width="12.6328125" style="55" customWidth="1"/>
    <col min="3" max="3" width="8.6328125" style="55" customWidth="1"/>
    <col min="4" max="7" width="10.6328125" style="55" customWidth="1"/>
    <col min="8" max="8" width="36.6328125" style="55" customWidth="1"/>
    <col min="9" max="9" width="14.6328125" style="55" customWidth="1"/>
    <col min="10" max="10" width="24.6328125" style="55" customWidth="1"/>
    <col min="11" max="11" width="45" style="55" customWidth="1"/>
    <col min="12" max="16384" width="45" style="55"/>
  </cols>
  <sheetData>
    <row r="1" spans="1:12" ht="24" customHeight="1">
      <c r="A1" s="164" t="s">
        <v>183</v>
      </c>
      <c r="B1" s="164" t="s">
        <v>184</v>
      </c>
      <c r="C1" s="164" t="s">
        <v>185</v>
      </c>
      <c r="D1" s="164" t="s">
        <v>186</v>
      </c>
      <c r="E1" s="164" t="s">
        <v>187</v>
      </c>
      <c r="F1" s="164" t="s">
        <v>188</v>
      </c>
      <c r="G1" s="164" t="s">
        <v>189</v>
      </c>
      <c r="H1" s="164" t="s">
        <v>190</v>
      </c>
      <c r="I1" s="164" t="s">
        <v>191</v>
      </c>
      <c r="J1" s="164" t="s">
        <v>192</v>
      </c>
    </row>
    <row r="2" spans="1:12" ht="15.25" customHeight="1">
      <c r="A2" s="165" t="s">
        <v>193</v>
      </c>
      <c r="B2" s="165" t="s">
        <v>193</v>
      </c>
      <c r="C2" s="165" t="s">
        <v>194</v>
      </c>
      <c r="D2" s="165">
        <v>0.5</v>
      </c>
      <c r="E2" s="165">
        <v>1.1559999999999999</v>
      </c>
      <c r="F2" s="166">
        <v>250</v>
      </c>
      <c r="G2" s="165">
        <v>101</v>
      </c>
      <c r="H2" s="167" t="s">
        <v>195</v>
      </c>
      <c r="I2" s="165">
        <f t="shared" ref="I2:I33" si="0">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(H2="","",IFERROR(IFERROR(IF(H2="","",DATEVALUE(MID(H2,6,11))),"Check date format"),"")),"")),"")),"")),"")),"")),"")),"")),"")),"")),"")),"")),"")),"")),"")),"")),"")),"")),"")),"")),"")),"")),"")),"")),"")),"")),"")),"")),"")),""))</f>
        <v>46143</v>
      </c>
      <c r="J2" s="168">
        <f t="shared" ref="J2" si="1">IF(OR(F2="",I2=""),"",F2+IF(I2=I1,N(J1),0))</f>
        <v>250</v>
      </c>
      <c r="K2" s="168"/>
      <c r="L2" s="168"/>
    </row>
    <row r="3" spans="1:12" ht="15.25" customHeight="1">
      <c r="A3" s="169" t="s">
        <v>193</v>
      </c>
      <c r="B3" s="169" t="s">
        <v>193</v>
      </c>
      <c r="C3" s="169" t="s">
        <v>196</v>
      </c>
      <c r="D3" s="169">
        <v>1</v>
      </c>
      <c r="E3" s="169">
        <v>1.1599999999999999</v>
      </c>
      <c r="F3" s="170">
        <v>-100</v>
      </c>
      <c r="G3" s="169">
        <v>102</v>
      </c>
      <c r="H3" s="171" t="s">
        <v>197</v>
      </c>
      <c r="I3" s="169">
        <f t="shared" si="0"/>
        <v>46151</v>
      </c>
      <c r="J3" s="172">
        <f t="shared" ref="J3:J66" si="2">IF(OR(F3="",I3=""),"",F3+IF(I3=I2,N(J2),0))</f>
        <v>-100</v>
      </c>
      <c r="K3" s="172"/>
      <c r="L3" s="172"/>
    </row>
    <row r="4" spans="1:12" ht="15.25" customHeight="1">
      <c r="A4" s="165" t="s">
        <v>193</v>
      </c>
      <c r="B4" s="165" t="s">
        <v>193</v>
      </c>
      <c r="C4" s="165" t="s">
        <v>196</v>
      </c>
      <c r="D4" s="165">
        <v>1</v>
      </c>
      <c r="E4" s="165">
        <v>1.1619999999999999</v>
      </c>
      <c r="F4" s="166">
        <v>-100</v>
      </c>
      <c r="G4" s="165">
        <v>103</v>
      </c>
      <c r="H4" s="167" t="s">
        <v>198</v>
      </c>
      <c r="I4" s="165">
        <f t="shared" si="0"/>
        <v>46151</v>
      </c>
      <c r="J4" s="168">
        <f t="shared" si="2"/>
        <v>-200</v>
      </c>
      <c r="K4" s="168"/>
      <c r="L4" s="168"/>
    </row>
    <row r="5" spans="1:12" ht="15.25" customHeight="1">
      <c r="A5" s="169" t="s">
        <v>193</v>
      </c>
      <c r="B5" s="169" t="s">
        <v>193</v>
      </c>
      <c r="C5" s="169" t="s">
        <v>194</v>
      </c>
      <c r="D5" s="169">
        <v>2</v>
      </c>
      <c r="E5" s="169">
        <v>1.1499999999999999</v>
      </c>
      <c r="F5" s="170">
        <v>800</v>
      </c>
      <c r="G5" s="169">
        <v>104</v>
      </c>
      <c r="H5" s="171" t="s">
        <v>199</v>
      </c>
      <c r="I5" s="169">
        <f t="shared" si="0"/>
        <v>46159</v>
      </c>
      <c r="J5" s="172">
        <f t="shared" si="2"/>
        <v>800</v>
      </c>
      <c r="K5" s="172"/>
      <c r="L5" s="172"/>
    </row>
    <row r="6" spans="1:12" ht="15.25" customHeight="1">
      <c r="A6" s="165" t="s">
        <v>193</v>
      </c>
      <c r="B6" s="165" t="s">
        <v>193</v>
      </c>
      <c r="C6" s="165" t="s">
        <v>194</v>
      </c>
      <c r="D6" s="165">
        <v>1</v>
      </c>
      <c r="E6" s="165">
        <v>1.155</v>
      </c>
      <c r="F6" s="166">
        <v>200</v>
      </c>
      <c r="G6" s="165">
        <v>105</v>
      </c>
      <c r="H6" s="167" t="s">
        <v>200</v>
      </c>
      <c r="I6" s="165">
        <f t="shared" si="0"/>
        <v>46160</v>
      </c>
      <c r="J6" s="168">
        <f t="shared" si="2"/>
        <v>200</v>
      </c>
      <c r="K6" s="168"/>
      <c r="L6" s="168"/>
    </row>
    <row r="7" spans="1:12" ht="16.5" customHeight="1">
      <c r="A7" s="169"/>
      <c r="B7" s="169"/>
      <c r="C7" s="169"/>
      <c r="D7" s="169"/>
      <c r="E7" s="169"/>
      <c r="F7" s="170"/>
      <c r="G7" s="169"/>
      <c r="H7" s="171"/>
      <c r="I7" s="169" t="str">
        <f t="shared" si="0"/>
        <v/>
      </c>
      <c r="J7" s="172" t="str">
        <f t="shared" si="2"/>
        <v/>
      </c>
      <c r="K7" s="172"/>
      <c r="L7" s="172"/>
    </row>
    <row r="8" spans="1:12">
      <c r="A8" s="165"/>
      <c r="B8" s="165"/>
      <c r="C8" s="165"/>
      <c r="D8" s="165"/>
      <c r="E8" s="165"/>
      <c r="F8" s="166"/>
      <c r="G8" s="165"/>
      <c r="H8" s="167"/>
      <c r="I8" s="165" t="str">
        <f t="shared" si="0"/>
        <v/>
      </c>
      <c r="J8" s="168" t="str">
        <f t="shared" si="2"/>
        <v/>
      </c>
      <c r="K8" s="168"/>
      <c r="L8" s="168"/>
    </row>
    <row r="9" spans="1:12">
      <c r="A9" s="169"/>
      <c r="B9" s="169"/>
      <c r="C9" s="169"/>
      <c r="D9" s="169"/>
      <c r="E9" s="169"/>
      <c r="F9" s="170"/>
      <c r="G9" s="169"/>
      <c r="H9" s="171"/>
      <c r="I9" s="169" t="str">
        <f t="shared" si="0"/>
        <v/>
      </c>
      <c r="J9" s="172" t="str">
        <f t="shared" si="2"/>
        <v/>
      </c>
      <c r="K9" s="172"/>
      <c r="L9" s="172"/>
    </row>
    <row r="10" spans="1:12">
      <c r="A10" s="165"/>
      <c r="B10" s="165"/>
      <c r="C10" s="165"/>
      <c r="D10" s="165"/>
      <c r="E10" s="165"/>
      <c r="F10" s="166"/>
      <c r="G10" s="165"/>
      <c r="H10" s="167"/>
      <c r="I10" s="165" t="str">
        <f t="shared" si="0"/>
        <v/>
      </c>
      <c r="J10" s="168" t="str">
        <f t="shared" si="2"/>
        <v/>
      </c>
      <c r="K10" s="168"/>
      <c r="L10" s="168"/>
    </row>
    <row r="11" spans="1:12">
      <c r="A11" s="169"/>
      <c r="B11" s="169"/>
      <c r="C11" s="169"/>
      <c r="D11" s="169"/>
      <c r="E11" s="169"/>
      <c r="F11" s="170"/>
      <c r="G11" s="169"/>
      <c r="H11" s="171"/>
      <c r="I11" s="169" t="str">
        <f t="shared" si="0"/>
        <v/>
      </c>
      <c r="J11" s="172" t="str">
        <f t="shared" si="2"/>
        <v/>
      </c>
      <c r="K11" s="172"/>
      <c r="L11" s="172"/>
    </row>
    <row r="12" spans="1:12">
      <c r="A12" s="165"/>
      <c r="B12" s="165"/>
      <c r="C12" s="165"/>
      <c r="D12" s="165"/>
      <c r="E12" s="165"/>
      <c r="F12" s="166"/>
      <c r="G12" s="165"/>
      <c r="H12" s="167"/>
      <c r="I12" s="165" t="str">
        <f t="shared" si="0"/>
        <v/>
      </c>
      <c r="J12" s="168" t="str">
        <f t="shared" si="2"/>
        <v/>
      </c>
      <c r="K12" s="168"/>
      <c r="L12" s="168"/>
    </row>
    <row r="13" spans="1:12">
      <c r="A13" s="169"/>
      <c r="B13" s="169"/>
      <c r="C13" s="169"/>
      <c r="D13" s="169"/>
      <c r="E13" s="169"/>
      <c r="F13" s="170"/>
      <c r="G13" s="169"/>
      <c r="H13" s="171"/>
      <c r="I13" s="169" t="str">
        <f t="shared" si="0"/>
        <v/>
      </c>
      <c r="J13" s="172" t="str">
        <f t="shared" si="2"/>
        <v/>
      </c>
      <c r="K13" s="172"/>
      <c r="L13" s="172"/>
    </row>
    <row r="14" spans="1:12">
      <c r="A14" s="165"/>
      <c r="B14" s="165"/>
      <c r="C14" s="165"/>
      <c r="D14" s="165"/>
      <c r="E14" s="165"/>
      <c r="F14" s="166"/>
      <c r="G14" s="165"/>
      <c r="H14" s="167"/>
      <c r="I14" s="165" t="str">
        <f t="shared" si="0"/>
        <v/>
      </c>
      <c r="J14" s="168" t="str">
        <f t="shared" si="2"/>
        <v/>
      </c>
      <c r="K14" s="168"/>
      <c r="L14" s="168"/>
    </row>
    <row r="15" spans="1:12">
      <c r="A15" s="169"/>
      <c r="B15" s="169"/>
      <c r="C15" s="169"/>
      <c r="D15" s="169"/>
      <c r="E15" s="169"/>
      <c r="F15" s="170"/>
      <c r="G15" s="169"/>
      <c r="H15" s="171"/>
      <c r="I15" s="169" t="str">
        <f t="shared" si="0"/>
        <v/>
      </c>
      <c r="J15" s="172" t="str">
        <f t="shared" si="2"/>
        <v/>
      </c>
      <c r="K15" s="172"/>
      <c r="L15" s="172"/>
    </row>
    <row r="16" spans="1:12">
      <c r="A16" s="165"/>
      <c r="B16" s="165"/>
      <c r="C16" s="165"/>
      <c r="D16" s="165"/>
      <c r="E16" s="165"/>
      <c r="F16" s="166"/>
      <c r="G16" s="165"/>
      <c r="H16" s="167"/>
      <c r="I16" s="165" t="str">
        <f t="shared" si="0"/>
        <v/>
      </c>
      <c r="J16" s="168" t="str">
        <f t="shared" si="2"/>
        <v/>
      </c>
      <c r="K16" s="168"/>
      <c r="L16" s="168"/>
    </row>
    <row r="17" spans="1:12">
      <c r="A17" s="169"/>
      <c r="B17" s="169"/>
      <c r="C17" s="169"/>
      <c r="D17" s="169"/>
      <c r="E17" s="169"/>
      <c r="F17" s="170"/>
      <c r="G17" s="169"/>
      <c r="H17" s="171"/>
      <c r="I17" s="169" t="str">
        <f t="shared" si="0"/>
        <v/>
      </c>
      <c r="J17" s="172" t="str">
        <f t="shared" si="2"/>
        <v/>
      </c>
      <c r="K17" s="172"/>
      <c r="L17" s="172"/>
    </row>
    <row r="18" spans="1:12">
      <c r="A18" s="165"/>
      <c r="B18" s="165"/>
      <c r="C18" s="165"/>
      <c r="D18" s="165"/>
      <c r="E18" s="165"/>
      <c r="F18" s="166"/>
      <c r="G18" s="165"/>
      <c r="H18" s="167"/>
      <c r="I18" s="165" t="str">
        <f t="shared" si="0"/>
        <v/>
      </c>
      <c r="J18" s="168" t="str">
        <f t="shared" si="2"/>
        <v/>
      </c>
      <c r="K18" s="168"/>
      <c r="L18" s="168"/>
    </row>
    <row r="19" spans="1:12">
      <c r="A19" s="169"/>
      <c r="B19" s="169"/>
      <c r="C19" s="169"/>
      <c r="D19" s="169"/>
      <c r="E19" s="169"/>
      <c r="F19" s="170"/>
      <c r="G19" s="169"/>
      <c r="H19" s="171"/>
      <c r="I19" s="169" t="str">
        <f t="shared" si="0"/>
        <v/>
      </c>
      <c r="J19" s="172" t="str">
        <f t="shared" si="2"/>
        <v/>
      </c>
      <c r="K19" s="172"/>
      <c r="L19" s="172"/>
    </row>
    <row r="20" spans="1:12">
      <c r="A20" s="165"/>
      <c r="B20" s="165"/>
      <c r="C20" s="165"/>
      <c r="D20" s="165"/>
      <c r="E20" s="165"/>
      <c r="F20" s="166"/>
      <c r="G20" s="165"/>
      <c r="H20" s="167"/>
      <c r="I20" s="165" t="str">
        <f t="shared" si="0"/>
        <v/>
      </c>
      <c r="J20" s="168" t="str">
        <f t="shared" si="2"/>
        <v/>
      </c>
      <c r="K20" s="168"/>
      <c r="L20" s="168"/>
    </row>
    <row r="21" spans="1:12">
      <c r="A21" s="169"/>
      <c r="B21" s="169"/>
      <c r="C21" s="169"/>
      <c r="D21" s="169"/>
      <c r="E21" s="169"/>
      <c r="F21" s="170"/>
      <c r="G21" s="169"/>
      <c r="H21" s="171"/>
      <c r="I21" s="169" t="str">
        <f t="shared" si="0"/>
        <v/>
      </c>
      <c r="J21" s="172" t="str">
        <f t="shared" si="2"/>
        <v/>
      </c>
      <c r="K21" s="172"/>
      <c r="L21" s="172"/>
    </row>
    <row r="22" spans="1:12">
      <c r="A22" s="165"/>
      <c r="B22" s="165"/>
      <c r="C22" s="165"/>
      <c r="D22" s="165"/>
      <c r="E22" s="165"/>
      <c r="F22" s="166"/>
      <c r="G22" s="165"/>
      <c r="H22" s="167"/>
      <c r="I22" s="165" t="str">
        <f t="shared" si="0"/>
        <v/>
      </c>
      <c r="J22" s="168" t="str">
        <f t="shared" si="2"/>
        <v/>
      </c>
      <c r="K22" s="168"/>
      <c r="L22" s="168"/>
    </row>
    <row r="23" spans="1:12">
      <c r="A23" s="169"/>
      <c r="B23" s="169"/>
      <c r="C23" s="169"/>
      <c r="D23" s="169"/>
      <c r="E23" s="169"/>
      <c r="F23" s="170"/>
      <c r="G23" s="169"/>
      <c r="H23" s="171"/>
      <c r="I23" s="169" t="str">
        <f t="shared" si="0"/>
        <v/>
      </c>
      <c r="J23" s="172" t="str">
        <f t="shared" si="2"/>
        <v/>
      </c>
      <c r="K23" s="172"/>
      <c r="L23" s="172"/>
    </row>
    <row r="24" spans="1:12">
      <c r="A24" s="165"/>
      <c r="B24" s="165"/>
      <c r="C24" s="165"/>
      <c r="D24" s="165"/>
      <c r="E24" s="165"/>
      <c r="F24" s="166"/>
      <c r="G24" s="165"/>
      <c r="H24" s="167"/>
      <c r="I24" s="165" t="str">
        <f t="shared" si="0"/>
        <v/>
      </c>
      <c r="J24" s="168" t="str">
        <f t="shared" si="2"/>
        <v/>
      </c>
      <c r="K24" s="168"/>
      <c r="L24" s="168"/>
    </row>
    <row r="25" spans="1:12">
      <c r="A25" s="169"/>
      <c r="B25" s="169"/>
      <c r="C25" s="169"/>
      <c r="D25" s="169"/>
      <c r="E25" s="169"/>
      <c r="F25" s="170"/>
      <c r="G25" s="169"/>
      <c r="H25" s="171"/>
      <c r="I25" s="169" t="str">
        <f t="shared" si="0"/>
        <v/>
      </c>
      <c r="J25" s="172" t="str">
        <f t="shared" si="2"/>
        <v/>
      </c>
      <c r="K25" s="172"/>
      <c r="L25" s="172"/>
    </row>
    <row r="26" spans="1:12">
      <c r="A26" s="165"/>
      <c r="B26" s="165"/>
      <c r="C26" s="165"/>
      <c r="D26" s="165"/>
      <c r="E26" s="165"/>
      <c r="F26" s="166"/>
      <c r="G26" s="165"/>
      <c r="H26" s="167"/>
      <c r="I26" s="165" t="str">
        <f t="shared" si="0"/>
        <v/>
      </c>
      <c r="J26" s="168" t="str">
        <f t="shared" si="2"/>
        <v/>
      </c>
      <c r="K26" s="168"/>
      <c r="L26" s="168"/>
    </row>
    <row r="27" spans="1:12">
      <c r="A27" s="169"/>
      <c r="B27" s="169"/>
      <c r="C27" s="169"/>
      <c r="D27" s="169"/>
      <c r="E27" s="169"/>
      <c r="F27" s="170"/>
      <c r="G27" s="169"/>
      <c r="H27" s="171"/>
      <c r="I27" s="169" t="str">
        <f t="shared" si="0"/>
        <v/>
      </c>
      <c r="J27" s="172" t="str">
        <f t="shared" si="2"/>
        <v/>
      </c>
      <c r="K27" s="172"/>
      <c r="L27" s="172"/>
    </row>
    <row r="28" spans="1:12">
      <c r="A28" s="165"/>
      <c r="B28" s="165"/>
      <c r="C28" s="165"/>
      <c r="D28" s="165"/>
      <c r="E28" s="165"/>
      <c r="F28" s="166"/>
      <c r="G28" s="165"/>
      <c r="H28" s="167"/>
      <c r="I28" s="165" t="str">
        <f t="shared" si="0"/>
        <v/>
      </c>
      <c r="J28" s="168" t="str">
        <f t="shared" si="2"/>
        <v/>
      </c>
      <c r="K28" s="168"/>
      <c r="L28" s="168"/>
    </row>
    <row r="29" spans="1:12">
      <c r="A29" s="169"/>
      <c r="B29" s="169"/>
      <c r="C29" s="169"/>
      <c r="D29" s="169"/>
      <c r="E29" s="169"/>
      <c r="F29" s="170"/>
      <c r="G29" s="169"/>
      <c r="H29" s="171"/>
      <c r="I29" s="169" t="str">
        <f t="shared" si="0"/>
        <v/>
      </c>
      <c r="J29" s="172" t="str">
        <f t="shared" si="2"/>
        <v/>
      </c>
      <c r="K29" s="172"/>
      <c r="L29" s="172"/>
    </row>
    <row r="30" spans="1:12">
      <c r="A30" s="165"/>
      <c r="B30" s="165"/>
      <c r="C30" s="165"/>
      <c r="D30" s="165"/>
      <c r="E30" s="165"/>
      <c r="F30" s="166"/>
      <c r="G30" s="165"/>
      <c r="H30" s="167"/>
      <c r="I30" s="165" t="str">
        <f t="shared" si="0"/>
        <v/>
      </c>
      <c r="J30" s="168" t="str">
        <f t="shared" si="2"/>
        <v/>
      </c>
      <c r="K30" s="168"/>
      <c r="L30" s="168"/>
    </row>
    <row r="31" spans="1:12">
      <c r="A31" s="169"/>
      <c r="B31" s="169"/>
      <c r="C31" s="169"/>
      <c r="D31" s="169"/>
      <c r="E31" s="169"/>
      <c r="F31" s="170"/>
      <c r="G31" s="169"/>
      <c r="H31" s="171"/>
      <c r="I31" s="169" t="str">
        <f t="shared" si="0"/>
        <v/>
      </c>
      <c r="J31" s="172" t="str">
        <f t="shared" si="2"/>
        <v/>
      </c>
      <c r="K31" s="172"/>
      <c r="L31" s="172"/>
    </row>
    <row r="32" spans="1:12">
      <c r="A32" s="165"/>
      <c r="B32" s="165"/>
      <c r="C32" s="165"/>
      <c r="D32" s="165"/>
      <c r="E32" s="165"/>
      <c r="F32" s="166"/>
      <c r="G32" s="165"/>
      <c r="H32" s="167"/>
      <c r="I32" s="165" t="str">
        <f t="shared" si="0"/>
        <v/>
      </c>
      <c r="J32" s="168" t="str">
        <f t="shared" si="2"/>
        <v/>
      </c>
      <c r="K32" s="168"/>
      <c r="L32" s="168"/>
    </row>
    <row r="33" spans="1:12">
      <c r="A33" s="169"/>
      <c r="B33" s="169"/>
      <c r="C33" s="169"/>
      <c r="D33" s="169"/>
      <c r="E33" s="169"/>
      <c r="F33" s="170"/>
      <c r="G33" s="169"/>
      <c r="H33" s="171"/>
      <c r="I33" s="169" t="str">
        <f t="shared" si="0"/>
        <v/>
      </c>
      <c r="J33" s="172" t="str">
        <f t="shared" si="2"/>
        <v/>
      </c>
      <c r="K33" s="172"/>
      <c r="L33" s="172"/>
    </row>
    <row r="34" spans="1:12">
      <c r="A34" s="165"/>
      <c r="B34" s="165"/>
      <c r="C34" s="165"/>
      <c r="D34" s="165"/>
      <c r="E34" s="165"/>
      <c r="F34" s="166"/>
      <c r="G34" s="165"/>
      <c r="H34" s="167"/>
      <c r="I34" s="165" t="str">
        <f t="shared" ref="I34:I52" si="3">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(H34="","",IFERROR(IFERROR(IF(H34="","",DATEVALUE(MID(H34,6,11))),"Check date format"),"")),"")),"")),"")),"")),"")),"")),"")),"")),"")),"")),"")),"")),"")),"")),"")),"")),"")),"")),"")),"")),"")),"")),"")),"")),"")),"")),"")),"")),""))</f>
        <v/>
      </c>
      <c r="J34" s="168" t="str">
        <f t="shared" si="2"/>
        <v/>
      </c>
      <c r="K34" s="168"/>
      <c r="L34" s="168"/>
    </row>
    <row r="35" spans="1:12">
      <c r="A35" s="169"/>
      <c r="B35" s="169"/>
      <c r="C35" s="169"/>
      <c r="D35" s="169"/>
      <c r="E35" s="169"/>
      <c r="F35" s="170"/>
      <c r="G35" s="169"/>
      <c r="H35" s="171"/>
      <c r="I35" s="169" t="str">
        <f t="shared" si="3"/>
        <v/>
      </c>
      <c r="J35" s="172" t="str">
        <f t="shared" si="2"/>
        <v/>
      </c>
      <c r="K35" s="172"/>
      <c r="L35" s="172"/>
    </row>
    <row r="36" spans="1:12">
      <c r="A36" s="165"/>
      <c r="B36" s="165"/>
      <c r="C36" s="165"/>
      <c r="D36" s="165"/>
      <c r="E36" s="165"/>
      <c r="F36" s="166"/>
      <c r="G36" s="165"/>
      <c r="H36" s="167"/>
      <c r="I36" s="165" t="str">
        <f t="shared" si="3"/>
        <v/>
      </c>
      <c r="J36" s="168" t="str">
        <f t="shared" si="2"/>
        <v/>
      </c>
      <c r="K36" s="168"/>
      <c r="L36" s="168"/>
    </row>
    <row r="37" spans="1:12">
      <c r="A37" s="169"/>
      <c r="B37" s="169"/>
      <c r="C37" s="169"/>
      <c r="D37" s="169"/>
      <c r="E37" s="169"/>
      <c r="F37" s="170"/>
      <c r="G37" s="169"/>
      <c r="H37" s="171"/>
      <c r="I37" s="169" t="str">
        <f t="shared" si="3"/>
        <v/>
      </c>
      <c r="J37" s="172" t="str">
        <f t="shared" si="2"/>
        <v/>
      </c>
      <c r="K37" s="172"/>
      <c r="L37" s="172"/>
    </row>
    <row r="38" spans="1:12">
      <c r="A38" s="165"/>
      <c r="B38" s="165"/>
      <c r="C38" s="165"/>
      <c r="D38" s="165"/>
      <c r="E38" s="165"/>
      <c r="F38" s="166"/>
      <c r="G38" s="165"/>
      <c r="H38" s="167"/>
      <c r="I38" s="165" t="str">
        <f t="shared" si="3"/>
        <v/>
      </c>
      <c r="J38" s="168" t="str">
        <f t="shared" si="2"/>
        <v/>
      </c>
      <c r="K38" s="168"/>
      <c r="L38" s="168"/>
    </row>
    <row r="39" spans="1:12">
      <c r="A39" s="169"/>
      <c r="B39" s="169"/>
      <c r="C39" s="169"/>
      <c r="D39" s="169"/>
      <c r="E39" s="169"/>
      <c r="F39" s="170"/>
      <c r="G39" s="169"/>
      <c r="H39" s="171"/>
      <c r="I39" s="169" t="str">
        <f t="shared" si="3"/>
        <v/>
      </c>
      <c r="J39" s="172" t="str">
        <f t="shared" si="2"/>
        <v/>
      </c>
      <c r="K39" s="172"/>
      <c r="L39" s="172"/>
    </row>
    <row r="40" spans="1:12">
      <c r="A40" s="165"/>
      <c r="B40" s="165"/>
      <c r="C40" s="165"/>
      <c r="D40" s="165"/>
      <c r="E40" s="165"/>
      <c r="F40" s="166"/>
      <c r="G40" s="165"/>
      <c r="H40" s="167"/>
      <c r="I40" s="165" t="str">
        <f t="shared" si="3"/>
        <v/>
      </c>
      <c r="J40" s="168" t="str">
        <f t="shared" si="2"/>
        <v/>
      </c>
      <c r="K40" s="168"/>
      <c r="L40" s="168"/>
    </row>
    <row r="41" spans="1:12">
      <c r="A41" s="169"/>
      <c r="B41" s="169"/>
      <c r="C41" s="169"/>
      <c r="D41" s="169"/>
      <c r="E41" s="169"/>
      <c r="F41" s="170"/>
      <c r="G41" s="169"/>
      <c r="H41" s="171"/>
      <c r="I41" s="169" t="str">
        <f t="shared" si="3"/>
        <v/>
      </c>
      <c r="J41" s="172" t="str">
        <f t="shared" si="2"/>
        <v/>
      </c>
      <c r="K41" s="172"/>
      <c r="L41" s="172"/>
    </row>
    <row r="42" spans="1:12">
      <c r="A42" s="165"/>
      <c r="B42" s="165"/>
      <c r="C42" s="165"/>
      <c r="D42" s="165"/>
      <c r="E42" s="165"/>
      <c r="F42" s="166"/>
      <c r="G42" s="165"/>
      <c r="H42" s="167"/>
      <c r="I42" s="165" t="str">
        <f t="shared" si="3"/>
        <v/>
      </c>
      <c r="J42" s="168" t="str">
        <f t="shared" si="2"/>
        <v/>
      </c>
      <c r="K42" s="168"/>
      <c r="L42" s="168"/>
    </row>
    <row r="43" spans="1:12">
      <c r="A43" s="169"/>
      <c r="B43" s="169"/>
      <c r="C43" s="169"/>
      <c r="D43" s="169"/>
      <c r="E43" s="169"/>
      <c r="F43" s="170"/>
      <c r="G43" s="169"/>
      <c r="H43" s="171"/>
      <c r="I43" s="169" t="str">
        <f t="shared" si="3"/>
        <v/>
      </c>
      <c r="J43" s="172" t="str">
        <f t="shared" si="2"/>
        <v/>
      </c>
      <c r="K43" s="172"/>
      <c r="L43" s="172"/>
    </row>
    <row r="44" spans="1:12">
      <c r="A44" s="165"/>
      <c r="B44" s="165"/>
      <c r="C44" s="165"/>
      <c r="D44" s="165"/>
      <c r="E44" s="165"/>
      <c r="F44" s="166"/>
      <c r="G44" s="165"/>
      <c r="H44" s="167"/>
      <c r="I44" s="165" t="str">
        <f t="shared" si="3"/>
        <v/>
      </c>
      <c r="J44" s="168" t="str">
        <f t="shared" si="2"/>
        <v/>
      </c>
      <c r="K44" s="168"/>
      <c r="L44" s="168"/>
    </row>
    <row r="45" spans="1:12">
      <c r="A45" s="169"/>
      <c r="B45" s="169"/>
      <c r="C45" s="169"/>
      <c r="D45" s="169"/>
      <c r="E45" s="169"/>
      <c r="F45" s="170"/>
      <c r="G45" s="169"/>
      <c r="H45" s="171"/>
      <c r="I45" s="169" t="str">
        <f t="shared" si="3"/>
        <v/>
      </c>
      <c r="J45" s="172" t="str">
        <f t="shared" si="2"/>
        <v/>
      </c>
      <c r="K45" s="172"/>
      <c r="L45" s="172"/>
    </row>
    <row r="46" spans="1:12">
      <c r="A46" s="165"/>
      <c r="B46" s="165"/>
      <c r="C46" s="165"/>
      <c r="D46" s="165"/>
      <c r="E46" s="165"/>
      <c r="F46" s="166"/>
      <c r="G46" s="165"/>
      <c r="H46" s="167"/>
      <c r="I46" s="165" t="str">
        <f t="shared" si="3"/>
        <v/>
      </c>
      <c r="J46" s="168" t="str">
        <f t="shared" si="2"/>
        <v/>
      </c>
      <c r="K46" s="168"/>
      <c r="L46" s="168"/>
    </row>
    <row r="47" spans="1:12">
      <c r="A47" s="169"/>
      <c r="B47" s="169"/>
      <c r="C47" s="169"/>
      <c r="D47" s="169"/>
      <c r="E47" s="169"/>
      <c r="F47" s="170"/>
      <c r="G47" s="169"/>
      <c r="H47" s="171"/>
      <c r="I47" s="169" t="str">
        <f t="shared" si="3"/>
        <v/>
      </c>
      <c r="J47" s="172" t="str">
        <f t="shared" si="2"/>
        <v/>
      </c>
      <c r="K47" s="172"/>
      <c r="L47" s="172"/>
    </row>
    <row r="48" spans="1:12">
      <c r="A48" s="165"/>
      <c r="B48" s="165"/>
      <c r="C48" s="165"/>
      <c r="D48" s="165"/>
      <c r="E48" s="165"/>
      <c r="F48" s="166"/>
      <c r="G48" s="165"/>
      <c r="H48" s="167"/>
      <c r="I48" s="165" t="str">
        <f t="shared" si="3"/>
        <v/>
      </c>
      <c r="J48" s="168" t="str">
        <f t="shared" si="2"/>
        <v/>
      </c>
      <c r="K48" s="168"/>
      <c r="L48" s="168"/>
    </row>
    <row r="49" spans="1:12">
      <c r="A49" s="169"/>
      <c r="B49" s="169"/>
      <c r="C49" s="169"/>
      <c r="D49" s="169"/>
      <c r="E49" s="169"/>
      <c r="F49" s="170"/>
      <c r="G49" s="169"/>
      <c r="H49" s="171"/>
      <c r="I49" s="169" t="str">
        <f t="shared" si="3"/>
        <v/>
      </c>
      <c r="J49" s="172" t="str">
        <f t="shared" si="2"/>
        <v/>
      </c>
      <c r="K49" s="172"/>
      <c r="L49" s="172"/>
    </row>
    <row r="50" spans="1:12">
      <c r="A50" s="165"/>
      <c r="B50" s="165"/>
      <c r="C50" s="165"/>
      <c r="D50" s="165"/>
      <c r="E50" s="165"/>
      <c r="F50" s="166"/>
      <c r="G50" s="165"/>
      <c r="H50" s="167"/>
      <c r="I50" s="165" t="str">
        <f t="shared" si="3"/>
        <v/>
      </c>
      <c r="J50" s="168" t="str">
        <f t="shared" si="2"/>
        <v/>
      </c>
      <c r="K50" s="168"/>
      <c r="L50" s="168"/>
    </row>
    <row r="51" spans="1:12">
      <c r="A51" s="169"/>
      <c r="B51" s="169"/>
      <c r="C51" s="169"/>
      <c r="D51" s="169"/>
      <c r="E51" s="169"/>
      <c r="F51" s="170"/>
      <c r="G51" s="169"/>
      <c r="H51" s="171"/>
      <c r="I51" s="169" t="str">
        <f t="shared" si="3"/>
        <v/>
      </c>
      <c r="J51" s="172" t="str">
        <f t="shared" si="2"/>
        <v/>
      </c>
      <c r="K51" s="172"/>
      <c r="L51" s="172"/>
    </row>
    <row r="52" spans="1:12">
      <c r="A52" s="165"/>
      <c r="B52" s="165"/>
      <c r="C52" s="165"/>
      <c r="D52" s="165"/>
      <c r="E52" s="165"/>
      <c r="F52" s="166"/>
      <c r="G52" s="165"/>
      <c r="H52" s="167"/>
      <c r="I52" s="165" t="str">
        <f t="shared" si="3"/>
        <v/>
      </c>
      <c r="J52" s="168" t="str">
        <f t="shared" si="2"/>
        <v/>
      </c>
      <c r="K52" s="168"/>
      <c r="L52" s="168"/>
    </row>
    <row r="53" spans="1:12">
      <c r="A53" s="169"/>
      <c r="B53" s="169"/>
      <c r="C53" s="169"/>
      <c r="D53" s="169"/>
      <c r="E53" s="169"/>
      <c r="F53" s="170"/>
      <c r="G53" s="169"/>
      <c r="H53" s="171"/>
      <c r="I53" s="169" t="str">
        <f t="shared" ref="I53:I65" si="4">IFERROR(IF(H53="","",DATEVALUE(MID(H53,6,11))),"Check date format")</f>
        <v/>
      </c>
      <c r="J53" s="172" t="str">
        <f t="shared" si="2"/>
        <v/>
      </c>
      <c r="K53" s="172"/>
      <c r="L53" s="172"/>
    </row>
    <row r="54" spans="1:12">
      <c r="A54" s="165"/>
      <c r="B54" s="165"/>
      <c r="C54" s="165"/>
      <c r="D54" s="165"/>
      <c r="E54" s="165"/>
      <c r="F54" s="166"/>
      <c r="G54" s="165"/>
      <c r="H54" s="167"/>
      <c r="I54" s="165" t="str">
        <f t="shared" si="4"/>
        <v/>
      </c>
      <c r="J54" s="168" t="str">
        <f t="shared" si="2"/>
        <v/>
      </c>
      <c r="K54" s="168"/>
      <c r="L54" s="168"/>
    </row>
    <row r="55" spans="1:12">
      <c r="A55" s="169"/>
      <c r="B55" s="169"/>
      <c r="C55" s="169"/>
      <c r="D55" s="169"/>
      <c r="E55" s="169"/>
      <c r="F55" s="170"/>
      <c r="G55" s="169"/>
      <c r="H55" s="171"/>
      <c r="I55" s="169" t="str">
        <f t="shared" si="4"/>
        <v/>
      </c>
      <c r="J55" s="172" t="str">
        <f t="shared" si="2"/>
        <v/>
      </c>
      <c r="K55" s="172"/>
      <c r="L55" s="172"/>
    </row>
    <row r="56" spans="1:12">
      <c r="A56" s="165"/>
      <c r="B56" s="165"/>
      <c r="C56" s="165"/>
      <c r="D56" s="165"/>
      <c r="E56" s="165"/>
      <c r="F56" s="166"/>
      <c r="G56" s="165"/>
      <c r="H56" s="167"/>
      <c r="I56" s="165" t="str">
        <f t="shared" si="4"/>
        <v/>
      </c>
      <c r="J56" s="168" t="str">
        <f t="shared" si="2"/>
        <v/>
      </c>
      <c r="K56" s="168"/>
      <c r="L56" s="168"/>
    </row>
    <row r="57" spans="1:12">
      <c r="A57" s="169"/>
      <c r="B57" s="169"/>
      <c r="C57" s="169"/>
      <c r="D57" s="169"/>
      <c r="E57" s="169"/>
      <c r="F57" s="170"/>
      <c r="G57" s="169"/>
      <c r="H57" s="171"/>
      <c r="I57" s="169" t="str">
        <f t="shared" si="4"/>
        <v/>
      </c>
      <c r="J57" s="172" t="str">
        <f t="shared" si="2"/>
        <v/>
      </c>
      <c r="K57" s="172"/>
      <c r="L57" s="172"/>
    </row>
    <row r="58" spans="1:12">
      <c r="A58" s="165"/>
      <c r="B58" s="165"/>
      <c r="C58" s="165"/>
      <c r="D58" s="165"/>
      <c r="E58" s="165"/>
      <c r="F58" s="166"/>
      <c r="G58" s="165"/>
      <c r="H58" s="167"/>
      <c r="I58" s="165" t="str">
        <f t="shared" si="4"/>
        <v/>
      </c>
      <c r="J58" s="168" t="str">
        <f t="shared" si="2"/>
        <v/>
      </c>
      <c r="K58" s="168"/>
      <c r="L58" s="168"/>
    </row>
    <row r="59" spans="1:12">
      <c r="A59" s="169"/>
      <c r="B59" s="169"/>
      <c r="C59" s="169"/>
      <c r="D59" s="169"/>
      <c r="E59" s="169"/>
      <c r="F59" s="170"/>
      <c r="G59" s="169"/>
      <c r="H59" s="171"/>
      <c r="I59" s="169" t="str">
        <f t="shared" si="4"/>
        <v/>
      </c>
      <c r="J59" s="172" t="str">
        <f t="shared" si="2"/>
        <v/>
      </c>
      <c r="K59" s="172"/>
      <c r="L59" s="172"/>
    </row>
    <row r="60" spans="1:12">
      <c r="A60" s="165"/>
      <c r="B60" s="165"/>
      <c r="C60" s="165"/>
      <c r="D60" s="165"/>
      <c r="E60" s="165"/>
      <c r="F60" s="166"/>
      <c r="G60" s="165"/>
      <c r="H60" s="167"/>
      <c r="I60" s="165" t="str">
        <f t="shared" si="4"/>
        <v/>
      </c>
      <c r="J60" s="168" t="str">
        <f t="shared" si="2"/>
        <v/>
      </c>
      <c r="K60" s="168"/>
      <c r="L60" s="168"/>
    </row>
    <row r="61" spans="1:12">
      <c r="A61" s="169"/>
      <c r="B61" s="169"/>
      <c r="C61" s="169"/>
      <c r="D61" s="169"/>
      <c r="E61" s="169"/>
      <c r="F61" s="170"/>
      <c r="G61" s="169"/>
      <c r="H61" s="171"/>
      <c r="I61" s="169" t="str">
        <f t="shared" si="4"/>
        <v/>
      </c>
      <c r="J61" s="172" t="str">
        <f t="shared" si="2"/>
        <v/>
      </c>
      <c r="K61" s="172"/>
      <c r="L61" s="172"/>
    </row>
    <row r="62" spans="1:12">
      <c r="A62" s="165"/>
      <c r="B62" s="165"/>
      <c r="C62" s="165"/>
      <c r="D62" s="165"/>
      <c r="E62" s="165"/>
      <c r="F62" s="166"/>
      <c r="G62" s="165"/>
      <c r="H62" s="167"/>
      <c r="I62" s="165" t="str">
        <f t="shared" si="4"/>
        <v/>
      </c>
      <c r="J62" s="168" t="str">
        <f t="shared" si="2"/>
        <v/>
      </c>
      <c r="K62" s="168"/>
      <c r="L62" s="168"/>
    </row>
    <row r="63" spans="1:12">
      <c r="A63" s="169"/>
      <c r="B63" s="169"/>
      <c r="C63" s="169"/>
      <c r="D63" s="169"/>
      <c r="E63" s="169"/>
      <c r="F63" s="170"/>
      <c r="G63" s="169"/>
      <c r="H63" s="171"/>
      <c r="I63" s="169" t="str">
        <f t="shared" si="4"/>
        <v/>
      </c>
      <c r="J63" s="172" t="str">
        <f t="shared" si="2"/>
        <v/>
      </c>
      <c r="K63" s="172"/>
      <c r="L63" s="172"/>
    </row>
    <row r="64" spans="1:12">
      <c r="A64" s="165"/>
      <c r="B64" s="165"/>
      <c r="C64" s="165"/>
      <c r="D64" s="165"/>
      <c r="E64" s="165"/>
      <c r="F64" s="166"/>
      <c r="G64" s="165"/>
      <c r="H64" s="167"/>
      <c r="I64" s="165" t="str">
        <f t="shared" si="4"/>
        <v/>
      </c>
      <c r="J64" s="168" t="str">
        <f t="shared" si="2"/>
        <v/>
      </c>
      <c r="K64" s="168"/>
      <c r="L64" s="168"/>
    </row>
    <row r="65" spans="1:12">
      <c r="A65" s="169"/>
      <c r="B65" s="169"/>
      <c r="C65" s="169"/>
      <c r="D65" s="169"/>
      <c r="E65" s="169"/>
      <c r="F65" s="170"/>
      <c r="G65" s="169"/>
      <c r="H65" s="171"/>
      <c r="I65" s="169" t="str">
        <f t="shared" si="4"/>
        <v/>
      </c>
      <c r="J65" s="172" t="str">
        <f t="shared" si="2"/>
        <v/>
      </c>
      <c r="K65" s="172"/>
      <c r="L65" s="172"/>
    </row>
    <row r="66" spans="1:12">
      <c r="A66" s="165"/>
      <c r="B66" s="165"/>
      <c r="C66" s="165"/>
      <c r="D66" s="165"/>
      <c r="E66" s="165"/>
      <c r="F66" s="166"/>
      <c r="G66" s="165"/>
      <c r="H66" s="167"/>
      <c r="I66" s="165" t="str">
        <f t="shared" ref="I66:I129" si="5">IFERROR(IF(H66="","",DATEVALUE(MID(H66,6,11))),"Check date format")</f>
        <v/>
      </c>
      <c r="J66" s="168" t="str">
        <f t="shared" si="2"/>
        <v/>
      </c>
      <c r="K66" s="168"/>
      <c r="L66" s="168"/>
    </row>
    <row r="67" spans="1:12">
      <c r="A67" s="169"/>
      <c r="B67" s="169"/>
      <c r="C67" s="169"/>
      <c r="D67" s="169"/>
      <c r="E67" s="169"/>
      <c r="F67" s="170"/>
      <c r="G67" s="169"/>
      <c r="H67" s="171"/>
      <c r="I67" s="169" t="str">
        <f t="shared" si="5"/>
        <v/>
      </c>
      <c r="J67" s="172" t="str">
        <f t="shared" ref="J67:J130" si="6">IF(OR(F67="",I67=""),"",F67+IF(I67=I66,N(J66),0))</f>
        <v/>
      </c>
      <c r="K67" s="172"/>
      <c r="L67" s="172"/>
    </row>
    <row r="68" spans="1:12">
      <c r="A68" s="165"/>
      <c r="B68" s="165"/>
      <c r="C68" s="165"/>
      <c r="D68" s="165"/>
      <c r="E68" s="165"/>
      <c r="F68" s="166"/>
      <c r="G68" s="165"/>
      <c r="H68" s="167"/>
      <c r="I68" s="165" t="str">
        <f t="shared" si="5"/>
        <v/>
      </c>
      <c r="J68" s="168" t="str">
        <f t="shared" si="6"/>
        <v/>
      </c>
      <c r="K68" s="168"/>
      <c r="L68" s="168"/>
    </row>
    <row r="69" spans="1:12">
      <c r="A69" s="169"/>
      <c r="B69" s="169"/>
      <c r="C69" s="169"/>
      <c r="D69" s="169"/>
      <c r="E69" s="169"/>
      <c r="F69" s="170"/>
      <c r="G69" s="169"/>
      <c r="H69" s="171"/>
      <c r="I69" s="169" t="str">
        <f t="shared" si="5"/>
        <v/>
      </c>
      <c r="J69" s="172" t="str">
        <f t="shared" si="6"/>
        <v/>
      </c>
      <c r="K69" s="172"/>
      <c r="L69" s="172"/>
    </row>
    <row r="70" spans="1:12">
      <c r="A70" s="165"/>
      <c r="B70" s="165"/>
      <c r="C70" s="165"/>
      <c r="D70" s="165"/>
      <c r="E70" s="165"/>
      <c r="F70" s="166"/>
      <c r="G70" s="165"/>
      <c r="H70" s="167"/>
      <c r="I70" s="165" t="str">
        <f t="shared" si="5"/>
        <v/>
      </c>
      <c r="J70" s="168" t="str">
        <f t="shared" si="6"/>
        <v/>
      </c>
      <c r="K70" s="168"/>
      <c r="L70" s="168"/>
    </row>
    <row r="71" spans="1:12">
      <c r="A71" s="169"/>
      <c r="B71" s="169"/>
      <c r="C71" s="169"/>
      <c r="D71" s="169"/>
      <c r="E71" s="169"/>
      <c r="F71" s="170"/>
      <c r="G71" s="169"/>
      <c r="H71" s="171"/>
      <c r="I71" s="169" t="str">
        <f t="shared" si="5"/>
        <v/>
      </c>
      <c r="J71" s="172" t="str">
        <f t="shared" si="6"/>
        <v/>
      </c>
      <c r="K71" s="172"/>
      <c r="L71" s="172"/>
    </row>
    <row r="72" spans="1:12">
      <c r="A72" s="165"/>
      <c r="B72" s="165"/>
      <c r="C72" s="165"/>
      <c r="D72" s="165"/>
      <c r="E72" s="165"/>
      <c r="F72" s="166"/>
      <c r="G72" s="165"/>
      <c r="H72" s="167"/>
      <c r="I72" s="165" t="str">
        <f t="shared" si="5"/>
        <v/>
      </c>
      <c r="J72" s="168" t="str">
        <f t="shared" si="6"/>
        <v/>
      </c>
      <c r="K72" s="168"/>
      <c r="L72" s="168"/>
    </row>
    <row r="73" spans="1:12">
      <c r="A73" s="169"/>
      <c r="B73" s="169"/>
      <c r="C73" s="169"/>
      <c r="D73" s="169"/>
      <c r="E73" s="169"/>
      <c r="F73" s="170"/>
      <c r="G73" s="169"/>
      <c r="H73" s="171"/>
      <c r="I73" s="169" t="str">
        <f t="shared" si="5"/>
        <v/>
      </c>
      <c r="J73" s="172" t="str">
        <f t="shared" si="6"/>
        <v/>
      </c>
      <c r="K73" s="172"/>
      <c r="L73" s="172"/>
    </row>
    <row r="74" spans="1:12">
      <c r="A74" s="165"/>
      <c r="B74" s="165"/>
      <c r="C74" s="165"/>
      <c r="D74" s="165"/>
      <c r="E74" s="165"/>
      <c r="F74" s="166"/>
      <c r="G74" s="165"/>
      <c r="H74" s="167"/>
      <c r="I74" s="165" t="str">
        <f t="shared" si="5"/>
        <v/>
      </c>
      <c r="J74" s="168" t="str">
        <f t="shared" si="6"/>
        <v/>
      </c>
      <c r="K74" s="168"/>
      <c r="L74" s="168"/>
    </row>
    <row r="75" spans="1:12">
      <c r="A75" s="169"/>
      <c r="B75" s="169"/>
      <c r="C75" s="169"/>
      <c r="D75" s="169"/>
      <c r="E75" s="169"/>
      <c r="F75" s="170"/>
      <c r="G75" s="169"/>
      <c r="H75" s="171"/>
      <c r="I75" s="169" t="str">
        <f t="shared" si="5"/>
        <v/>
      </c>
      <c r="J75" s="172" t="str">
        <f t="shared" si="6"/>
        <v/>
      </c>
      <c r="K75" s="172"/>
      <c r="L75" s="172"/>
    </row>
    <row r="76" spans="1:12">
      <c r="A76" s="165"/>
      <c r="B76" s="165"/>
      <c r="C76" s="165"/>
      <c r="D76" s="165"/>
      <c r="E76" s="165"/>
      <c r="F76" s="166"/>
      <c r="G76" s="165"/>
      <c r="H76" s="167"/>
      <c r="I76" s="165" t="str">
        <f t="shared" si="5"/>
        <v/>
      </c>
      <c r="J76" s="168" t="str">
        <f t="shared" si="6"/>
        <v/>
      </c>
      <c r="K76" s="168"/>
      <c r="L76" s="168"/>
    </row>
    <row r="77" spans="1:12">
      <c r="A77" s="169"/>
      <c r="B77" s="169"/>
      <c r="C77" s="169"/>
      <c r="D77" s="169"/>
      <c r="E77" s="169"/>
      <c r="F77" s="170"/>
      <c r="G77" s="169"/>
      <c r="H77" s="171"/>
      <c r="I77" s="169" t="str">
        <f t="shared" si="5"/>
        <v/>
      </c>
      <c r="J77" s="172" t="str">
        <f t="shared" si="6"/>
        <v/>
      </c>
      <c r="K77" s="172"/>
      <c r="L77" s="172"/>
    </row>
    <row r="78" spans="1:12">
      <c r="A78" s="165"/>
      <c r="B78" s="165"/>
      <c r="C78" s="165"/>
      <c r="D78" s="165"/>
      <c r="E78" s="165"/>
      <c r="F78" s="166"/>
      <c r="G78" s="165"/>
      <c r="H78" s="167"/>
      <c r="I78" s="165" t="str">
        <f t="shared" si="5"/>
        <v/>
      </c>
      <c r="J78" s="168" t="str">
        <f t="shared" si="6"/>
        <v/>
      </c>
      <c r="K78" s="168"/>
      <c r="L78" s="168"/>
    </row>
    <row r="79" spans="1:12">
      <c r="A79" s="169"/>
      <c r="B79" s="169"/>
      <c r="C79" s="169"/>
      <c r="D79" s="169"/>
      <c r="E79" s="169"/>
      <c r="F79" s="170"/>
      <c r="G79" s="169"/>
      <c r="H79" s="171"/>
      <c r="I79" s="169" t="str">
        <f t="shared" si="5"/>
        <v/>
      </c>
      <c r="J79" s="172" t="str">
        <f t="shared" si="6"/>
        <v/>
      </c>
      <c r="K79" s="172"/>
      <c r="L79" s="172"/>
    </row>
    <row r="80" spans="1:12">
      <c r="A80" s="165"/>
      <c r="B80" s="165"/>
      <c r="C80" s="165"/>
      <c r="D80" s="165"/>
      <c r="E80" s="165"/>
      <c r="F80" s="166"/>
      <c r="G80" s="165"/>
      <c r="H80" s="167"/>
      <c r="I80" s="165" t="str">
        <f t="shared" si="5"/>
        <v/>
      </c>
      <c r="J80" s="168" t="str">
        <f t="shared" si="6"/>
        <v/>
      </c>
      <c r="K80" s="168"/>
      <c r="L80" s="168"/>
    </row>
    <row r="81" spans="1:12">
      <c r="A81" s="169"/>
      <c r="B81" s="169"/>
      <c r="C81" s="169"/>
      <c r="D81" s="169"/>
      <c r="E81" s="169"/>
      <c r="F81" s="170"/>
      <c r="G81" s="169"/>
      <c r="H81" s="171"/>
      <c r="I81" s="169" t="str">
        <f t="shared" si="5"/>
        <v/>
      </c>
      <c r="J81" s="172" t="str">
        <f t="shared" si="6"/>
        <v/>
      </c>
      <c r="K81" s="172"/>
      <c r="L81" s="172"/>
    </row>
    <row r="82" spans="1:12">
      <c r="A82" s="165"/>
      <c r="B82" s="165"/>
      <c r="C82" s="165"/>
      <c r="D82" s="165"/>
      <c r="E82" s="165"/>
      <c r="F82" s="166"/>
      <c r="G82" s="165"/>
      <c r="H82" s="167"/>
      <c r="I82" s="165" t="str">
        <f t="shared" si="5"/>
        <v/>
      </c>
      <c r="J82" s="168" t="str">
        <f t="shared" si="6"/>
        <v/>
      </c>
      <c r="K82" s="168"/>
      <c r="L82" s="168"/>
    </row>
    <row r="83" spans="1:12">
      <c r="A83" s="169"/>
      <c r="B83" s="169"/>
      <c r="C83" s="169"/>
      <c r="D83" s="169"/>
      <c r="E83" s="169"/>
      <c r="F83" s="170"/>
      <c r="G83" s="169"/>
      <c r="H83" s="171"/>
      <c r="I83" s="169" t="str">
        <f t="shared" si="5"/>
        <v/>
      </c>
      <c r="J83" s="172" t="str">
        <f t="shared" si="6"/>
        <v/>
      </c>
      <c r="K83" s="172"/>
      <c r="L83" s="172"/>
    </row>
    <row r="84" spans="1:12">
      <c r="A84" s="165"/>
      <c r="B84" s="165"/>
      <c r="C84" s="165"/>
      <c r="D84" s="165"/>
      <c r="E84" s="165"/>
      <c r="F84" s="166"/>
      <c r="G84" s="165"/>
      <c r="H84" s="167"/>
      <c r="I84" s="165" t="str">
        <f t="shared" si="5"/>
        <v/>
      </c>
      <c r="J84" s="168" t="str">
        <f t="shared" si="6"/>
        <v/>
      </c>
      <c r="K84" s="168"/>
      <c r="L84" s="168"/>
    </row>
    <row r="85" spans="1:12">
      <c r="A85" s="169"/>
      <c r="B85" s="169"/>
      <c r="C85" s="169"/>
      <c r="D85" s="169"/>
      <c r="E85" s="169"/>
      <c r="F85" s="170"/>
      <c r="G85" s="169"/>
      <c r="H85" s="171"/>
      <c r="I85" s="169" t="str">
        <f t="shared" si="5"/>
        <v/>
      </c>
      <c r="J85" s="172" t="str">
        <f t="shared" si="6"/>
        <v/>
      </c>
      <c r="K85" s="172"/>
      <c r="L85" s="172"/>
    </row>
    <row r="86" spans="1:12">
      <c r="A86" s="165"/>
      <c r="B86" s="165"/>
      <c r="C86" s="165"/>
      <c r="D86" s="165"/>
      <c r="E86" s="165"/>
      <c r="F86" s="166"/>
      <c r="G86" s="165"/>
      <c r="H86" s="167"/>
      <c r="I86" s="165" t="str">
        <f t="shared" si="5"/>
        <v/>
      </c>
      <c r="J86" s="168" t="str">
        <f t="shared" si="6"/>
        <v/>
      </c>
      <c r="K86" s="168"/>
      <c r="L86" s="168"/>
    </row>
    <row r="87" spans="1:12">
      <c r="A87" s="169"/>
      <c r="B87" s="169"/>
      <c r="C87" s="169"/>
      <c r="D87" s="169"/>
      <c r="E87" s="169"/>
      <c r="F87" s="170"/>
      <c r="G87" s="169"/>
      <c r="H87" s="171"/>
      <c r="I87" s="169" t="str">
        <f t="shared" si="5"/>
        <v/>
      </c>
      <c r="J87" s="172" t="str">
        <f t="shared" si="6"/>
        <v/>
      </c>
      <c r="K87" s="172"/>
      <c r="L87" s="172"/>
    </row>
    <row r="88" spans="1:12">
      <c r="A88" s="165"/>
      <c r="B88" s="165"/>
      <c r="C88" s="165"/>
      <c r="D88" s="165"/>
      <c r="E88" s="165"/>
      <c r="F88" s="166"/>
      <c r="G88" s="165"/>
      <c r="H88" s="167"/>
      <c r="I88" s="165" t="str">
        <f t="shared" si="5"/>
        <v/>
      </c>
      <c r="J88" s="168" t="str">
        <f t="shared" si="6"/>
        <v/>
      </c>
      <c r="K88" s="168"/>
      <c r="L88" s="168"/>
    </row>
    <row r="89" spans="1:12">
      <c r="A89" s="169"/>
      <c r="B89" s="169"/>
      <c r="C89" s="169"/>
      <c r="D89" s="169"/>
      <c r="E89" s="169"/>
      <c r="F89" s="170"/>
      <c r="G89" s="169"/>
      <c r="H89" s="171"/>
      <c r="I89" s="169" t="str">
        <f t="shared" si="5"/>
        <v/>
      </c>
      <c r="J89" s="172" t="str">
        <f t="shared" si="6"/>
        <v/>
      </c>
      <c r="K89" s="172"/>
      <c r="L89" s="172"/>
    </row>
    <row r="90" spans="1:12">
      <c r="A90" s="165"/>
      <c r="B90" s="165"/>
      <c r="C90" s="165"/>
      <c r="D90" s="165"/>
      <c r="E90" s="165"/>
      <c r="F90" s="166"/>
      <c r="G90" s="165"/>
      <c r="H90" s="167"/>
      <c r="I90" s="165" t="str">
        <f t="shared" si="5"/>
        <v/>
      </c>
      <c r="J90" s="168" t="str">
        <f t="shared" si="6"/>
        <v/>
      </c>
      <c r="K90" s="168"/>
      <c r="L90" s="168"/>
    </row>
    <row r="91" spans="1:12">
      <c r="A91" s="169"/>
      <c r="B91" s="169"/>
      <c r="C91" s="169"/>
      <c r="D91" s="169"/>
      <c r="E91" s="169"/>
      <c r="F91" s="170"/>
      <c r="G91" s="169"/>
      <c r="H91" s="171"/>
      <c r="I91" s="169" t="str">
        <f t="shared" si="5"/>
        <v/>
      </c>
      <c r="J91" s="172" t="str">
        <f t="shared" si="6"/>
        <v/>
      </c>
      <c r="K91" s="172"/>
      <c r="L91" s="172"/>
    </row>
    <row r="92" spans="1:12">
      <c r="A92" s="165"/>
      <c r="B92" s="165"/>
      <c r="C92" s="165"/>
      <c r="D92" s="165"/>
      <c r="E92" s="165"/>
      <c r="F92" s="166"/>
      <c r="G92" s="165"/>
      <c r="H92" s="167"/>
      <c r="I92" s="165" t="str">
        <f t="shared" si="5"/>
        <v/>
      </c>
      <c r="J92" s="168" t="str">
        <f t="shared" si="6"/>
        <v/>
      </c>
      <c r="K92" s="168"/>
      <c r="L92" s="168"/>
    </row>
    <row r="93" spans="1:12">
      <c r="A93" s="169"/>
      <c r="B93" s="169"/>
      <c r="C93" s="169"/>
      <c r="D93" s="169"/>
      <c r="E93" s="169"/>
      <c r="F93" s="170"/>
      <c r="G93" s="169"/>
      <c r="H93" s="171"/>
      <c r="I93" s="169" t="str">
        <f t="shared" si="5"/>
        <v/>
      </c>
      <c r="J93" s="172" t="str">
        <f t="shared" si="6"/>
        <v/>
      </c>
      <c r="K93" s="172"/>
      <c r="L93" s="172"/>
    </row>
    <row r="94" spans="1:12">
      <c r="A94" s="165"/>
      <c r="B94" s="165"/>
      <c r="C94" s="165"/>
      <c r="D94" s="165"/>
      <c r="E94" s="165"/>
      <c r="F94" s="166"/>
      <c r="G94" s="165"/>
      <c r="H94" s="167"/>
      <c r="I94" s="165" t="str">
        <f t="shared" si="5"/>
        <v/>
      </c>
      <c r="J94" s="168" t="str">
        <f t="shared" si="6"/>
        <v/>
      </c>
      <c r="K94" s="168"/>
      <c r="L94" s="168"/>
    </row>
    <row r="95" spans="1:12">
      <c r="A95" s="169"/>
      <c r="B95" s="169"/>
      <c r="C95" s="169"/>
      <c r="D95" s="169"/>
      <c r="E95" s="169"/>
      <c r="F95" s="170"/>
      <c r="G95" s="169"/>
      <c r="H95" s="171"/>
      <c r="I95" s="169" t="str">
        <f t="shared" si="5"/>
        <v/>
      </c>
      <c r="J95" s="172" t="str">
        <f t="shared" si="6"/>
        <v/>
      </c>
      <c r="K95" s="172"/>
      <c r="L95" s="172"/>
    </row>
    <row r="96" spans="1:12">
      <c r="A96" s="165"/>
      <c r="B96" s="165"/>
      <c r="C96" s="165"/>
      <c r="D96" s="165"/>
      <c r="E96" s="165"/>
      <c r="F96" s="166"/>
      <c r="G96" s="165"/>
      <c r="H96" s="167"/>
      <c r="I96" s="165" t="str">
        <f t="shared" si="5"/>
        <v/>
      </c>
      <c r="J96" s="168" t="str">
        <f t="shared" si="6"/>
        <v/>
      </c>
      <c r="K96" s="168"/>
      <c r="L96" s="168"/>
    </row>
    <row r="97" spans="1:12">
      <c r="A97" s="169"/>
      <c r="B97" s="169"/>
      <c r="C97" s="169"/>
      <c r="D97" s="169"/>
      <c r="E97" s="169"/>
      <c r="F97" s="170"/>
      <c r="G97" s="169"/>
      <c r="H97" s="171"/>
      <c r="I97" s="169" t="str">
        <f t="shared" si="5"/>
        <v/>
      </c>
      <c r="J97" s="172" t="str">
        <f t="shared" si="6"/>
        <v/>
      </c>
      <c r="K97" s="172"/>
      <c r="L97" s="172"/>
    </row>
    <row r="98" spans="1:12">
      <c r="A98" s="165"/>
      <c r="B98" s="165"/>
      <c r="C98" s="165"/>
      <c r="D98" s="165"/>
      <c r="E98" s="165"/>
      <c r="F98" s="166"/>
      <c r="G98" s="165"/>
      <c r="H98" s="167"/>
      <c r="I98" s="165" t="str">
        <f t="shared" si="5"/>
        <v/>
      </c>
      <c r="J98" s="168" t="str">
        <f t="shared" si="6"/>
        <v/>
      </c>
      <c r="K98" s="168"/>
      <c r="L98" s="168"/>
    </row>
    <row r="99" spans="1:12">
      <c r="A99" s="169"/>
      <c r="B99" s="169"/>
      <c r="C99" s="169"/>
      <c r="D99" s="169"/>
      <c r="E99" s="169"/>
      <c r="F99" s="170"/>
      <c r="G99" s="169"/>
      <c r="H99" s="171"/>
      <c r="I99" s="169" t="str">
        <f t="shared" si="5"/>
        <v/>
      </c>
      <c r="J99" s="172" t="str">
        <f t="shared" si="6"/>
        <v/>
      </c>
      <c r="K99" s="172"/>
      <c r="L99" s="172"/>
    </row>
    <row r="100" spans="1:12">
      <c r="A100" s="165"/>
      <c r="B100" s="165"/>
      <c r="C100" s="165"/>
      <c r="D100" s="165"/>
      <c r="E100" s="165"/>
      <c r="F100" s="166"/>
      <c r="G100" s="165"/>
      <c r="H100" s="167"/>
      <c r="I100" s="165" t="str">
        <f t="shared" si="5"/>
        <v/>
      </c>
      <c r="J100" s="168" t="str">
        <f t="shared" si="6"/>
        <v/>
      </c>
      <c r="K100" s="168"/>
      <c r="L100" s="168"/>
    </row>
    <row r="101" spans="1:12">
      <c r="A101" s="169"/>
      <c r="B101" s="169"/>
      <c r="C101" s="169"/>
      <c r="D101" s="169"/>
      <c r="E101" s="169"/>
      <c r="F101" s="170"/>
      <c r="G101" s="169"/>
      <c r="H101" s="171"/>
      <c r="I101" s="169" t="str">
        <f t="shared" si="5"/>
        <v/>
      </c>
      <c r="J101" s="172" t="str">
        <f t="shared" si="6"/>
        <v/>
      </c>
      <c r="K101" s="172"/>
      <c r="L101" s="172"/>
    </row>
    <row r="102" spans="1:12">
      <c r="A102" s="165"/>
      <c r="B102" s="165"/>
      <c r="C102" s="165"/>
      <c r="D102" s="165"/>
      <c r="E102" s="165"/>
      <c r="F102" s="166"/>
      <c r="G102" s="165"/>
      <c r="H102" s="167"/>
      <c r="I102" s="165" t="str">
        <f t="shared" si="5"/>
        <v/>
      </c>
      <c r="J102" s="168" t="str">
        <f t="shared" si="6"/>
        <v/>
      </c>
      <c r="K102" s="168"/>
      <c r="L102" s="168"/>
    </row>
    <row r="103" spans="1:12">
      <c r="A103" s="169"/>
      <c r="B103" s="169"/>
      <c r="C103" s="169"/>
      <c r="D103" s="169"/>
      <c r="E103" s="169"/>
      <c r="F103" s="170"/>
      <c r="G103" s="169"/>
      <c r="H103" s="171"/>
      <c r="I103" s="169" t="str">
        <f t="shared" si="5"/>
        <v/>
      </c>
      <c r="J103" s="172" t="str">
        <f t="shared" si="6"/>
        <v/>
      </c>
      <c r="K103" s="172"/>
      <c r="L103" s="172"/>
    </row>
    <row r="104" spans="1:12">
      <c r="A104" s="165"/>
      <c r="B104" s="165"/>
      <c r="C104" s="165"/>
      <c r="D104" s="165"/>
      <c r="E104" s="165"/>
      <c r="F104" s="166"/>
      <c r="G104" s="165"/>
      <c r="H104" s="167"/>
      <c r="I104" s="165" t="str">
        <f t="shared" si="5"/>
        <v/>
      </c>
      <c r="J104" s="168" t="str">
        <f t="shared" si="6"/>
        <v/>
      </c>
      <c r="K104" s="168"/>
      <c r="L104" s="168"/>
    </row>
    <row r="105" spans="1:12">
      <c r="A105" s="169"/>
      <c r="B105" s="169"/>
      <c r="C105" s="169"/>
      <c r="D105" s="169"/>
      <c r="E105" s="169"/>
      <c r="F105" s="170"/>
      <c r="G105" s="169"/>
      <c r="H105" s="171"/>
      <c r="I105" s="169" t="str">
        <f t="shared" si="5"/>
        <v/>
      </c>
      <c r="J105" s="172" t="str">
        <f t="shared" si="6"/>
        <v/>
      </c>
      <c r="K105" s="172"/>
      <c r="L105" s="172"/>
    </row>
    <row r="106" spans="1:12">
      <c r="A106" s="165"/>
      <c r="B106" s="165"/>
      <c r="C106" s="165"/>
      <c r="D106" s="165"/>
      <c r="E106" s="165"/>
      <c r="F106" s="166"/>
      <c r="G106" s="165"/>
      <c r="H106" s="167"/>
      <c r="I106" s="165" t="str">
        <f t="shared" si="5"/>
        <v/>
      </c>
      <c r="J106" s="168" t="str">
        <f t="shared" si="6"/>
        <v/>
      </c>
      <c r="K106" s="168"/>
      <c r="L106" s="168"/>
    </row>
    <row r="107" spans="1:12">
      <c r="A107" s="169"/>
      <c r="B107" s="169"/>
      <c r="C107" s="169"/>
      <c r="D107" s="169"/>
      <c r="E107" s="169"/>
      <c r="F107" s="170"/>
      <c r="G107" s="169"/>
      <c r="H107" s="171"/>
      <c r="I107" s="169" t="str">
        <f t="shared" si="5"/>
        <v/>
      </c>
      <c r="J107" s="172" t="str">
        <f t="shared" si="6"/>
        <v/>
      </c>
      <c r="K107" s="172"/>
      <c r="L107" s="172"/>
    </row>
    <row r="108" spans="1:12">
      <c r="A108" s="165"/>
      <c r="B108" s="165"/>
      <c r="C108" s="165"/>
      <c r="D108" s="165"/>
      <c r="E108" s="165"/>
      <c r="F108" s="166"/>
      <c r="G108" s="165"/>
      <c r="H108" s="167"/>
      <c r="I108" s="165" t="str">
        <f t="shared" si="5"/>
        <v/>
      </c>
      <c r="J108" s="168" t="str">
        <f t="shared" si="6"/>
        <v/>
      </c>
      <c r="K108" s="168"/>
      <c r="L108" s="168"/>
    </row>
    <row r="109" spans="1:12">
      <c r="A109" s="169"/>
      <c r="B109" s="169"/>
      <c r="C109" s="169"/>
      <c r="D109" s="169"/>
      <c r="E109" s="169"/>
      <c r="F109" s="170"/>
      <c r="G109" s="169"/>
      <c r="H109" s="171"/>
      <c r="I109" s="169" t="str">
        <f t="shared" si="5"/>
        <v/>
      </c>
      <c r="J109" s="172" t="str">
        <f t="shared" si="6"/>
        <v/>
      </c>
      <c r="K109" s="172"/>
      <c r="L109" s="172"/>
    </row>
    <row r="110" spans="1:12">
      <c r="A110" s="165"/>
      <c r="B110" s="165"/>
      <c r="C110" s="165"/>
      <c r="D110" s="165"/>
      <c r="E110" s="165"/>
      <c r="F110" s="166"/>
      <c r="G110" s="165"/>
      <c r="H110" s="167"/>
      <c r="I110" s="165" t="str">
        <f t="shared" si="5"/>
        <v/>
      </c>
      <c r="J110" s="168" t="str">
        <f t="shared" si="6"/>
        <v/>
      </c>
      <c r="K110" s="168"/>
      <c r="L110" s="168"/>
    </row>
    <row r="111" spans="1:12">
      <c r="A111" s="169"/>
      <c r="B111" s="169"/>
      <c r="C111" s="169"/>
      <c r="D111" s="169"/>
      <c r="E111" s="169"/>
      <c r="F111" s="170"/>
      <c r="G111" s="169"/>
      <c r="H111" s="171"/>
      <c r="I111" s="169" t="str">
        <f t="shared" si="5"/>
        <v/>
      </c>
      <c r="J111" s="172" t="str">
        <f t="shared" si="6"/>
        <v/>
      </c>
      <c r="K111" s="172"/>
      <c r="L111" s="172"/>
    </row>
    <row r="112" spans="1:12">
      <c r="A112" s="165"/>
      <c r="B112" s="165"/>
      <c r="C112" s="165"/>
      <c r="D112" s="165"/>
      <c r="E112" s="165"/>
      <c r="F112" s="166"/>
      <c r="G112" s="165"/>
      <c r="H112" s="167"/>
      <c r="I112" s="165" t="str">
        <f t="shared" si="5"/>
        <v/>
      </c>
      <c r="J112" s="168" t="str">
        <f t="shared" si="6"/>
        <v/>
      </c>
      <c r="K112" s="168"/>
      <c r="L112" s="168"/>
    </row>
    <row r="113" spans="1:12">
      <c r="A113" s="169"/>
      <c r="B113" s="169"/>
      <c r="C113" s="169"/>
      <c r="D113" s="169"/>
      <c r="E113" s="169"/>
      <c r="F113" s="170"/>
      <c r="G113" s="169"/>
      <c r="H113" s="171"/>
      <c r="I113" s="169" t="str">
        <f t="shared" si="5"/>
        <v/>
      </c>
      <c r="J113" s="172" t="str">
        <f t="shared" si="6"/>
        <v/>
      </c>
      <c r="K113" s="172"/>
      <c r="L113" s="172"/>
    </row>
    <row r="114" spans="1:12">
      <c r="A114" s="165"/>
      <c r="B114" s="165"/>
      <c r="C114" s="165"/>
      <c r="D114" s="165"/>
      <c r="E114" s="165"/>
      <c r="F114" s="166"/>
      <c r="G114" s="165"/>
      <c r="H114" s="167"/>
      <c r="I114" s="165" t="str">
        <f t="shared" si="5"/>
        <v/>
      </c>
      <c r="J114" s="168" t="str">
        <f t="shared" si="6"/>
        <v/>
      </c>
      <c r="K114" s="168"/>
      <c r="L114" s="168"/>
    </row>
    <row r="115" spans="1:12">
      <c r="A115" s="169"/>
      <c r="B115" s="169"/>
      <c r="C115" s="169"/>
      <c r="D115" s="169"/>
      <c r="E115" s="169"/>
      <c r="F115" s="170"/>
      <c r="G115" s="169"/>
      <c r="H115" s="171"/>
      <c r="I115" s="169" t="str">
        <f t="shared" si="5"/>
        <v/>
      </c>
      <c r="J115" s="172" t="str">
        <f t="shared" si="6"/>
        <v/>
      </c>
      <c r="K115" s="172"/>
      <c r="L115" s="172"/>
    </row>
    <row r="116" spans="1:12">
      <c r="A116" s="165"/>
      <c r="B116" s="165"/>
      <c r="C116" s="165"/>
      <c r="D116" s="165"/>
      <c r="E116" s="165"/>
      <c r="F116" s="166"/>
      <c r="G116" s="165"/>
      <c r="H116" s="167"/>
      <c r="I116" s="165" t="str">
        <f t="shared" si="5"/>
        <v/>
      </c>
      <c r="J116" s="168" t="str">
        <f t="shared" si="6"/>
        <v/>
      </c>
      <c r="K116" s="168"/>
      <c r="L116" s="168"/>
    </row>
    <row r="117" spans="1:12">
      <c r="A117" s="169"/>
      <c r="B117" s="169"/>
      <c r="C117" s="169"/>
      <c r="D117" s="169"/>
      <c r="E117" s="169"/>
      <c r="F117" s="170"/>
      <c r="G117" s="169"/>
      <c r="H117" s="171"/>
      <c r="I117" s="169" t="str">
        <f t="shared" si="5"/>
        <v/>
      </c>
      <c r="J117" s="172" t="str">
        <f t="shared" si="6"/>
        <v/>
      </c>
      <c r="K117" s="172"/>
      <c r="L117" s="172"/>
    </row>
    <row r="118" spans="1:12">
      <c r="A118" s="165"/>
      <c r="B118" s="165"/>
      <c r="C118" s="165"/>
      <c r="D118" s="165"/>
      <c r="E118" s="165"/>
      <c r="F118" s="166"/>
      <c r="G118" s="165"/>
      <c r="H118" s="167"/>
      <c r="I118" s="165" t="str">
        <f t="shared" si="5"/>
        <v/>
      </c>
      <c r="J118" s="168" t="str">
        <f t="shared" si="6"/>
        <v/>
      </c>
      <c r="K118" s="168"/>
      <c r="L118" s="168"/>
    </row>
    <row r="119" spans="1:12">
      <c r="A119" s="169"/>
      <c r="B119" s="169"/>
      <c r="C119" s="169"/>
      <c r="D119" s="169"/>
      <c r="E119" s="169"/>
      <c r="F119" s="170"/>
      <c r="G119" s="169"/>
      <c r="H119" s="171"/>
      <c r="I119" s="169" t="str">
        <f t="shared" si="5"/>
        <v/>
      </c>
      <c r="J119" s="172" t="str">
        <f t="shared" si="6"/>
        <v/>
      </c>
      <c r="K119" s="172"/>
      <c r="L119" s="172"/>
    </row>
    <row r="120" spans="1:12">
      <c r="A120" s="165"/>
      <c r="B120" s="165"/>
      <c r="C120" s="165"/>
      <c r="D120" s="165"/>
      <c r="E120" s="165"/>
      <c r="F120" s="166"/>
      <c r="G120" s="165"/>
      <c r="H120" s="167"/>
      <c r="I120" s="165" t="str">
        <f t="shared" si="5"/>
        <v/>
      </c>
      <c r="J120" s="168" t="str">
        <f t="shared" si="6"/>
        <v/>
      </c>
      <c r="K120" s="168"/>
      <c r="L120" s="168"/>
    </row>
    <row r="121" spans="1:12">
      <c r="A121" s="169"/>
      <c r="B121" s="169"/>
      <c r="C121" s="169"/>
      <c r="D121" s="169"/>
      <c r="E121" s="169"/>
      <c r="F121" s="170"/>
      <c r="G121" s="169"/>
      <c r="H121" s="171"/>
      <c r="I121" s="169" t="str">
        <f t="shared" si="5"/>
        <v/>
      </c>
      <c r="J121" s="172" t="str">
        <f t="shared" si="6"/>
        <v/>
      </c>
      <c r="K121" s="172"/>
      <c r="L121" s="172"/>
    </row>
    <row r="122" spans="1:12">
      <c r="A122" s="165"/>
      <c r="B122" s="165"/>
      <c r="C122" s="165"/>
      <c r="D122" s="165"/>
      <c r="E122" s="165"/>
      <c r="F122" s="166"/>
      <c r="G122" s="165"/>
      <c r="H122" s="167"/>
      <c r="I122" s="165" t="str">
        <f t="shared" si="5"/>
        <v/>
      </c>
      <c r="J122" s="168" t="str">
        <f t="shared" si="6"/>
        <v/>
      </c>
      <c r="K122" s="168"/>
      <c r="L122" s="168"/>
    </row>
    <row r="123" spans="1:12">
      <c r="A123" s="169"/>
      <c r="B123" s="169"/>
      <c r="C123" s="169"/>
      <c r="D123" s="169"/>
      <c r="E123" s="169"/>
      <c r="F123" s="170"/>
      <c r="G123" s="169"/>
      <c r="H123" s="171"/>
      <c r="I123" s="169" t="str">
        <f t="shared" si="5"/>
        <v/>
      </c>
      <c r="J123" s="172" t="str">
        <f t="shared" si="6"/>
        <v/>
      </c>
      <c r="K123" s="172"/>
      <c r="L123" s="172"/>
    </row>
    <row r="124" spans="1:12">
      <c r="A124" s="165"/>
      <c r="B124" s="165"/>
      <c r="C124" s="165"/>
      <c r="D124" s="165"/>
      <c r="E124" s="165"/>
      <c r="F124" s="166"/>
      <c r="G124" s="165"/>
      <c r="H124" s="167"/>
      <c r="I124" s="165" t="str">
        <f t="shared" si="5"/>
        <v/>
      </c>
      <c r="J124" s="168" t="str">
        <f t="shared" si="6"/>
        <v/>
      </c>
      <c r="K124" s="168"/>
      <c r="L124" s="168"/>
    </row>
    <row r="125" spans="1:12">
      <c r="A125" s="169"/>
      <c r="B125" s="169"/>
      <c r="C125" s="169"/>
      <c r="D125" s="169"/>
      <c r="E125" s="169"/>
      <c r="F125" s="170"/>
      <c r="G125" s="169"/>
      <c r="H125" s="171"/>
      <c r="I125" s="169" t="str">
        <f t="shared" si="5"/>
        <v/>
      </c>
      <c r="J125" s="172" t="str">
        <f t="shared" si="6"/>
        <v/>
      </c>
      <c r="K125" s="172"/>
      <c r="L125" s="172"/>
    </row>
    <row r="126" spans="1:12">
      <c r="A126" s="165"/>
      <c r="B126" s="165"/>
      <c r="C126" s="165"/>
      <c r="D126" s="165"/>
      <c r="E126" s="165"/>
      <c r="F126" s="166"/>
      <c r="G126" s="165"/>
      <c r="H126" s="167"/>
      <c r="I126" s="165" t="str">
        <f t="shared" si="5"/>
        <v/>
      </c>
      <c r="J126" s="168" t="str">
        <f t="shared" si="6"/>
        <v/>
      </c>
      <c r="K126" s="168"/>
      <c r="L126" s="168"/>
    </row>
    <row r="127" spans="1:12">
      <c r="A127" s="169"/>
      <c r="B127" s="169"/>
      <c r="C127" s="169"/>
      <c r="D127" s="169"/>
      <c r="E127" s="169"/>
      <c r="F127" s="170"/>
      <c r="G127" s="169"/>
      <c r="H127" s="171"/>
      <c r="I127" s="169" t="str">
        <f t="shared" si="5"/>
        <v/>
      </c>
      <c r="J127" s="172" t="str">
        <f t="shared" si="6"/>
        <v/>
      </c>
      <c r="K127" s="172"/>
      <c r="L127" s="172"/>
    </row>
    <row r="128" spans="1:12">
      <c r="A128" s="165"/>
      <c r="B128" s="165"/>
      <c r="C128" s="165"/>
      <c r="D128" s="165"/>
      <c r="E128" s="165"/>
      <c r="F128" s="166"/>
      <c r="G128" s="165"/>
      <c r="H128" s="167"/>
      <c r="I128" s="165" t="str">
        <f t="shared" si="5"/>
        <v/>
      </c>
      <c r="J128" s="168" t="str">
        <f t="shared" si="6"/>
        <v/>
      </c>
      <c r="K128" s="168"/>
      <c r="L128" s="168"/>
    </row>
    <row r="129" spans="1:12">
      <c r="A129" s="169"/>
      <c r="B129" s="169"/>
      <c r="C129" s="169"/>
      <c r="D129" s="169"/>
      <c r="E129" s="169"/>
      <c r="F129" s="170"/>
      <c r="G129" s="169"/>
      <c r="H129" s="171"/>
      <c r="I129" s="169" t="str">
        <f t="shared" si="5"/>
        <v/>
      </c>
      <c r="J129" s="172" t="str">
        <f t="shared" si="6"/>
        <v/>
      </c>
      <c r="K129" s="172"/>
      <c r="L129" s="172"/>
    </row>
    <row r="130" spans="1:12">
      <c r="A130" s="165"/>
      <c r="B130" s="165"/>
      <c r="C130" s="165"/>
      <c r="D130" s="165"/>
      <c r="E130" s="165"/>
      <c r="F130" s="166"/>
      <c r="G130" s="165"/>
      <c r="H130" s="167"/>
      <c r="I130" s="165" t="str">
        <f t="shared" ref="I130:I193" si="7">IFERROR(IF(H130="","",DATEVALUE(MID(H130,6,11))),"Check date format")</f>
        <v/>
      </c>
      <c r="J130" s="168" t="str">
        <f t="shared" si="6"/>
        <v/>
      </c>
      <c r="K130" s="168"/>
      <c r="L130" s="168"/>
    </row>
    <row r="131" spans="1:12">
      <c r="A131" s="169"/>
      <c r="B131" s="169"/>
      <c r="C131" s="169"/>
      <c r="D131" s="169"/>
      <c r="E131" s="169"/>
      <c r="F131" s="170"/>
      <c r="G131" s="169"/>
      <c r="H131" s="171"/>
      <c r="I131" s="169" t="str">
        <f t="shared" si="7"/>
        <v/>
      </c>
      <c r="J131" s="172" t="str">
        <f t="shared" ref="J131:J194" si="8">IF(OR(F131="",I131=""),"",F131+IF(I131=I130,N(J130),0))</f>
        <v/>
      </c>
      <c r="K131" s="172"/>
      <c r="L131" s="172"/>
    </row>
    <row r="132" spans="1:12">
      <c r="A132" s="165"/>
      <c r="B132" s="165"/>
      <c r="C132" s="165"/>
      <c r="D132" s="165"/>
      <c r="E132" s="165"/>
      <c r="F132" s="166"/>
      <c r="G132" s="165"/>
      <c r="H132" s="167"/>
      <c r="I132" s="165" t="str">
        <f t="shared" si="7"/>
        <v/>
      </c>
      <c r="J132" s="168" t="str">
        <f t="shared" si="8"/>
        <v/>
      </c>
      <c r="K132" s="168"/>
      <c r="L132" s="168"/>
    </row>
    <row r="133" spans="1:12">
      <c r="A133" s="169"/>
      <c r="B133" s="169"/>
      <c r="C133" s="169"/>
      <c r="D133" s="169"/>
      <c r="E133" s="169"/>
      <c r="F133" s="170"/>
      <c r="G133" s="169"/>
      <c r="H133" s="171"/>
      <c r="I133" s="169" t="str">
        <f t="shared" si="7"/>
        <v/>
      </c>
      <c r="J133" s="172" t="str">
        <f t="shared" si="8"/>
        <v/>
      </c>
      <c r="K133" s="172"/>
      <c r="L133" s="172"/>
    </row>
    <row r="134" spans="1:12">
      <c r="A134" s="165"/>
      <c r="B134" s="165"/>
      <c r="C134" s="165"/>
      <c r="D134" s="165"/>
      <c r="E134" s="165"/>
      <c r="F134" s="166"/>
      <c r="G134" s="165"/>
      <c r="H134" s="167"/>
      <c r="I134" s="165" t="str">
        <f t="shared" si="7"/>
        <v/>
      </c>
      <c r="J134" s="168" t="str">
        <f t="shared" si="8"/>
        <v/>
      </c>
      <c r="K134" s="168"/>
      <c r="L134" s="168"/>
    </row>
    <row r="135" spans="1:12">
      <c r="A135" s="169"/>
      <c r="B135" s="169"/>
      <c r="C135" s="169"/>
      <c r="D135" s="169"/>
      <c r="E135" s="169"/>
      <c r="F135" s="170"/>
      <c r="G135" s="169"/>
      <c r="H135" s="171"/>
      <c r="I135" s="169" t="str">
        <f t="shared" si="7"/>
        <v/>
      </c>
      <c r="J135" s="172" t="str">
        <f t="shared" si="8"/>
        <v/>
      </c>
      <c r="K135" s="172"/>
      <c r="L135" s="172"/>
    </row>
    <row r="136" spans="1:12">
      <c r="A136" s="165"/>
      <c r="B136" s="165"/>
      <c r="C136" s="165"/>
      <c r="D136" s="165"/>
      <c r="E136" s="165"/>
      <c r="F136" s="166"/>
      <c r="G136" s="165"/>
      <c r="H136" s="167"/>
      <c r="I136" s="165" t="str">
        <f t="shared" si="7"/>
        <v/>
      </c>
      <c r="J136" s="168" t="str">
        <f t="shared" si="8"/>
        <v/>
      </c>
      <c r="K136" s="168"/>
      <c r="L136" s="168"/>
    </row>
    <row r="137" spans="1:12">
      <c r="A137" s="169"/>
      <c r="B137" s="169"/>
      <c r="C137" s="169"/>
      <c r="D137" s="169"/>
      <c r="E137" s="169"/>
      <c r="F137" s="170"/>
      <c r="G137" s="169"/>
      <c r="H137" s="171"/>
      <c r="I137" s="169" t="str">
        <f t="shared" si="7"/>
        <v/>
      </c>
      <c r="J137" s="172" t="str">
        <f t="shared" si="8"/>
        <v/>
      </c>
      <c r="K137" s="172"/>
      <c r="L137" s="172"/>
    </row>
    <row r="138" spans="1:12">
      <c r="A138" s="165"/>
      <c r="B138" s="165"/>
      <c r="C138" s="165"/>
      <c r="D138" s="165"/>
      <c r="E138" s="165"/>
      <c r="F138" s="166"/>
      <c r="G138" s="165"/>
      <c r="H138" s="167"/>
      <c r="I138" s="165" t="str">
        <f t="shared" si="7"/>
        <v/>
      </c>
      <c r="J138" s="168" t="str">
        <f t="shared" si="8"/>
        <v/>
      </c>
      <c r="K138" s="168"/>
      <c r="L138" s="168"/>
    </row>
    <row r="139" spans="1:12">
      <c r="A139" s="169"/>
      <c r="B139" s="169"/>
      <c r="C139" s="169"/>
      <c r="D139" s="169"/>
      <c r="E139" s="169"/>
      <c r="F139" s="170"/>
      <c r="G139" s="169"/>
      <c r="H139" s="171"/>
      <c r="I139" s="169" t="str">
        <f t="shared" si="7"/>
        <v/>
      </c>
      <c r="J139" s="172" t="str">
        <f t="shared" si="8"/>
        <v/>
      </c>
      <c r="K139" s="172"/>
      <c r="L139" s="172"/>
    </row>
    <row r="140" spans="1:12">
      <c r="A140" s="165"/>
      <c r="B140" s="165"/>
      <c r="C140" s="165"/>
      <c r="D140" s="165"/>
      <c r="E140" s="165"/>
      <c r="F140" s="166"/>
      <c r="G140" s="165"/>
      <c r="H140" s="167"/>
      <c r="I140" s="165" t="str">
        <f t="shared" si="7"/>
        <v/>
      </c>
      <c r="J140" s="168" t="str">
        <f t="shared" si="8"/>
        <v/>
      </c>
      <c r="K140" s="168"/>
      <c r="L140" s="168"/>
    </row>
    <row r="141" spans="1:12">
      <c r="A141" s="169"/>
      <c r="B141" s="169"/>
      <c r="C141" s="169"/>
      <c r="D141" s="169"/>
      <c r="E141" s="169"/>
      <c r="F141" s="170"/>
      <c r="G141" s="169"/>
      <c r="H141" s="171"/>
      <c r="I141" s="169" t="str">
        <f t="shared" si="7"/>
        <v/>
      </c>
      <c r="J141" s="172" t="str">
        <f t="shared" si="8"/>
        <v/>
      </c>
      <c r="K141" s="172"/>
      <c r="L141" s="172"/>
    </row>
    <row r="142" spans="1:12">
      <c r="A142" s="165"/>
      <c r="B142" s="165"/>
      <c r="C142" s="165"/>
      <c r="D142" s="165"/>
      <c r="E142" s="165"/>
      <c r="F142" s="166"/>
      <c r="G142" s="165"/>
      <c r="H142" s="167"/>
      <c r="I142" s="165" t="str">
        <f t="shared" si="7"/>
        <v/>
      </c>
      <c r="J142" s="168" t="str">
        <f t="shared" si="8"/>
        <v/>
      </c>
      <c r="K142" s="168"/>
      <c r="L142" s="168"/>
    </row>
    <row r="143" spans="1:12">
      <c r="A143" s="169"/>
      <c r="B143" s="169"/>
      <c r="C143" s="169"/>
      <c r="D143" s="169"/>
      <c r="E143" s="169"/>
      <c r="F143" s="170"/>
      <c r="G143" s="169"/>
      <c r="H143" s="171"/>
      <c r="I143" s="169" t="str">
        <f t="shared" si="7"/>
        <v/>
      </c>
      <c r="J143" s="172" t="str">
        <f t="shared" si="8"/>
        <v/>
      </c>
      <c r="K143" s="172"/>
      <c r="L143" s="172"/>
    </row>
    <row r="144" spans="1:12">
      <c r="A144" s="165"/>
      <c r="B144" s="165"/>
      <c r="C144" s="165"/>
      <c r="D144" s="165"/>
      <c r="E144" s="165"/>
      <c r="F144" s="166"/>
      <c r="G144" s="165"/>
      <c r="H144" s="167"/>
      <c r="I144" s="165" t="str">
        <f t="shared" si="7"/>
        <v/>
      </c>
      <c r="J144" s="168" t="str">
        <f t="shared" si="8"/>
        <v/>
      </c>
      <c r="K144" s="168"/>
      <c r="L144" s="168"/>
    </row>
    <row r="145" spans="1:12">
      <c r="A145" s="169"/>
      <c r="B145" s="169"/>
      <c r="C145" s="169"/>
      <c r="D145" s="169"/>
      <c r="E145" s="169"/>
      <c r="F145" s="170"/>
      <c r="G145" s="169"/>
      <c r="H145" s="171"/>
      <c r="I145" s="169" t="str">
        <f t="shared" si="7"/>
        <v/>
      </c>
      <c r="J145" s="172" t="str">
        <f t="shared" si="8"/>
        <v/>
      </c>
      <c r="K145" s="172"/>
      <c r="L145" s="172"/>
    </row>
    <row r="146" spans="1:12">
      <c r="A146" s="165"/>
      <c r="B146" s="165"/>
      <c r="C146" s="165"/>
      <c r="D146" s="165"/>
      <c r="E146" s="165"/>
      <c r="F146" s="166"/>
      <c r="G146" s="165"/>
      <c r="H146" s="167"/>
      <c r="I146" s="165" t="str">
        <f t="shared" si="7"/>
        <v/>
      </c>
      <c r="J146" s="168" t="str">
        <f t="shared" si="8"/>
        <v/>
      </c>
      <c r="K146" s="168"/>
      <c r="L146" s="168"/>
    </row>
    <row r="147" spans="1:12">
      <c r="A147" s="169"/>
      <c r="B147" s="169"/>
      <c r="C147" s="169"/>
      <c r="D147" s="169"/>
      <c r="E147" s="169"/>
      <c r="F147" s="170"/>
      <c r="G147" s="169"/>
      <c r="H147" s="171"/>
      <c r="I147" s="169" t="str">
        <f t="shared" si="7"/>
        <v/>
      </c>
      <c r="J147" s="172" t="str">
        <f t="shared" si="8"/>
        <v/>
      </c>
      <c r="K147" s="172"/>
      <c r="L147" s="172"/>
    </row>
    <row r="148" spans="1:12">
      <c r="A148" s="165"/>
      <c r="B148" s="165"/>
      <c r="C148" s="165"/>
      <c r="D148" s="165"/>
      <c r="E148" s="165"/>
      <c r="F148" s="166"/>
      <c r="G148" s="165"/>
      <c r="H148" s="167"/>
      <c r="I148" s="165" t="str">
        <f t="shared" si="7"/>
        <v/>
      </c>
      <c r="J148" s="168" t="str">
        <f t="shared" si="8"/>
        <v/>
      </c>
      <c r="K148" s="168"/>
      <c r="L148" s="168"/>
    </row>
    <row r="149" spans="1:12">
      <c r="A149" s="169"/>
      <c r="B149" s="169"/>
      <c r="C149" s="169"/>
      <c r="D149" s="169"/>
      <c r="E149" s="169"/>
      <c r="F149" s="170"/>
      <c r="G149" s="169"/>
      <c r="H149" s="171"/>
      <c r="I149" s="169" t="str">
        <f t="shared" si="7"/>
        <v/>
      </c>
      <c r="J149" s="172" t="str">
        <f t="shared" si="8"/>
        <v/>
      </c>
      <c r="K149" s="172"/>
      <c r="L149" s="172"/>
    </row>
    <row r="150" spans="1:12">
      <c r="A150" s="165"/>
      <c r="B150" s="165"/>
      <c r="C150" s="165"/>
      <c r="D150" s="165"/>
      <c r="E150" s="165"/>
      <c r="F150" s="166"/>
      <c r="G150" s="165"/>
      <c r="H150" s="167"/>
      <c r="I150" s="165" t="str">
        <f t="shared" si="7"/>
        <v/>
      </c>
      <c r="J150" s="168" t="str">
        <f t="shared" si="8"/>
        <v/>
      </c>
      <c r="K150" s="168"/>
      <c r="L150" s="168"/>
    </row>
    <row r="151" spans="1:12">
      <c r="A151" s="169"/>
      <c r="B151" s="169"/>
      <c r="C151" s="169"/>
      <c r="D151" s="169"/>
      <c r="E151" s="169"/>
      <c r="F151" s="170"/>
      <c r="G151" s="169"/>
      <c r="H151" s="171"/>
      <c r="I151" s="169" t="str">
        <f t="shared" si="7"/>
        <v/>
      </c>
      <c r="J151" s="172" t="str">
        <f t="shared" si="8"/>
        <v/>
      </c>
      <c r="K151" s="172"/>
      <c r="L151" s="172"/>
    </row>
    <row r="152" spans="1:12">
      <c r="A152" s="165"/>
      <c r="B152" s="165"/>
      <c r="C152" s="165"/>
      <c r="D152" s="165"/>
      <c r="E152" s="165"/>
      <c r="F152" s="166"/>
      <c r="G152" s="165"/>
      <c r="H152" s="167"/>
      <c r="I152" s="165" t="str">
        <f t="shared" si="7"/>
        <v/>
      </c>
      <c r="J152" s="168" t="str">
        <f t="shared" si="8"/>
        <v/>
      </c>
      <c r="K152" s="168"/>
      <c r="L152" s="168"/>
    </row>
    <row r="153" spans="1:12">
      <c r="A153" s="169"/>
      <c r="B153" s="169"/>
      <c r="C153" s="169"/>
      <c r="D153" s="169"/>
      <c r="E153" s="169"/>
      <c r="F153" s="170"/>
      <c r="G153" s="169"/>
      <c r="H153" s="171"/>
      <c r="I153" s="169" t="str">
        <f t="shared" si="7"/>
        <v/>
      </c>
      <c r="J153" s="172" t="str">
        <f t="shared" si="8"/>
        <v/>
      </c>
      <c r="K153" s="172"/>
      <c r="L153" s="172"/>
    </row>
    <row r="154" spans="1:12">
      <c r="A154" s="165"/>
      <c r="B154" s="165"/>
      <c r="C154" s="165"/>
      <c r="D154" s="165"/>
      <c r="E154" s="165"/>
      <c r="F154" s="166"/>
      <c r="G154" s="165"/>
      <c r="H154" s="167"/>
      <c r="I154" s="165" t="str">
        <f t="shared" si="7"/>
        <v/>
      </c>
      <c r="J154" s="168" t="str">
        <f t="shared" si="8"/>
        <v/>
      </c>
      <c r="K154" s="168"/>
      <c r="L154" s="168"/>
    </row>
    <row r="155" spans="1:12">
      <c r="A155" s="169"/>
      <c r="B155" s="169"/>
      <c r="C155" s="169"/>
      <c r="D155" s="169"/>
      <c r="E155" s="169"/>
      <c r="F155" s="170"/>
      <c r="G155" s="169"/>
      <c r="H155" s="171"/>
      <c r="I155" s="169" t="str">
        <f t="shared" si="7"/>
        <v/>
      </c>
      <c r="J155" s="172" t="str">
        <f t="shared" si="8"/>
        <v/>
      </c>
      <c r="K155" s="172"/>
      <c r="L155" s="172"/>
    </row>
    <row r="156" spans="1:12">
      <c r="A156" s="165"/>
      <c r="B156" s="165"/>
      <c r="C156" s="165"/>
      <c r="D156" s="165"/>
      <c r="E156" s="165"/>
      <c r="F156" s="166"/>
      <c r="G156" s="165"/>
      <c r="H156" s="167"/>
      <c r="I156" s="165" t="str">
        <f t="shared" si="7"/>
        <v/>
      </c>
      <c r="J156" s="168" t="str">
        <f t="shared" si="8"/>
        <v/>
      </c>
      <c r="K156" s="168"/>
      <c r="L156" s="168"/>
    </row>
    <row r="157" spans="1:12">
      <c r="A157" s="169"/>
      <c r="B157" s="169"/>
      <c r="C157" s="169"/>
      <c r="D157" s="169"/>
      <c r="E157" s="169"/>
      <c r="F157" s="170"/>
      <c r="G157" s="169"/>
      <c r="H157" s="171"/>
      <c r="I157" s="169" t="str">
        <f t="shared" si="7"/>
        <v/>
      </c>
      <c r="J157" s="172" t="str">
        <f t="shared" si="8"/>
        <v/>
      </c>
      <c r="K157" s="172"/>
      <c r="L157" s="172"/>
    </row>
    <row r="158" spans="1:12">
      <c r="A158" s="165"/>
      <c r="B158" s="165"/>
      <c r="C158" s="165"/>
      <c r="D158" s="165"/>
      <c r="E158" s="165"/>
      <c r="F158" s="166"/>
      <c r="G158" s="165"/>
      <c r="H158" s="167"/>
      <c r="I158" s="165" t="str">
        <f t="shared" si="7"/>
        <v/>
      </c>
      <c r="J158" s="168" t="str">
        <f t="shared" si="8"/>
        <v/>
      </c>
      <c r="K158" s="168"/>
      <c r="L158" s="168"/>
    </row>
    <row r="159" spans="1:12">
      <c r="A159" s="169"/>
      <c r="B159" s="169"/>
      <c r="C159" s="169"/>
      <c r="D159" s="169"/>
      <c r="E159" s="169"/>
      <c r="F159" s="170"/>
      <c r="G159" s="169"/>
      <c r="H159" s="171"/>
      <c r="I159" s="169" t="str">
        <f t="shared" si="7"/>
        <v/>
      </c>
      <c r="J159" s="172" t="str">
        <f t="shared" si="8"/>
        <v/>
      </c>
      <c r="K159" s="172"/>
      <c r="L159" s="172"/>
    </row>
    <row r="160" spans="1:12">
      <c r="A160" s="165"/>
      <c r="B160" s="165"/>
      <c r="C160" s="165"/>
      <c r="D160" s="165"/>
      <c r="E160" s="165"/>
      <c r="F160" s="166"/>
      <c r="G160" s="165"/>
      <c r="H160" s="167"/>
      <c r="I160" s="165" t="str">
        <f t="shared" si="7"/>
        <v/>
      </c>
      <c r="J160" s="168" t="str">
        <f t="shared" si="8"/>
        <v/>
      </c>
      <c r="K160" s="168"/>
      <c r="L160" s="168"/>
    </row>
    <row r="161" spans="1:12">
      <c r="A161" s="169"/>
      <c r="B161" s="169"/>
      <c r="C161" s="169"/>
      <c r="D161" s="169"/>
      <c r="E161" s="169"/>
      <c r="F161" s="170"/>
      <c r="G161" s="169"/>
      <c r="H161" s="171"/>
      <c r="I161" s="169" t="str">
        <f t="shared" si="7"/>
        <v/>
      </c>
      <c r="J161" s="172" t="str">
        <f t="shared" si="8"/>
        <v/>
      </c>
      <c r="K161" s="172"/>
      <c r="L161" s="172"/>
    </row>
    <row r="162" spans="1:12">
      <c r="A162" s="165"/>
      <c r="B162" s="165"/>
      <c r="C162" s="165"/>
      <c r="D162" s="165"/>
      <c r="E162" s="165"/>
      <c r="F162" s="166"/>
      <c r="G162" s="165"/>
      <c r="H162" s="167"/>
      <c r="I162" s="165" t="str">
        <f t="shared" si="7"/>
        <v/>
      </c>
      <c r="J162" s="168" t="str">
        <f t="shared" si="8"/>
        <v/>
      </c>
      <c r="K162" s="168"/>
      <c r="L162" s="168"/>
    </row>
    <row r="163" spans="1:12">
      <c r="A163" s="169"/>
      <c r="B163" s="169"/>
      <c r="C163" s="169"/>
      <c r="D163" s="169"/>
      <c r="E163" s="169"/>
      <c r="F163" s="170"/>
      <c r="G163" s="169"/>
      <c r="H163" s="171"/>
      <c r="I163" s="169" t="str">
        <f t="shared" si="7"/>
        <v/>
      </c>
      <c r="J163" s="172" t="str">
        <f t="shared" si="8"/>
        <v/>
      </c>
      <c r="K163" s="172"/>
      <c r="L163" s="172"/>
    </row>
    <row r="164" spans="1:12">
      <c r="A164" s="165"/>
      <c r="B164" s="165"/>
      <c r="C164" s="165"/>
      <c r="D164" s="165"/>
      <c r="E164" s="165"/>
      <c r="F164" s="166"/>
      <c r="G164" s="165"/>
      <c r="H164" s="167"/>
      <c r="I164" s="165" t="str">
        <f t="shared" si="7"/>
        <v/>
      </c>
      <c r="J164" s="168" t="str">
        <f t="shared" si="8"/>
        <v/>
      </c>
      <c r="K164" s="168"/>
      <c r="L164" s="168"/>
    </row>
    <row r="165" spans="1:12">
      <c r="A165" s="169"/>
      <c r="B165" s="169"/>
      <c r="C165" s="169"/>
      <c r="D165" s="169"/>
      <c r="E165" s="169"/>
      <c r="F165" s="170"/>
      <c r="G165" s="169"/>
      <c r="H165" s="171"/>
      <c r="I165" s="169" t="str">
        <f t="shared" si="7"/>
        <v/>
      </c>
      <c r="J165" s="172" t="str">
        <f t="shared" si="8"/>
        <v/>
      </c>
      <c r="K165" s="172"/>
      <c r="L165" s="172"/>
    </row>
    <row r="166" spans="1:12">
      <c r="A166" s="165"/>
      <c r="B166" s="165"/>
      <c r="C166" s="165"/>
      <c r="D166" s="165"/>
      <c r="E166" s="165"/>
      <c r="F166" s="166"/>
      <c r="G166" s="165"/>
      <c r="H166" s="167"/>
      <c r="I166" s="165" t="str">
        <f t="shared" si="7"/>
        <v/>
      </c>
      <c r="J166" s="168" t="str">
        <f t="shared" si="8"/>
        <v/>
      </c>
      <c r="K166" s="168"/>
      <c r="L166" s="168"/>
    </row>
    <row r="167" spans="1:12">
      <c r="A167" s="169"/>
      <c r="B167" s="169"/>
      <c r="C167" s="169"/>
      <c r="D167" s="169"/>
      <c r="E167" s="169"/>
      <c r="F167" s="170"/>
      <c r="G167" s="169"/>
      <c r="H167" s="171"/>
      <c r="I167" s="169" t="str">
        <f t="shared" si="7"/>
        <v/>
      </c>
      <c r="J167" s="172" t="str">
        <f t="shared" si="8"/>
        <v/>
      </c>
      <c r="K167" s="172"/>
      <c r="L167" s="172"/>
    </row>
    <row r="168" spans="1:12">
      <c r="A168" s="165"/>
      <c r="B168" s="165"/>
      <c r="C168" s="165"/>
      <c r="D168" s="165"/>
      <c r="E168" s="165"/>
      <c r="F168" s="166"/>
      <c r="G168" s="165"/>
      <c r="H168" s="167"/>
      <c r="I168" s="165" t="str">
        <f t="shared" si="7"/>
        <v/>
      </c>
      <c r="J168" s="168" t="str">
        <f t="shared" si="8"/>
        <v/>
      </c>
      <c r="K168" s="168"/>
      <c r="L168" s="168"/>
    </row>
    <row r="169" spans="1:12">
      <c r="A169" s="169"/>
      <c r="B169" s="169"/>
      <c r="C169" s="169"/>
      <c r="D169" s="169"/>
      <c r="E169" s="169"/>
      <c r="F169" s="170"/>
      <c r="G169" s="169"/>
      <c r="H169" s="171"/>
      <c r="I169" s="169" t="str">
        <f t="shared" si="7"/>
        <v/>
      </c>
      <c r="J169" s="172" t="str">
        <f t="shared" si="8"/>
        <v/>
      </c>
      <c r="K169" s="172"/>
      <c r="L169" s="172"/>
    </row>
    <row r="170" spans="1:12">
      <c r="A170" s="165"/>
      <c r="B170" s="165"/>
      <c r="C170" s="165"/>
      <c r="D170" s="165"/>
      <c r="E170" s="165"/>
      <c r="F170" s="166"/>
      <c r="G170" s="165"/>
      <c r="H170" s="167"/>
      <c r="I170" s="165" t="str">
        <f t="shared" si="7"/>
        <v/>
      </c>
      <c r="J170" s="168" t="str">
        <f t="shared" si="8"/>
        <v/>
      </c>
      <c r="K170" s="168"/>
      <c r="L170" s="168"/>
    </row>
    <row r="171" spans="1:12">
      <c r="A171" s="169"/>
      <c r="B171" s="169"/>
      <c r="C171" s="169"/>
      <c r="D171" s="169"/>
      <c r="E171" s="169"/>
      <c r="F171" s="170"/>
      <c r="G171" s="169"/>
      <c r="H171" s="171"/>
      <c r="I171" s="169" t="str">
        <f t="shared" si="7"/>
        <v/>
      </c>
      <c r="J171" s="172" t="str">
        <f t="shared" si="8"/>
        <v/>
      </c>
      <c r="K171" s="172"/>
      <c r="L171" s="172"/>
    </row>
    <row r="172" spans="1:12">
      <c r="A172" s="165"/>
      <c r="B172" s="165"/>
      <c r="C172" s="165"/>
      <c r="D172" s="165"/>
      <c r="E172" s="165"/>
      <c r="F172" s="166"/>
      <c r="G172" s="165"/>
      <c r="H172" s="167"/>
      <c r="I172" s="165" t="str">
        <f t="shared" si="7"/>
        <v/>
      </c>
      <c r="J172" s="168" t="str">
        <f t="shared" si="8"/>
        <v/>
      </c>
      <c r="K172" s="168"/>
      <c r="L172" s="168"/>
    </row>
    <row r="173" spans="1:12">
      <c r="A173" s="169"/>
      <c r="B173" s="169"/>
      <c r="C173" s="169"/>
      <c r="D173" s="169"/>
      <c r="E173" s="169"/>
      <c r="F173" s="170"/>
      <c r="G173" s="169"/>
      <c r="H173" s="171"/>
      <c r="I173" s="169" t="str">
        <f t="shared" si="7"/>
        <v/>
      </c>
      <c r="J173" s="172" t="str">
        <f t="shared" si="8"/>
        <v/>
      </c>
      <c r="K173" s="172"/>
      <c r="L173" s="172"/>
    </row>
    <row r="174" spans="1:12">
      <c r="A174" s="165"/>
      <c r="B174" s="165"/>
      <c r="C174" s="165"/>
      <c r="D174" s="165"/>
      <c r="E174" s="165"/>
      <c r="F174" s="166"/>
      <c r="G174" s="165"/>
      <c r="H174" s="167"/>
      <c r="I174" s="165" t="str">
        <f t="shared" si="7"/>
        <v/>
      </c>
      <c r="J174" s="168" t="str">
        <f t="shared" si="8"/>
        <v/>
      </c>
      <c r="K174" s="168"/>
      <c r="L174" s="168"/>
    </row>
    <row r="175" spans="1:12">
      <c r="A175" s="169"/>
      <c r="B175" s="169"/>
      <c r="C175" s="169"/>
      <c r="D175" s="169"/>
      <c r="E175" s="169"/>
      <c r="F175" s="170"/>
      <c r="G175" s="169"/>
      <c r="H175" s="171"/>
      <c r="I175" s="169" t="str">
        <f t="shared" si="7"/>
        <v/>
      </c>
      <c r="J175" s="172" t="str">
        <f t="shared" si="8"/>
        <v/>
      </c>
      <c r="K175" s="172"/>
      <c r="L175" s="172"/>
    </row>
    <row r="176" spans="1:12">
      <c r="A176" s="165"/>
      <c r="B176" s="165"/>
      <c r="C176" s="165"/>
      <c r="D176" s="165"/>
      <c r="E176" s="165"/>
      <c r="F176" s="166"/>
      <c r="G176" s="165"/>
      <c r="H176" s="167"/>
      <c r="I176" s="165" t="str">
        <f t="shared" si="7"/>
        <v/>
      </c>
      <c r="J176" s="168" t="str">
        <f t="shared" si="8"/>
        <v/>
      </c>
      <c r="K176" s="168"/>
      <c r="L176" s="168"/>
    </row>
    <row r="177" spans="1:12">
      <c r="A177" s="169"/>
      <c r="B177" s="169"/>
      <c r="C177" s="169"/>
      <c r="D177" s="169"/>
      <c r="E177" s="169"/>
      <c r="F177" s="170"/>
      <c r="G177" s="169"/>
      <c r="H177" s="171"/>
      <c r="I177" s="169" t="str">
        <f t="shared" si="7"/>
        <v/>
      </c>
      <c r="J177" s="172" t="str">
        <f t="shared" si="8"/>
        <v/>
      </c>
      <c r="K177" s="172"/>
      <c r="L177" s="172"/>
    </row>
    <row r="178" spans="1:12">
      <c r="A178" s="165"/>
      <c r="B178" s="165"/>
      <c r="C178" s="165"/>
      <c r="D178" s="165"/>
      <c r="E178" s="165"/>
      <c r="F178" s="166"/>
      <c r="G178" s="165"/>
      <c r="H178" s="167"/>
      <c r="I178" s="165" t="str">
        <f t="shared" si="7"/>
        <v/>
      </c>
      <c r="J178" s="168" t="str">
        <f t="shared" si="8"/>
        <v/>
      </c>
      <c r="K178" s="168"/>
      <c r="L178" s="168"/>
    </row>
    <row r="179" spans="1:12">
      <c r="A179" s="169"/>
      <c r="B179" s="169"/>
      <c r="C179" s="169"/>
      <c r="D179" s="169"/>
      <c r="E179" s="169"/>
      <c r="F179" s="170"/>
      <c r="G179" s="169"/>
      <c r="H179" s="171"/>
      <c r="I179" s="169" t="str">
        <f t="shared" si="7"/>
        <v/>
      </c>
      <c r="J179" s="172" t="str">
        <f t="shared" si="8"/>
        <v/>
      </c>
      <c r="K179" s="172"/>
      <c r="L179" s="172"/>
    </row>
    <row r="180" spans="1:12">
      <c r="A180" s="165"/>
      <c r="B180" s="165"/>
      <c r="C180" s="165"/>
      <c r="D180" s="165"/>
      <c r="E180" s="165"/>
      <c r="F180" s="166"/>
      <c r="G180" s="165"/>
      <c r="H180" s="167"/>
      <c r="I180" s="165" t="str">
        <f t="shared" si="7"/>
        <v/>
      </c>
      <c r="J180" s="168" t="str">
        <f t="shared" si="8"/>
        <v/>
      </c>
      <c r="K180" s="168"/>
      <c r="L180" s="168"/>
    </row>
    <row r="181" spans="1:12">
      <c r="A181" s="169"/>
      <c r="B181" s="169"/>
      <c r="C181" s="169"/>
      <c r="D181" s="169"/>
      <c r="E181" s="169"/>
      <c r="F181" s="170"/>
      <c r="G181" s="169"/>
      <c r="H181" s="171"/>
      <c r="I181" s="169" t="str">
        <f t="shared" si="7"/>
        <v/>
      </c>
      <c r="J181" s="172" t="str">
        <f t="shared" si="8"/>
        <v/>
      </c>
      <c r="K181" s="172"/>
      <c r="L181" s="172"/>
    </row>
    <row r="182" spans="1:12">
      <c r="A182" s="165"/>
      <c r="B182" s="165"/>
      <c r="C182" s="165"/>
      <c r="D182" s="165"/>
      <c r="E182" s="165"/>
      <c r="F182" s="166"/>
      <c r="G182" s="165"/>
      <c r="H182" s="167"/>
      <c r="I182" s="165" t="str">
        <f t="shared" si="7"/>
        <v/>
      </c>
      <c r="J182" s="168" t="str">
        <f t="shared" si="8"/>
        <v/>
      </c>
      <c r="K182" s="168"/>
      <c r="L182" s="168"/>
    </row>
    <row r="183" spans="1:12">
      <c r="A183" s="169"/>
      <c r="B183" s="169"/>
      <c r="C183" s="169"/>
      <c r="D183" s="169"/>
      <c r="E183" s="169"/>
      <c r="F183" s="170"/>
      <c r="G183" s="169"/>
      <c r="H183" s="171"/>
      <c r="I183" s="169" t="str">
        <f t="shared" si="7"/>
        <v/>
      </c>
      <c r="J183" s="172" t="str">
        <f t="shared" si="8"/>
        <v/>
      </c>
      <c r="K183" s="172"/>
      <c r="L183" s="172"/>
    </row>
    <row r="184" spans="1:12">
      <c r="A184" s="165"/>
      <c r="B184" s="165"/>
      <c r="C184" s="165"/>
      <c r="D184" s="165"/>
      <c r="E184" s="165"/>
      <c r="F184" s="166"/>
      <c r="G184" s="165"/>
      <c r="H184" s="167"/>
      <c r="I184" s="165" t="str">
        <f t="shared" si="7"/>
        <v/>
      </c>
      <c r="J184" s="168" t="str">
        <f t="shared" si="8"/>
        <v/>
      </c>
      <c r="K184" s="168"/>
      <c r="L184" s="168"/>
    </row>
    <row r="185" spans="1:12">
      <c r="A185" s="169"/>
      <c r="B185" s="169"/>
      <c r="C185" s="169"/>
      <c r="D185" s="169"/>
      <c r="E185" s="169"/>
      <c r="F185" s="170"/>
      <c r="G185" s="169"/>
      <c r="H185" s="171"/>
      <c r="I185" s="169" t="str">
        <f t="shared" si="7"/>
        <v/>
      </c>
      <c r="J185" s="172" t="str">
        <f t="shared" si="8"/>
        <v/>
      </c>
      <c r="K185" s="172"/>
      <c r="L185" s="172"/>
    </row>
    <row r="186" spans="1:12">
      <c r="A186" s="165"/>
      <c r="B186" s="165"/>
      <c r="C186" s="165"/>
      <c r="D186" s="165"/>
      <c r="E186" s="165"/>
      <c r="F186" s="166"/>
      <c r="G186" s="165"/>
      <c r="H186" s="167"/>
      <c r="I186" s="165" t="str">
        <f t="shared" si="7"/>
        <v/>
      </c>
      <c r="J186" s="168" t="str">
        <f t="shared" si="8"/>
        <v/>
      </c>
      <c r="K186" s="168"/>
      <c r="L186" s="168"/>
    </row>
    <row r="187" spans="1:12">
      <c r="A187" s="169"/>
      <c r="B187" s="169"/>
      <c r="C187" s="169"/>
      <c r="D187" s="169"/>
      <c r="E187" s="169"/>
      <c r="F187" s="170"/>
      <c r="G187" s="169"/>
      <c r="H187" s="171"/>
      <c r="I187" s="169" t="str">
        <f t="shared" si="7"/>
        <v/>
      </c>
      <c r="J187" s="172" t="str">
        <f t="shared" si="8"/>
        <v/>
      </c>
      <c r="K187" s="172"/>
      <c r="L187" s="172"/>
    </row>
    <row r="188" spans="1:12">
      <c r="A188" s="165"/>
      <c r="B188" s="165"/>
      <c r="C188" s="165"/>
      <c r="D188" s="165"/>
      <c r="E188" s="165"/>
      <c r="F188" s="166"/>
      <c r="G188" s="165"/>
      <c r="H188" s="167"/>
      <c r="I188" s="165" t="str">
        <f t="shared" si="7"/>
        <v/>
      </c>
      <c r="J188" s="168" t="str">
        <f t="shared" si="8"/>
        <v/>
      </c>
      <c r="K188" s="168"/>
      <c r="L188" s="168"/>
    </row>
    <row r="189" spans="1:12">
      <c r="A189" s="169"/>
      <c r="B189" s="169"/>
      <c r="C189" s="169"/>
      <c r="D189" s="169"/>
      <c r="E189" s="169"/>
      <c r="F189" s="170"/>
      <c r="G189" s="169"/>
      <c r="H189" s="171"/>
      <c r="I189" s="169" t="str">
        <f t="shared" si="7"/>
        <v/>
      </c>
      <c r="J189" s="172" t="str">
        <f t="shared" si="8"/>
        <v/>
      </c>
      <c r="K189" s="172"/>
      <c r="L189" s="172"/>
    </row>
    <row r="190" spans="1:12">
      <c r="A190" s="165"/>
      <c r="B190" s="165"/>
      <c r="C190" s="165"/>
      <c r="D190" s="165"/>
      <c r="E190" s="165"/>
      <c r="F190" s="166"/>
      <c r="G190" s="165"/>
      <c r="H190" s="167"/>
      <c r="I190" s="165" t="str">
        <f t="shared" si="7"/>
        <v/>
      </c>
      <c r="J190" s="168" t="str">
        <f t="shared" si="8"/>
        <v/>
      </c>
      <c r="K190" s="168"/>
      <c r="L190" s="168"/>
    </row>
    <row r="191" spans="1:12">
      <c r="A191" s="169"/>
      <c r="B191" s="169"/>
      <c r="C191" s="169"/>
      <c r="D191" s="169"/>
      <c r="E191" s="169"/>
      <c r="F191" s="170"/>
      <c r="G191" s="169"/>
      <c r="H191" s="171"/>
      <c r="I191" s="169" t="str">
        <f t="shared" si="7"/>
        <v/>
      </c>
      <c r="J191" s="172" t="str">
        <f t="shared" si="8"/>
        <v/>
      </c>
      <c r="K191" s="172"/>
      <c r="L191" s="172"/>
    </row>
    <row r="192" spans="1:12">
      <c r="A192" s="165"/>
      <c r="B192" s="165"/>
      <c r="C192" s="165"/>
      <c r="D192" s="165"/>
      <c r="E192" s="165"/>
      <c r="F192" s="166"/>
      <c r="G192" s="165"/>
      <c r="H192" s="167"/>
      <c r="I192" s="165" t="str">
        <f t="shared" si="7"/>
        <v/>
      </c>
      <c r="J192" s="168" t="str">
        <f t="shared" si="8"/>
        <v/>
      </c>
      <c r="K192" s="168"/>
      <c r="L192" s="168"/>
    </row>
    <row r="193" spans="1:12">
      <c r="A193" s="169"/>
      <c r="B193" s="169"/>
      <c r="C193" s="169"/>
      <c r="D193" s="169"/>
      <c r="E193" s="169"/>
      <c r="F193" s="170"/>
      <c r="G193" s="169"/>
      <c r="H193" s="171"/>
      <c r="I193" s="169" t="str">
        <f t="shared" si="7"/>
        <v/>
      </c>
      <c r="J193" s="172" t="str">
        <f t="shared" si="8"/>
        <v/>
      </c>
      <c r="K193" s="172"/>
      <c r="L193" s="172"/>
    </row>
    <row r="194" spans="1:12">
      <c r="A194" s="165"/>
      <c r="B194" s="165"/>
      <c r="C194" s="165"/>
      <c r="D194" s="165"/>
      <c r="E194" s="165"/>
      <c r="F194" s="166"/>
      <c r="G194" s="165"/>
      <c r="H194" s="167"/>
      <c r="I194" s="165" t="str">
        <f t="shared" ref="I194:I257" si="9">IFERROR(IF(H194="","",DATEVALUE(MID(H194,6,11))),"Check date format")</f>
        <v/>
      </c>
      <c r="J194" s="168" t="str">
        <f t="shared" si="8"/>
        <v/>
      </c>
      <c r="K194" s="168"/>
      <c r="L194" s="168"/>
    </row>
    <row r="195" spans="1:12">
      <c r="A195" s="169"/>
      <c r="B195" s="169"/>
      <c r="C195" s="169"/>
      <c r="D195" s="169"/>
      <c r="E195" s="169"/>
      <c r="F195" s="170"/>
      <c r="G195" s="169"/>
      <c r="H195" s="171"/>
      <c r="I195" s="169" t="str">
        <f t="shared" si="9"/>
        <v/>
      </c>
      <c r="J195" s="172" t="str">
        <f t="shared" ref="J195:J258" si="10">IF(OR(F195="",I195=""),"",F195+IF(I195=I194,N(J194),0))</f>
        <v/>
      </c>
      <c r="K195" s="172"/>
      <c r="L195" s="172"/>
    </row>
    <row r="196" spans="1:12">
      <c r="A196" s="165"/>
      <c r="B196" s="165"/>
      <c r="C196" s="165"/>
      <c r="D196" s="165"/>
      <c r="E196" s="165"/>
      <c r="F196" s="166"/>
      <c r="G196" s="165"/>
      <c r="H196" s="167"/>
      <c r="I196" s="165" t="str">
        <f t="shared" si="9"/>
        <v/>
      </c>
      <c r="J196" s="168" t="str">
        <f t="shared" si="10"/>
        <v/>
      </c>
      <c r="K196" s="168"/>
      <c r="L196" s="168"/>
    </row>
    <row r="197" spans="1:12">
      <c r="A197" s="169"/>
      <c r="B197" s="169"/>
      <c r="C197" s="169"/>
      <c r="D197" s="169"/>
      <c r="E197" s="169"/>
      <c r="F197" s="170"/>
      <c r="G197" s="169"/>
      <c r="H197" s="171"/>
      <c r="I197" s="169" t="str">
        <f t="shared" si="9"/>
        <v/>
      </c>
      <c r="J197" s="172" t="str">
        <f t="shared" si="10"/>
        <v/>
      </c>
      <c r="K197" s="172"/>
      <c r="L197" s="172"/>
    </row>
    <row r="198" spans="1:12">
      <c r="A198" s="165"/>
      <c r="B198" s="165"/>
      <c r="C198" s="165"/>
      <c r="D198" s="165"/>
      <c r="E198" s="165"/>
      <c r="F198" s="166"/>
      <c r="G198" s="165"/>
      <c r="H198" s="167"/>
      <c r="I198" s="165" t="str">
        <f t="shared" si="9"/>
        <v/>
      </c>
      <c r="J198" s="168" t="str">
        <f t="shared" si="10"/>
        <v/>
      </c>
      <c r="K198" s="168"/>
      <c r="L198" s="168"/>
    </row>
    <row r="199" spans="1:12">
      <c r="A199" s="169"/>
      <c r="B199" s="169"/>
      <c r="C199" s="169"/>
      <c r="D199" s="169"/>
      <c r="E199" s="169"/>
      <c r="F199" s="170"/>
      <c r="G199" s="169"/>
      <c r="H199" s="171"/>
      <c r="I199" s="169" t="str">
        <f t="shared" si="9"/>
        <v/>
      </c>
      <c r="J199" s="172" t="str">
        <f t="shared" si="10"/>
        <v/>
      </c>
      <c r="K199" s="172"/>
      <c r="L199" s="172"/>
    </row>
    <row r="200" spans="1:12">
      <c r="A200" s="165"/>
      <c r="B200" s="165"/>
      <c r="C200" s="165"/>
      <c r="D200" s="165"/>
      <c r="E200" s="165"/>
      <c r="F200" s="166"/>
      <c r="G200" s="165"/>
      <c r="H200" s="167"/>
      <c r="I200" s="165" t="str">
        <f t="shared" si="9"/>
        <v/>
      </c>
      <c r="J200" s="168" t="str">
        <f t="shared" si="10"/>
        <v/>
      </c>
      <c r="K200" s="168"/>
      <c r="L200" s="168"/>
    </row>
    <row r="201" spans="1:12">
      <c r="A201" s="169"/>
      <c r="B201" s="169"/>
      <c r="C201" s="169"/>
      <c r="D201" s="169"/>
      <c r="E201" s="169"/>
      <c r="F201" s="170"/>
      <c r="G201" s="169"/>
      <c r="H201" s="171"/>
      <c r="I201" s="169" t="str">
        <f t="shared" si="9"/>
        <v/>
      </c>
      <c r="J201" s="172" t="str">
        <f t="shared" si="10"/>
        <v/>
      </c>
      <c r="K201" s="172"/>
      <c r="L201" s="172"/>
    </row>
    <row r="202" spans="1:12">
      <c r="A202" s="165"/>
      <c r="B202" s="165"/>
      <c r="C202" s="165"/>
      <c r="D202" s="165"/>
      <c r="E202" s="165"/>
      <c r="F202" s="166"/>
      <c r="G202" s="165"/>
      <c r="H202" s="167"/>
      <c r="I202" s="165" t="str">
        <f t="shared" si="9"/>
        <v/>
      </c>
      <c r="J202" s="168" t="str">
        <f t="shared" si="10"/>
        <v/>
      </c>
      <c r="K202" s="168"/>
      <c r="L202" s="168"/>
    </row>
    <row r="203" spans="1:12">
      <c r="A203" s="169"/>
      <c r="B203" s="169"/>
      <c r="C203" s="169"/>
      <c r="D203" s="169"/>
      <c r="E203" s="169"/>
      <c r="F203" s="170"/>
      <c r="G203" s="169"/>
      <c r="H203" s="171"/>
      <c r="I203" s="169" t="str">
        <f t="shared" si="9"/>
        <v/>
      </c>
      <c r="J203" s="172" t="str">
        <f t="shared" si="10"/>
        <v/>
      </c>
      <c r="K203" s="172"/>
      <c r="L203" s="172"/>
    </row>
    <row r="204" spans="1:12">
      <c r="A204" s="165"/>
      <c r="B204" s="165"/>
      <c r="C204" s="165"/>
      <c r="D204" s="165"/>
      <c r="E204" s="165"/>
      <c r="F204" s="166"/>
      <c r="G204" s="165"/>
      <c r="H204" s="167"/>
      <c r="I204" s="165" t="str">
        <f t="shared" si="9"/>
        <v/>
      </c>
      <c r="J204" s="168" t="str">
        <f t="shared" si="10"/>
        <v/>
      </c>
      <c r="K204" s="168"/>
      <c r="L204" s="168"/>
    </row>
    <row r="205" spans="1:12">
      <c r="A205" s="169"/>
      <c r="B205" s="169"/>
      <c r="C205" s="169"/>
      <c r="D205" s="169"/>
      <c r="E205" s="169"/>
      <c r="F205" s="170"/>
      <c r="G205" s="169"/>
      <c r="H205" s="171"/>
      <c r="I205" s="169" t="str">
        <f t="shared" si="9"/>
        <v/>
      </c>
      <c r="J205" s="172" t="str">
        <f t="shared" si="10"/>
        <v/>
      </c>
      <c r="K205" s="172"/>
      <c r="L205" s="172"/>
    </row>
    <row r="206" spans="1:12">
      <c r="A206" s="165"/>
      <c r="B206" s="165"/>
      <c r="C206" s="165"/>
      <c r="D206" s="165"/>
      <c r="E206" s="165"/>
      <c r="F206" s="166"/>
      <c r="G206" s="165"/>
      <c r="H206" s="167"/>
      <c r="I206" s="165" t="str">
        <f t="shared" si="9"/>
        <v/>
      </c>
      <c r="J206" s="168" t="str">
        <f t="shared" si="10"/>
        <v/>
      </c>
      <c r="K206" s="168"/>
      <c r="L206" s="168"/>
    </row>
    <row r="207" spans="1:12">
      <c r="A207" s="169"/>
      <c r="B207" s="169"/>
      <c r="C207" s="169"/>
      <c r="D207" s="169"/>
      <c r="E207" s="169"/>
      <c r="F207" s="170"/>
      <c r="G207" s="169"/>
      <c r="H207" s="171"/>
      <c r="I207" s="169" t="str">
        <f t="shared" si="9"/>
        <v/>
      </c>
      <c r="J207" s="172" t="str">
        <f t="shared" si="10"/>
        <v/>
      </c>
      <c r="K207" s="172"/>
      <c r="L207" s="172"/>
    </row>
    <row r="208" spans="1:12">
      <c r="A208" s="165"/>
      <c r="B208" s="165"/>
      <c r="C208" s="165"/>
      <c r="D208" s="165"/>
      <c r="E208" s="165"/>
      <c r="F208" s="166"/>
      <c r="G208" s="165"/>
      <c r="H208" s="167"/>
      <c r="I208" s="165" t="str">
        <f t="shared" si="9"/>
        <v/>
      </c>
      <c r="J208" s="168" t="str">
        <f t="shared" si="10"/>
        <v/>
      </c>
      <c r="K208" s="168"/>
      <c r="L208" s="168"/>
    </row>
    <row r="209" spans="1:12">
      <c r="A209" s="169"/>
      <c r="B209" s="169"/>
      <c r="C209" s="169"/>
      <c r="D209" s="169"/>
      <c r="E209" s="169"/>
      <c r="F209" s="170"/>
      <c r="G209" s="169"/>
      <c r="H209" s="171"/>
      <c r="I209" s="169" t="str">
        <f t="shared" si="9"/>
        <v/>
      </c>
      <c r="J209" s="172" t="str">
        <f t="shared" si="10"/>
        <v/>
      </c>
      <c r="K209" s="172"/>
      <c r="L209" s="172"/>
    </row>
    <row r="210" spans="1:12">
      <c r="A210" s="165"/>
      <c r="B210" s="165"/>
      <c r="C210" s="165"/>
      <c r="D210" s="165"/>
      <c r="E210" s="165"/>
      <c r="F210" s="166"/>
      <c r="G210" s="165"/>
      <c r="H210" s="167"/>
      <c r="I210" s="165" t="str">
        <f t="shared" si="9"/>
        <v/>
      </c>
      <c r="J210" s="168" t="str">
        <f t="shared" si="10"/>
        <v/>
      </c>
      <c r="K210" s="168"/>
      <c r="L210" s="168"/>
    </row>
    <row r="211" spans="1:12">
      <c r="A211" s="169"/>
      <c r="B211" s="169"/>
      <c r="C211" s="169"/>
      <c r="D211" s="169"/>
      <c r="E211" s="169"/>
      <c r="F211" s="170"/>
      <c r="G211" s="169"/>
      <c r="H211" s="171"/>
      <c r="I211" s="169" t="str">
        <f t="shared" si="9"/>
        <v/>
      </c>
      <c r="J211" s="172" t="str">
        <f t="shared" si="10"/>
        <v/>
      </c>
      <c r="K211" s="172"/>
      <c r="L211" s="172"/>
    </row>
    <row r="212" spans="1:12">
      <c r="A212" s="165"/>
      <c r="B212" s="165"/>
      <c r="C212" s="165"/>
      <c r="D212" s="165"/>
      <c r="E212" s="165"/>
      <c r="F212" s="166"/>
      <c r="G212" s="165"/>
      <c r="H212" s="167"/>
      <c r="I212" s="165" t="str">
        <f t="shared" si="9"/>
        <v/>
      </c>
      <c r="J212" s="168" t="str">
        <f t="shared" si="10"/>
        <v/>
      </c>
      <c r="K212" s="168"/>
      <c r="L212" s="168"/>
    </row>
    <row r="213" spans="1:12">
      <c r="A213" s="169"/>
      <c r="B213" s="169"/>
      <c r="C213" s="169"/>
      <c r="D213" s="169"/>
      <c r="E213" s="169"/>
      <c r="F213" s="170"/>
      <c r="G213" s="169"/>
      <c r="H213" s="171"/>
      <c r="I213" s="169" t="str">
        <f t="shared" si="9"/>
        <v/>
      </c>
      <c r="J213" s="172" t="str">
        <f t="shared" si="10"/>
        <v/>
      </c>
      <c r="K213" s="172"/>
      <c r="L213" s="172"/>
    </row>
    <row r="214" spans="1:12">
      <c r="A214" s="165"/>
      <c r="B214" s="165"/>
      <c r="C214" s="165"/>
      <c r="D214" s="165"/>
      <c r="E214" s="165"/>
      <c r="F214" s="166"/>
      <c r="G214" s="165"/>
      <c r="H214" s="167"/>
      <c r="I214" s="165" t="str">
        <f t="shared" si="9"/>
        <v/>
      </c>
      <c r="J214" s="168" t="str">
        <f t="shared" si="10"/>
        <v/>
      </c>
      <c r="K214" s="168"/>
      <c r="L214" s="168"/>
    </row>
    <row r="215" spans="1:12">
      <c r="A215" s="169"/>
      <c r="B215" s="169"/>
      <c r="C215" s="169"/>
      <c r="D215" s="169"/>
      <c r="E215" s="169"/>
      <c r="F215" s="170"/>
      <c r="G215" s="169"/>
      <c r="H215" s="171"/>
      <c r="I215" s="169" t="str">
        <f t="shared" si="9"/>
        <v/>
      </c>
      <c r="J215" s="172" t="str">
        <f t="shared" si="10"/>
        <v/>
      </c>
      <c r="K215" s="172"/>
      <c r="L215" s="172"/>
    </row>
    <row r="216" spans="1:12">
      <c r="A216" s="165"/>
      <c r="B216" s="165"/>
      <c r="C216" s="165"/>
      <c r="D216" s="165"/>
      <c r="E216" s="165"/>
      <c r="F216" s="166"/>
      <c r="G216" s="165"/>
      <c r="H216" s="167"/>
      <c r="I216" s="165" t="str">
        <f t="shared" si="9"/>
        <v/>
      </c>
      <c r="J216" s="168" t="str">
        <f t="shared" si="10"/>
        <v/>
      </c>
      <c r="K216" s="168"/>
      <c r="L216" s="168"/>
    </row>
    <row r="217" spans="1:12">
      <c r="A217" s="169"/>
      <c r="B217" s="169"/>
      <c r="C217" s="169"/>
      <c r="D217" s="169"/>
      <c r="E217" s="169"/>
      <c r="F217" s="170"/>
      <c r="G217" s="169"/>
      <c r="H217" s="171"/>
      <c r="I217" s="169" t="str">
        <f t="shared" si="9"/>
        <v/>
      </c>
      <c r="J217" s="172" t="str">
        <f t="shared" si="10"/>
        <v/>
      </c>
      <c r="K217" s="172"/>
      <c r="L217" s="172"/>
    </row>
    <row r="218" spans="1:12">
      <c r="A218" s="165"/>
      <c r="B218" s="165"/>
      <c r="C218" s="165"/>
      <c r="D218" s="165"/>
      <c r="E218" s="165"/>
      <c r="F218" s="166"/>
      <c r="G218" s="165"/>
      <c r="H218" s="167"/>
      <c r="I218" s="165" t="str">
        <f t="shared" si="9"/>
        <v/>
      </c>
      <c r="J218" s="168" t="str">
        <f t="shared" si="10"/>
        <v/>
      </c>
      <c r="K218" s="168"/>
      <c r="L218" s="168"/>
    </row>
    <row r="219" spans="1:12">
      <c r="A219" s="169"/>
      <c r="B219" s="169"/>
      <c r="C219" s="169"/>
      <c r="D219" s="169"/>
      <c r="E219" s="169"/>
      <c r="F219" s="170"/>
      <c r="G219" s="169"/>
      <c r="H219" s="171"/>
      <c r="I219" s="169" t="str">
        <f t="shared" si="9"/>
        <v/>
      </c>
      <c r="J219" s="172" t="str">
        <f t="shared" si="10"/>
        <v/>
      </c>
      <c r="K219" s="172"/>
      <c r="L219" s="172"/>
    </row>
    <row r="220" spans="1:12">
      <c r="A220" s="165"/>
      <c r="B220" s="165"/>
      <c r="C220" s="165"/>
      <c r="D220" s="165"/>
      <c r="E220" s="165"/>
      <c r="F220" s="166"/>
      <c r="G220" s="165"/>
      <c r="H220" s="167"/>
      <c r="I220" s="165" t="str">
        <f t="shared" si="9"/>
        <v/>
      </c>
      <c r="J220" s="168" t="str">
        <f t="shared" si="10"/>
        <v/>
      </c>
      <c r="K220" s="168"/>
      <c r="L220" s="168"/>
    </row>
    <row r="221" spans="1:12">
      <c r="A221" s="169"/>
      <c r="B221" s="169"/>
      <c r="C221" s="169"/>
      <c r="D221" s="169"/>
      <c r="E221" s="169"/>
      <c r="F221" s="170"/>
      <c r="G221" s="169"/>
      <c r="H221" s="171"/>
      <c r="I221" s="169" t="str">
        <f t="shared" si="9"/>
        <v/>
      </c>
      <c r="J221" s="172" t="str">
        <f t="shared" si="10"/>
        <v/>
      </c>
      <c r="K221" s="172"/>
      <c r="L221" s="172"/>
    </row>
    <row r="222" spans="1:12">
      <c r="A222" s="165"/>
      <c r="B222" s="165"/>
      <c r="C222" s="165"/>
      <c r="D222" s="165"/>
      <c r="E222" s="165"/>
      <c r="F222" s="166"/>
      <c r="G222" s="165"/>
      <c r="H222" s="167"/>
      <c r="I222" s="165" t="str">
        <f t="shared" si="9"/>
        <v/>
      </c>
      <c r="J222" s="168" t="str">
        <f t="shared" si="10"/>
        <v/>
      </c>
      <c r="K222" s="168"/>
      <c r="L222" s="168"/>
    </row>
    <row r="223" spans="1:12">
      <c r="A223" s="169"/>
      <c r="B223" s="169"/>
      <c r="C223" s="169"/>
      <c r="D223" s="169"/>
      <c r="E223" s="169"/>
      <c r="F223" s="170"/>
      <c r="G223" s="169"/>
      <c r="H223" s="171"/>
      <c r="I223" s="169" t="str">
        <f t="shared" si="9"/>
        <v/>
      </c>
      <c r="J223" s="172" t="str">
        <f t="shared" si="10"/>
        <v/>
      </c>
      <c r="K223" s="172"/>
      <c r="L223" s="172"/>
    </row>
    <row r="224" spans="1:12">
      <c r="A224" s="165"/>
      <c r="B224" s="165"/>
      <c r="C224" s="165"/>
      <c r="D224" s="165"/>
      <c r="E224" s="165"/>
      <c r="F224" s="166"/>
      <c r="G224" s="165"/>
      <c r="H224" s="167"/>
      <c r="I224" s="165" t="str">
        <f t="shared" si="9"/>
        <v/>
      </c>
      <c r="J224" s="168" t="str">
        <f t="shared" si="10"/>
        <v/>
      </c>
      <c r="K224" s="168"/>
      <c r="L224" s="168"/>
    </row>
    <row r="225" spans="1:12">
      <c r="A225" s="169"/>
      <c r="B225" s="169"/>
      <c r="C225" s="169"/>
      <c r="D225" s="169"/>
      <c r="E225" s="169"/>
      <c r="F225" s="170"/>
      <c r="G225" s="169"/>
      <c r="H225" s="171"/>
      <c r="I225" s="169" t="str">
        <f t="shared" si="9"/>
        <v/>
      </c>
      <c r="J225" s="172" t="str">
        <f t="shared" si="10"/>
        <v/>
      </c>
      <c r="K225" s="172"/>
      <c r="L225" s="172"/>
    </row>
    <row r="226" spans="1:12">
      <c r="A226" s="165"/>
      <c r="B226" s="165"/>
      <c r="C226" s="165"/>
      <c r="D226" s="165"/>
      <c r="E226" s="165"/>
      <c r="F226" s="166"/>
      <c r="G226" s="165"/>
      <c r="H226" s="167"/>
      <c r="I226" s="165" t="str">
        <f t="shared" si="9"/>
        <v/>
      </c>
      <c r="J226" s="168" t="str">
        <f t="shared" si="10"/>
        <v/>
      </c>
      <c r="K226" s="168"/>
      <c r="L226" s="168"/>
    </row>
    <row r="227" spans="1:12">
      <c r="A227" s="169"/>
      <c r="B227" s="169"/>
      <c r="C227" s="169"/>
      <c r="D227" s="169"/>
      <c r="E227" s="169"/>
      <c r="F227" s="170"/>
      <c r="G227" s="169"/>
      <c r="H227" s="171"/>
      <c r="I227" s="169" t="str">
        <f t="shared" si="9"/>
        <v/>
      </c>
      <c r="J227" s="172" t="str">
        <f t="shared" si="10"/>
        <v/>
      </c>
      <c r="K227" s="172"/>
      <c r="L227" s="172"/>
    </row>
    <row r="228" spans="1:12">
      <c r="A228" s="165"/>
      <c r="B228" s="165"/>
      <c r="C228" s="165"/>
      <c r="D228" s="165"/>
      <c r="E228" s="165"/>
      <c r="F228" s="166"/>
      <c r="G228" s="165"/>
      <c r="H228" s="167"/>
      <c r="I228" s="165" t="str">
        <f t="shared" si="9"/>
        <v/>
      </c>
      <c r="J228" s="168" t="str">
        <f t="shared" si="10"/>
        <v/>
      </c>
      <c r="K228" s="168"/>
      <c r="L228" s="168"/>
    </row>
    <row r="229" spans="1:12">
      <c r="A229" s="169"/>
      <c r="B229" s="169"/>
      <c r="C229" s="169"/>
      <c r="D229" s="169"/>
      <c r="E229" s="169"/>
      <c r="F229" s="170"/>
      <c r="G229" s="169"/>
      <c r="H229" s="171"/>
      <c r="I229" s="169" t="str">
        <f t="shared" si="9"/>
        <v/>
      </c>
      <c r="J229" s="172" t="str">
        <f t="shared" si="10"/>
        <v/>
      </c>
      <c r="K229" s="172"/>
      <c r="L229" s="172"/>
    </row>
    <row r="230" spans="1:12">
      <c r="A230" s="165"/>
      <c r="B230" s="165"/>
      <c r="C230" s="165"/>
      <c r="D230" s="165"/>
      <c r="E230" s="165"/>
      <c r="F230" s="166"/>
      <c r="G230" s="165"/>
      <c r="H230" s="167"/>
      <c r="I230" s="165" t="str">
        <f t="shared" si="9"/>
        <v/>
      </c>
      <c r="J230" s="168" t="str">
        <f t="shared" si="10"/>
        <v/>
      </c>
      <c r="K230" s="168"/>
      <c r="L230" s="168"/>
    </row>
    <row r="231" spans="1:12">
      <c r="A231" s="169"/>
      <c r="B231" s="169"/>
      <c r="C231" s="169"/>
      <c r="D231" s="169"/>
      <c r="E231" s="169"/>
      <c r="F231" s="170"/>
      <c r="G231" s="169"/>
      <c r="H231" s="171"/>
      <c r="I231" s="169" t="str">
        <f t="shared" si="9"/>
        <v/>
      </c>
      <c r="J231" s="172" t="str">
        <f t="shared" si="10"/>
        <v/>
      </c>
      <c r="K231" s="172"/>
      <c r="L231" s="172"/>
    </row>
    <row r="232" spans="1:12">
      <c r="A232" s="165"/>
      <c r="B232" s="165"/>
      <c r="C232" s="165"/>
      <c r="D232" s="165"/>
      <c r="E232" s="165"/>
      <c r="F232" s="166"/>
      <c r="G232" s="165"/>
      <c r="H232" s="167"/>
      <c r="I232" s="165" t="str">
        <f t="shared" si="9"/>
        <v/>
      </c>
      <c r="J232" s="168" t="str">
        <f t="shared" si="10"/>
        <v/>
      </c>
      <c r="K232" s="168"/>
      <c r="L232" s="168"/>
    </row>
    <row r="233" spans="1:12">
      <c r="A233" s="169"/>
      <c r="B233" s="169"/>
      <c r="C233" s="169"/>
      <c r="D233" s="169"/>
      <c r="E233" s="169"/>
      <c r="F233" s="170"/>
      <c r="G233" s="169"/>
      <c r="H233" s="171"/>
      <c r="I233" s="169" t="str">
        <f t="shared" si="9"/>
        <v/>
      </c>
      <c r="J233" s="172" t="str">
        <f t="shared" si="10"/>
        <v/>
      </c>
      <c r="K233" s="172"/>
      <c r="L233" s="172"/>
    </row>
    <row r="234" spans="1:12">
      <c r="A234" s="165"/>
      <c r="B234" s="165"/>
      <c r="C234" s="165"/>
      <c r="D234" s="165"/>
      <c r="E234" s="165"/>
      <c r="F234" s="166"/>
      <c r="G234" s="165"/>
      <c r="H234" s="167"/>
      <c r="I234" s="165" t="str">
        <f t="shared" si="9"/>
        <v/>
      </c>
      <c r="J234" s="168" t="str">
        <f t="shared" si="10"/>
        <v/>
      </c>
      <c r="K234" s="168"/>
      <c r="L234" s="168"/>
    </row>
    <row r="235" spans="1:12">
      <c r="A235" s="169"/>
      <c r="B235" s="169"/>
      <c r="C235" s="169"/>
      <c r="D235" s="169"/>
      <c r="E235" s="169"/>
      <c r="F235" s="170"/>
      <c r="G235" s="169"/>
      <c r="H235" s="171"/>
      <c r="I235" s="169" t="str">
        <f t="shared" si="9"/>
        <v/>
      </c>
      <c r="J235" s="172" t="str">
        <f t="shared" si="10"/>
        <v/>
      </c>
      <c r="K235" s="172"/>
      <c r="L235" s="172"/>
    </row>
    <row r="236" spans="1:12">
      <c r="A236" s="165"/>
      <c r="B236" s="165"/>
      <c r="C236" s="165"/>
      <c r="D236" s="165"/>
      <c r="E236" s="165"/>
      <c r="F236" s="166"/>
      <c r="G236" s="165"/>
      <c r="H236" s="167"/>
      <c r="I236" s="165" t="str">
        <f t="shared" si="9"/>
        <v/>
      </c>
      <c r="J236" s="168" t="str">
        <f t="shared" si="10"/>
        <v/>
      </c>
      <c r="K236" s="168"/>
      <c r="L236" s="168"/>
    </row>
    <row r="237" spans="1:12">
      <c r="A237" s="169"/>
      <c r="B237" s="169"/>
      <c r="C237" s="169"/>
      <c r="D237" s="169"/>
      <c r="E237" s="169"/>
      <c r="F237" s="170"/>
      <c r="G237" s="169"/>
      <c r="H237" s="171"/>
      <c r="I237" s="169" t="str">
        <f t="shared" si="9"/>
        <v/>
      </c>
      <c r="J237" s="172" t="str">
        <f t="shared" si="10"/>
        <v/>
      </c>
      <c r="K237" s="172"/>
      <c r="L237" s="172"/>
    </row>
    <row r="238" spans="1:12">
      <c r="A238" s="165"/>
      <c r="B238" s="165"/>
      <c r="C238" s="165"/>
      <c r="D238" s="165"/>
      <c r="E238" s="165"/>
      <c r="F238" s="166"/>
      <c r="G238" s="165"/>
      <c r="H238" s="167"/>
      <c r="I238" s="165" t="str">
        <f t="shared" si="9"/>
        <v/>
      </c>
      <c r="J238" s="168" t="str">
        <f t="shared" si="10"/>
        <v/>
      </c>
      <c r="K238" s="168"/>
      <c r="L238" s="168"/>
    </row>
    <row r="239" spans="1:12">
      <c r="A239" s="169"/>
      <c r="B239" s="169"/>
      <c r="C239" s="169"/>
      <c r="D239" s="169"/>
      <c r="E239" s="169"/>
      <c r="F239" s="170"/>
      <c r="G239" s="169"/>
      <c r="H239" s="171"/>
      <c r="I239" s="169" t="str">
        <f t="shared" si="9"/>
        <v/>
      </c>
      <c r="J239" s="172" t="str">
        <f t="shared" si="10"/>
        <v/>
      </c>
      <c r="K239" s="172"/>
      <c r="L239" s="172"/>
    </row>
    <row r="240" spans="1:12">
      <c r="A240" s="165"/>
      <c r="B240" s="165"/>
      <c r="C240" s="165"/>
      <c r="D240" s="165"/>
      <c r="E240" s="165"/>
      <c r="F240" s="166"/>
      <c r="G240" s="165"/>
      <c r="H240" s="167"/>
      <c r="I240" s="165" t="str">
        <f t="shared" si="9"/>
        <v/>
      </c>
      <c r="J240" s="168" t="str">
        <f t="shared" si="10"/>
        <v/>
      </c>
      <c r="K240" s="168"/>
      <c r="L240" s="168"/>
    </row>
    <row r="241" spans="1:12">
      <c r="A241" s="169"/>
      <c r="B241" s="169"/>
      <c r="C241" s="169"/>
      <c r="D241" s="169"/>
      <c r="E241" s="169"/>
      <c r="F241" s="170"/>
      <c r="G241" s="169"/>
      <c r="H241" s="171"/>
      <c r="I241" s="169" t="str">
        <f t="shared" si="9"/>
        <v/>
      </c>
      <c r="J241" s="172" t="str">
        <f t="shared" si="10"/>
        <v/>
      </c>
      <c r="K241" s="172"/>
      <c r="L241" s="172"/>
    </row>
    <row r="242" spans="1:12">
      <c r="A242" s="165"/>
      <c r="B242" s="165"/>
      <c r="C242" s="165"/>
      <c r="D242" s="165"/>
      <c r="E242" s="165"/>
      <c r="F242" s="166"/>
      <c r="G242" s="165"/>
      <c r="H242" s="167"/>
      <c r="I242" s="165" t="str">
        <f t="shared" si="9"/>
        <v/>
      </c>
      <c r="J242" s="168" t="str">
        <f t="shared" si="10"/>
        <v/>
      </c>
      <c r="K242" s="168"/>
      <c r="L242" s="168"/>
    </row>
    <row r="243" spans="1:12">
      <c r="A243" s="169"/>
      <c r="B243" s="169"/>
      <c r="C243" s="169"/>
      <c r="D243" s="169"/>
      <c r="E243" s="169"/>
      <c r="F243" s="170"/>
      <c r="G243" s="169"/>
      <c r="H243" s="171"/>
      <c r="I243" s="169" t="str">
        <f t="shared" si="9"/>
        <v/>
      </c>
      <c r="J243" s="172" t="str">
        <f t="shared" si="10"/>
        <v/>
      </c>
      <c r="K243" s="172"/>
      <c r="L243" s="172"/>
    </row>
    <row r="244" spans="1:12">
      <c r="A244" s="165"/>
      <c r="B244" s="165"/>
      <c r="C244" s="165"/>
      <c r="D244" s="165"/>
      <c r="E244" s="165"/>
      <c r="F244" s="166"/>
      <c r="G244" s="165"/>
      <c r="H244" s="167"/>
      <c r="I244" s="165" t="str">
        <f t="shared" si="9"/>
        <v/>
      </c>
      <c r="J244" s="168" t="str">
        <f t="shared" si="10"/>
        <v/>
      </c>
      <c r="K244" s="168"/>
      <c r="L244" s="168"/>
    </row>
    <row r="245" spans="1:12">
      <c r="A245" s="169"/>
      <c r="B245" s="169"/>
      <c r="C245" s="169"/>
      <c r="D245" s="169"/>
      <c r="E245" s="169"/>
      <c r="F245" s="170"/>
      <c r="G245" s="169"/>
      <c r="H245" s="171"/>
      <c r="I245" s="169" t="str">
        <f t="shared" si="9"/>
        <v/>
      </c>
      <c r="J245" s="172" t="str">
        <f t="shared" si="10"/>
        <v/>
      </c>
      <c r="K245" s="172"/>
      <c r="L245" s="172"/>
    </row>
    <row r="246" spans="1:12">
      <c r="A246" s="165"/>
      <c r="B246" s="165"/>
      <c r="C246" s="165"/>
      <c r="D246" s="165"/>
      <c r="E246" s="165"/>
      <c r="F246" s="166"/>
      <c r="G246" s="165"/>
      <c r="H246" s="167"/>
      <c r="I246" s="165" t="str">
        <f t="shared" si="9"/>
        <v/>
      </c>
      <c r="J246" s="168" t="str">
        <f t="shared" si="10"/>
        <v/>
      </c>
      <c r="K246" s="168"/>
      <c r="L246" s="168"/>
    </row>
    <row r="247" spans="1:12">
      <c r="A247" s="169"/>
      <c r="B247" s="169"/>
      <c r="C247" s="169"/>
      <c r="D247" s="169"/>
      <c r="E247" s="169"/>
      <c r="F247" s="170"/>
      <c r="G247" s="169"/>
      <c r="H247" s="171"/>
      <c r="I247" s="169" t="str">
        <f t="shared" si="9"/>
        <v/>
      </c>
      <c r="J247" s="172" t="str">
        <f t="shared" si="10"/>
        <v/>
      </c>
      <c r="K247" s="172"/>
      <c r="L247" s="172"/>
    </row>
    <row r="248" spans="1:12">
      <c r="A248" s="165"/>
      <c r="B248" s="165"/>
      <c r="C248" s="165"/>
      <c r="D248" s="165"/>
      <c r="E248" s="165"/>
      <c r="F248" s="166"/>
      <c r="G248" s="165"/>
      <c r="H248" s="167"/>
      <c r="I248" s="165" t="str">
        <f t="shared" si="9"/>
        <v/>
      </c>
      <c r="J248" s="168" t="str">
        <f t="shared" si="10"/>
        <v/>
      </c>
      <c r="K248" s="168"/>
      <c r="L248" s="168"/>
    </row>
    <row r="249" spans="1:12">
      <c r="A249" s="169"/>
      <c r="B249" s="169"/>
      <c r="C249" s="169"/>
      <c r="D249" s="169"/>
      <c r="E249" s="169"/>
      <c r="F249" s="170"/>
      <c r="G249" s="169"/>
      <c r="H249" s="171"/>
      <c r="I249" s="169" t="str">
        <f t="shared" si="9"/>
        <v/>
      </c>
      <c r="J249" s="172" t="str">
        <f t="shared" si="10"/>
        <v/>
      </c>
      <c r="K249" s="172"/>
      <c r="L249" s="172"/>
    </row>
    <row r="250" spans="1:12">
      <c r="A250" s="165"/>
      <c r="B250" s="165"/>
      <c r="C250" s="165"/>
      <c r="D250" s="165"/>
      <c r="E250" s="165"/>
      <c r="F250" s="166"/>
      <c r="G250" s="165"/>
      <c r="H250" s="167"/>
      <c r="I250" s="165" t="str">
        <f t="shared" si="9"/>
        <v/>
      </c>
      <c r="J250" s="168" t="str">
        <f t="shared" si="10"/>
        <v/>
      </c>
      <c r="K250" s="168"/>
      <c r="L250" s="168"/>
    </row>
    <row r="251" spans="1:12">
      <c r="A251" s="169"/>
      <c r="B251" s="169"/>
      <c r="C251" s="169"/>
      <c r="D251" s="169"/>
      <c r="E251" s="169"/>
      <c r="F251" s="170"/>
      <c r="G251" s="169"/>
      <c r="H251" s="171"/>
      <c r="I251" s="169" t="str">
        <f t="shared" si="9"/>
        <v/>
      </c>
      <c r="J251" s="172" t="str">
        <f t="shared" si="10"/>
        <v/>
      </c>
      <c r="K251" s="172"/>
      <c r="L251" s="172"/>
    </row>
    <row r="252" spans="1:12">
      <c r="A252" s="165"/>
      <c r="B252" s="165"/>
      <c r="C252" s="165"/>
      <c r="D252" s="165"/>
      <c r="E252" s="165"/>
      <c r="F252" s="166"/>
      <c r="G252" s="165"/>
      <c r="H252" s="167"/>
      <c r="I252" s="165" t="str">
        <f t="shared" si="9"/>
        <v/>
      </c>
      <c r="J252" s="168" t="str">
        <f t="shared" si="10"/>
        <v/>
      </c>
      <c r="K252" s="168"/>
      <c r="L252" s="168"/>
    </row>
    <row r="253" spans="1:12">
      <c r="A253" s="169"/>
      <c r="B253" s="169"/>
      <c r="C253" s="169"/>
      <c r="D253" s="169"/>
      <c r="E253" s="169"/>
      <c r="F253" s="170"/>
      <c r="G253" s="169"/>
      <c r="H253" s="171"/>
      <c r="I253" s="169" t="str">
        <f t="shared" si="9"/>
        <v/>
      </c>
      <c r="J253" s="172" t="str">
        <f t="shared" si="10"/>
        <v/>
      </c>
      <c r="K253" s="172"/>
      <c r="L253" s="172"/>
    </row>
    <row r="254" spans="1:12">
      <c r="A254" s="165"/>
      <c r="B254" s="165"/>
      <c r="C254" s="165"/>
      <c r="D254" s="165"/>
      <c r="E254" s="165"/>
      <c r="F254" s="166"/>
      <c r="G254" s="165"/>
      <c r="H254" s="167"/>
      <c r="I254" s="165" t="str">
        <f t="shared" si="9"/>
        <v/>
      </c>
      <c r="J254" s="168" t="str">
        <f t="shared" si="10"/>
        <v/>
      </c>
      <c r="K254" s="168"/>
      <c r="L254" s="168"/>
    </row>
    <row r="255" spans="1:12">
      <c r="A255" s="169"/>
      <c r="B255" s="169"/>
      <c r="C255" s="169"/>
      <c r="D255" s="169"/>
      <c r="E255" s="169"/>
      <c r="F255" s="170"/>
      <c r="G255" s="169"/>
      <c r="H255" s="171"/>
      <c r="I255" s="169" t="str">
        <f t="shared" si="9"/>
        <v/>
      </c>
      <c r="J255" s="172" t="str">
        <f t="shared" si="10"/>
        <v/>
      </c>
      <c r="K255" s="172"/>
      <c r="L255" s="172"/>
    </row>
    <row r="256" spans="1:12">
      <c r="A256" s="165"/>
      <c r="B256" s="165"/>
      <c r="C256" s="165"/>
      <c r="D256" s="165"/>
      <c r="E256" s="165"/>
      <c r="F256" s="166"/>
      <c r="G256" s="165"/>
      <c r="H256" s="167"/>
      <c r="I256" s="165" t="str">
        <f t="shared" si="9"/>
        <v/>
      </c>
      <c r="J256" s="168" t="str">
        <f t="shared" si="10"/>
        <v/>
      </c>
      <c r="K256" s="168"/>
      <c r="L256" s="168"/>
    </row>
    <row r="257" spans="1:12">
      <c r="A257" s="169"/>
      <c r="B257" s="169"/>
      <c r="C257" s="169"/>
      <c r="D257" s="169"/>
      <c r="E257" s="169"/>
      <c r="F257" s="170"/>
      <c r="G257" s="169"/>
      <c r="H257" s="171"/>
      <c r="I257" s="169" t="str">
        <f t="shared" si="9"/>
        <v/>
      </c>
      <c r="J257" s="172" t="str">
        <f t="shared" si="10"/>
        <v/>
      </c>
      <c r="K257" s="172"/>
      <c r="L257" s="172"/>
    </row>
    <row r="258" spans="1:12">
      <c r="A258" s="165"/>
      <c r="B258" s="165"/>
      <c r="C258" s="165"/>
      <c r="D258" s="165"/>
      <c r="E258" s="165"/>
      <c r="F258" s="166"/>
      <c r="G258" s="165"/>
      <c r="H258" s="167"/>
      <c r="I258" s="165" t="str">
        <f t="shared" ref="I258:I321" si="11">IFERROR(IF(H258="","",DATEVALUE(MID(H258,6,11))),"Check date format")</f>
        <v/>
      </c>
      <c r="J258" s="168" t="str">
        <f t="shared" si="10"/>
        <v/>
      </c>
      <c r="K258" s="168"/>
      <c r="L258" s="168"/>
    </row>
    <row r="259" spans="1:12">
      <c r="A259" s="169"/>
      <c r="B259" s="169"/>
      <c r="C259" s="169"/>
      <c r="D259" s="169"/>
      <c r="E259" s="169"/>
      <c r="F259" s="170"/>
      <c r="G259" s="169"/>
      <c r="H259" s="171"/>
      <c r="I259" s="169" t="str">
        <f t="shared" si="11"/>
        <v/>
      </c>
      <c r="J259" s="172" t="str">
        <f t="shared" ref="J259:J322" si="12">IF(OR(F259="",I259=""),"",F259+IF(I259=I258,N(J258),0))</f>
        <v/>
      </c>
      <c r="K259" s="172"/>
      <c r="L259" s="172"/>
    </row>
    <row r="260" spans="1:12">
      <c r="A260" s="165"/>
      <c r="B260" s="165"/>
      <c r="C260" s="165"/>
      <c r="D260" s="165"/>
      <c r="E260" s="165"/>
      <c r="F260" s="166"/>
      <c r="G260" s="165"/>
      <c r="H260" s="167"/>
      <c r="I260" s="165" t="str">
        <f t="shared" si="11"/>
        <v/>
      </c>
      <c r="J260" s="168" t="str">
        <f t="shared" si="12"/>
        <v/>
      </c>
      <c r="K260" s="168"/>
      <c r="L260" s="168"/>
    </row>
    <row r="261" spans="1:12">
      <c r="A261" s="169"/>
      <c r="B261" s="169"/>
      <c r="C261" s="169"/>
      <c r="D261" s="169"/>
      <c r="E261" s="169"/>
      <c r="F261" s="170"/>
      <c r="G261" s="169"/>
      <c r="H261" s="171"/>
      <c r="I261" s="169" t="str">
        <f t="shared" si="11"/>
        <v/>
      </c>
      <c r="J261" s="172" t="str">
        <f t="shared" si="12"/>
        <v/>
      </c>
      <c r="K261" s="172"/>
      <c r="L261" s="172"/>
    </row>
    <row r="262" spans="1:12">
      <c r="A262" s="165"/>
      <c r="B262" s="165"/>
      <c r="C262" s="165"/>
      <c r="D262" s="165"/>
      <c r="E262" s="165"/>
      <c r="F262" s="166"/>
      <c r="G262" s="165"/>
      <c r="H262" s="167"/>
      <c r="I262" s="165" t="str">
        <f t="shared" si="11"/>
        <v/>
      </c>
      <c r="J262" s="168" t="str">
        <f t="shared" si="12"/>
        <v/>
      </c>
      <c r="K262" s="168"/>
      <c r="L262" s="168"/>
    </row>
    <row r="263" spans="1:12">
      <c r="A263" s="169"/>
      <c r="B263" s="169"/>
      <c r="C263" s="169"/>
      <c r="D263" s="169"/>
      <c r="E263" s="169"/>
      <c r="F263" s="170"/>
      <c r="G263" s="169"/>
      <c r="H263" s="171"/>
      <c r="I263" s="169" t="str">
        <f t="shared" si="11"/>
        <v/>
      </c>
      <c r="J263" s="172" t="str">
        <f t="shared" si="12"/>
        <v/>
      </c>
      <c r="K263" s="172"/>
      <c r="L263" s="172"/>
    </row>
    <row r="264" spans="1:12">
      <c r="A264" s="165"/>
      <c r="B264" s="165"/>
      <c r="C264" s="165"/>
      <c r="D264" s="165"/>
      <c r="E264" s="165"/>
      <c r="F264" s="166"/>
      <c r="G264" s="165"/>
      <c r="H264" s="167"/>
      <c r="I264" s="165" t="str">
        <f t="shared" si="11"/>
        <v/>
      </c>
      <c r="J264" s="168" t="str">
        <f t="shared" si="12"/>
        <v/>
      </c>
      <c r="K264" s="168"/>
      <c r="L264" s="168"/>
    </row>
    <row r="265" spans="1:12">
      <c r="A265" s="169"/>
      <c r="B265" s="169"/>
      <c r="C265" s="169"/>
      <c r="D265" s="169"/>
      <c r="E265" s="169"/>
      <c r="F265" s="170"/>
      <c r="G265" s="169"/>
      <c r="H265" s="171"/>
      <c r="I265" s="169" t="str">
        <f t="shared" si="11"/>
        <v/>
      </c>
      <c r="J265" s="172" t="str">
        <f t="shared" si="12"/>
        <v/>
      </c>
      <c r="K265" s="172"/>
      <c r="L265" s="172"/>
    </row>
    <row r="266" spans="1:12">
      <c r="A266" s="165"/>
      <c r="B266" s="165"/>
      <c r="C266" s="165"/>
      <c r="D266" s="165"/>
      <c r="E266" s="165"/>
      <c r="F266" s="166"/>
      <c r="G266" s="165"/>
      <c r="H266" s="167"/>
      <c r="I266" s="165" t="str">
        <f t="shared" si="11"/>
        <v/>
      </c>
      <c r="J266" s="168" t="str">
        <f t="shared" si="12"/>
        <v/>
      </c>
      <c r="K266" s="168"/>
      <c r="L266" s="168"/>
    </row>
    <row r="267" spans="1:12">
      <c r="A267" s="169"/>
      <c r="B267" s="169"/>
      <c r="C267" s="169"/>
      <c r="D267" s="169"/>
      <c r="E267" s="169"/>
      <c r="F267" s="170"/>
      <c r="G267" s="169"/>
      <c r="H267" s="171"/>
      <c r="I267" s="169" t="str">
        <f t="shared" si="11"/>
        <v/>
      </c>
      <c r="J267" s="172" t="str">
        <f t="shared" si="12"/>
        <v/>
      </c>
      <c r="K267" s="172"/>
      <c r="L267" s="172"/>
    </row>
    <row r="268" spans="1:12">
      <c r="A268" s="165"/>
      <c r="B268" s="165"/>
      <c r="C268" s="165"/>
      <c r="D268" s="165"/>
      <c r="E268" s="165"/>
      <c r="F268" s="166"/>
      <c r="G268" s="165"/>
      <c r="H268" s="167"/>
      <c r="I268" s="165" t="str">
        <f t="shared" si="11"/>
        <v/>
      </c>
      <c r="J268" s="168" t="str">
        <f t="shared" si="12"/>
        <v/>
      </c>
      <c r="K268" s="168"/>
      <c r="L268" s="168"/>
    </row>
    <row r="269" spans="1:12">
      <c r="A269" s="169"/>
      <c r="B269" s="169"/>
      <c r="C269" s="169"/>
      <c r="D269" s="169"/>
      <c r="E269" s="169"/>
      <c r="F269" s="170"/>
      <c r="G269" s="169"/>
      <c r="H269" s="171"/>
      <c r="I269" s="169" t="str">
        <f t="shared" si="11"/>
        <v/>
      </c>
      <c r="J269" s="172" t="str">
        <f t="shared" si="12"/>
        <v/>
      </c>
      <c r="K269" s="172"/>
      <c r="L269" s="172"/>
    </row>
    <row r="270" spans="1:12">
      <c r="A270" s="165"/>
      <c r="B270" s="165"/>
      <c r="C270" s="165"/>
      <c r="D270" s="165"/>
      <c r="E270" s="165"/>
      <c r="F270" s="166"/>
      <c r="G270" s="165"/>
      <c r="H270" s="167"/>
      <c r="I270" s="165" t="str">
        <f t="shared" si="11"/>
        <v/>
      </c>
      <c r="J270" s="168" t="str">
        <f t="shared" si="12"/>
        <v/>
      </c>
      <c r="K270" s="168"/>
      <c r="L270" s="168"/>
    </row>
    <row r="271" spans="1:12">
      <c r="A271" s="169"/>
      <c r="B271" s="169"/>
      <c r="C271" s="169"/>
      <c r="D271" s="169"/>
      <c r="E271" s="169"/>
      <c r="F271" s="170"/>
      <c r="G271" s="169"/>
      <c r="H271" s="171"/>
      <c r="I271" s="169" t="str">
        <f t="shared" si="11"/>
        <v/>
      </c>
      <c r="J271" s="172" t="str">
        <f t="shared" si="12"/>
        <v/>
      </c>
      <c r="K271" s="172"/>
      <c r="L271" s="172"/>
    </row>
    <row r="272" spans="1:12">
      <c r="A272" s="165"/>
      <c r="B272" s="165"/>
      <c r="C272" s="165"/>
      <c r="D272" s="165"/>
      <c r="E272" s="165"/>
      <c r="F272" s="166"/>
      <c r="G272" s="165"/>
      <c r="H272" s="167"/>
      <c r="I272" s="165" t="str">
        <f t="shared" si="11"/>
        <v/>
      </c>
      <c r="J272" s="168" t="str">
        <f t="shared" si="12"/>
        <v/>
      </c>
      <c r="K272" s="168"/>
      <c r="L272" s="168"/>
    </row>
    <row r="273" spans="1:12">
      <c r="A273" s="169"/>
      <c r="B273" s="169"/>
      <c r="C273" s="169"/>
      <c r="D273" s="169"/>
      <c r="E273" s="169"/>
      <c r="F273" s="170"/>
      <c r="G273" s="169"/>
      <c r="H273" s="171"/>
      <c r="I273" s="169" t="str">
        <f t="shared" si="11"/>
        <v/>
      </c>
      <c r="J273" s="172" t="str">
        <f t="shared" si="12"/>
        <v/>
      </c>
      <c r="K273" s="172"/>
      <c r="L273" s="172"/>
    </row>
    <row r="274" spans="1:12">
      <c r="A274" s="165"/>
      <c r="B274" s="165"/>
      <c r="C274" s="165"/>
      <c r="D274" s="165"/>
      <c r="E274" s="165"/>
      <c r="F274" s="166"/>
      <c r="G274" s="165"/>
      <c r="H274" s="167"/>
      <c r="I274" s="165" t="str">
        <f t="shared" si="11"/>
        <v/>
      </c>
      <c r="J274" s="168" t="str">
        <f t="shared" si="12"/>
        <v/>
      </c>
      <c r="K274" s="168"/>
      <c r="L274" s="168"/>
    </row>
    <row r="275" spans="1:12">
      <c r="A275" s="169"/>
      <c r="B275" s="169"/>
      <c r="C275" s="169"/>
      <c r="D275" s="169"/>
      <c r="E275" s="169"/>
      <c r="F275" s="170"/>
      <c r="G275" s="169"/>
      <c r="H275" s="171"/>
      <c r="I275" s="169" t="str">
        <f t="shared" si="11"/>
        <v/>
      </c>
      <c r="J275" s="172" t="str">
        <f t="shared" si="12"/>
        <v/>
      </c>
      <c r="K275" s="172"/>
      <c r="L275" s="172"/>
    </row>
    <row r="276" spans="1:12">
      <c r="A276" s="165"/>
      <c r="B276" s="165"/>
      <c r="C276" s="165"/>
      <c r="D276" s="165"/>
      <c r="E276" s="165"/>
      <c r="F276" s="166"/>
      <c r="G276" s="165"/>
      <c r="H276" s="167"/>
      <c r="I276" s="165" t="str">
        <f t="shared" si="11"/>
        <v/>
      </c>
      <c r="J276" s="168" t="str">
        <f t="shared" si="12"/>
        <v/>
      </c>
      <c r="K276" s="168"/>
      <c r="L276" s="168"/>
    </row>
    <row r="277" spans="1:12">
      <c r="A277" s="169"/>
      <c r="B277" s="169"/>
      <c r="C277" s="169"/>
      <c r="D277" s="169"/>
      <c r="E277" s="169"/>
      <c r="F277" s="170"/>
      <c r="G277" s="169"/>
      <c r="H277" s="171"/>
      <c r="I277" s="169" t="str">
        <f t="shared" si="11"/>
        <v/>
      </c>
      <c r="J277" s="172" t="str">
        <f t="shared" si="12"/>
        <v/>
      </c>
      <c r="K277" s="172"/>
      <c r="L277" s="172"/>
    </row>
    <row r="278" spans="1:12">
      <c r="A278" s="165"/>
      <c r="B278" s="165"/>
      <c r="C278" s="165"/>
      <c r="D278" s="165"/>
      <c r="E278" s="165"/>
      <c r="F278" s="166"/>
      <c r="G278" s="165"/>
      <c r="H278" s="167"/>
      <c r="I278" s="165" t="str">
        <f t="shared" si="11"/>
        <v/>
      </c>
      <c r="J278" s="168" t="str">
        <f t="shared" si="12"/>
        <v/>
      </c>
      <c r="K278" s="168"/>
      <c r="L278" s="168"/>
    </row>
    <row r="279" spans="1:12">
      <c r="A279" s="169"/>
      <c r="B279" s="169"/>
      <c r="C279" s="169"/>
      <c r="D279" s="169"/>
      <c r="E279" s="169"/>
      <c r="F279" s="170"/>
      <c r="G279" s="169"/>
      <c r="H279" s="171"/>
      <c r="I279" s="169" t="str">
        <f t="shared" si="11"/>
        <v/>
      </c>
      <c r="J279" s="172" t="str">
        <f t="shared" si="12"/>
        <v/>
      </c>
      <c r="K279" s="172"/>
      <c r="L279" s="172"/>
    </row>
    <row r="280" spans="1:12">
      <c r="A280" s="165"/>
      <c r="B280" s="165"/>
      <c r="C280" s="165"/>
      <c r="D280" s="165"/>
      <c r="E280" s="165"/>
      <c r="F280" s="166"/>
      <c r="G280" s="165"/>
      <c r="H280" s="167"/>
      <c r="I280" s="165" t="str">
        <f t="shared" si="11"/>
        <v/>
      </c>
      <c r="J280" s="168" t="str">
        <f t="shared" si="12"/>
        <v/>
      </c>
      <c r="K280" s="168"/>
      <c r="L280" s="168"/>
    </row>
    <row r="281" spans="1:12">
      <c r="A281" s="169"/>
      <c r="B281" s="169"/>
      <c r="C281" s="169"/>
      <c r="D281" s="169"/>
      <c r="E281" s="169"/>
      <c r="F281" s="170"/>
      <c r="G281" s="169"/>
      <c r="H281" s="171"/>
      <c r="I281" s="169" t="str">
        <f t="shared" si="11"/>
        <v/>
      </c>
      <c r="J281" s="172" t="str">
        <f t="shared" si="12"/>
        <v/>
      </c>
      <c r="K281" s="172"/>
      <c r="L281" s="172"/>
    </row>
    <row r="282" spans="1:12">
      <c r="A282" s="165"/>
      <c r="B282" s="165"/>
      <c r="C282" s="165"/>
      <c r="D282" s="165"/>
      <c r="E282" s="165"/>
      <c r="F282" s="166"/>
      <c r="G282" s="165"/>
      <c r="H282" s="167"/>
      <c r="I282" s="165" t="str">
        <f t="shared" si="11"/>
        <v/>
      </c>
      <c r="J282" s="168" t="str">
        <f t="shared" si="12"/>
        <v/>
      </c>
      <c r="K282" s="168"/>
      <c r="L282" s="168"/>
    </row>
    <row r="283" spans="1:12">
      <c r="A283" s="169"/>
      <c r="B283" s="169"/>
      <c r="C283" s="169"/>
      <c r="D283" s="169"/>
      <c r="E283" s="169"/>
      <c r="F283" s="170"/>
      <c r="G283" s="169"/>
      <c r="H283" s="171"/>
      <c r="I283" s="169" t="str">
        <f t="shared" si="11"/>
        <v/>
      </c>
      <c r="J283" s="172" t="str">
        <f t="shared" si="12"/>
        <v/>
      </c>
      <c r="K283" s="172"/>
      <c r="L283" s="172"/>
    </row>
    <row r="284" spans="1:12">
      <c r="A284" s="165"/>
      <c r="B284" s="165"/>
      <c r="C284" s="165"/>
      <c r="D284" s="165"/>
      <c r="E284" s="165"/>
      <c r="F284" s="166"/>
      <c r="G284" s="165"/>
      <c r="H284" s="167"/>
      <c r="I284" s="165" t="str">
        <f t="shared" si="11"/>
        <v/>
      </c>
      <c r="J284" s="168" t="str">
        <f t="shared" si="12"/>
        <v/>
      </c>
      <c r="K284" s="168"/>
      <c r="L284" s="168"/>
    </row>
    <row r="285" spans="1:12">
      <c r="A285" s="169"/>
      <c r="B285" s="169"/>
      <c r="C285" s="169"/>
      <c r="D285" s="169"/>
      <c r="E285" s="169"/>
      <c r="F285" s="170"/>
      <c r="G285" s="169"/>
      <c r="H285" s="171"/>
      <c r="I285" s="169" t="str">
        <f t="shared" si="11"/>
        <v/>
      </c>
      <c r="J285" s="172" t="str">
        <f t="shared" si="12"/>
        <v/>
      </c>
      <c r="K285" s="172"/>
      <c r="L285" s="172"/>
    </row>
    <row r="286" spans="1:12">
      <c r="A286" s="165"/>
      <c r="B286" s="165"/>
      <c r="C286" s="165"/>
      <c r="D286" s="165"/>
      <c r="E286" s="165"/>
      <c r="F286" s="166"/>
      <c r="G286" s="165"/>
      <c r="H286" s="167"/>
      <c r="I286" s="165" t="str">
        <f t="shared" si="11"/>
        <v/>
      </c>
      <c r="J286" s="168" t="str">
        <f t="shared" si="12"/>
        <v/>
      </c>
      <c r="K286" s="168"/>
      <c r="L286" s="168"/>
    </row>
    <row r="287" spans="1:12">
      <c r="A287" s="169"/>
      <c r="B287" s="169"/>
      <c r="C287" s="169"/>
      <c r="D287" s="169"/>
      <c r="E287" s="169"/>
      <c r="F287" s="170"/>
      <c r="G287" s="169"/>
      <c r="H287" s="171"/>
      <c r="I287" s="169" t="str">
        <f t="shared" si="11"/>
        <v/>
      </c>
      <c r="J287" s="172" t="str">
        <f t="shared" si="12"/>
        <v/>
      </c>
      <c r="K287" s="172"/>
      <c r="L287" s="172"/>
    </row>
    <row r="288" spans="1:12">
      <c r="A288" s="165"/>
      <c r="B288" s="165"/>
      <c r="C288" s="165"/>
      <c r="D288" s="165"/>
      <c r="E288" s="165"/>
      <c r="F288" s="166"/>
      <c r="G288" s="165"/>
      <c r="H288" s="167"/>
      <c r="I288" s="165" t="str">
        <f t="shared" si="11"/>
        <v/>
      </c>
      <c r="J288" s="168" t="str">
        <f t="shared" si="12"/>
        <v/>
      </c>
      <c r="K288" s="168"/>
      <c r="L288" s="168"/>
    </row>
    <row r="289" spans="1:12">
      <c r="A289" s="169"/>
      <c r="B289" s="169"/>
      <c r="C289" s="169"/>
      <c r="D289" s="169"/>
      <c r="E289" s="169"/>
      <c r="F289" s="170"/>
      <c r="G289" s="169"/>
      <c r="H289" s="171"/>
      <c r="I289" s="169" t="str">
        <f t="shared" si="11"/>
        <v/>
      </c>
      <c r="J289" s="172" t="str">
        <f t="shared" si="12"/>
        <v/>
      </c>
      <c r="K289" s="172"/>
      <c r="L289" s="172"/>
    </row>
    <row r="290" spans="1:12">
      <c r="A290" s="165"/>
      <c r="B290" s="165"/>
      <c r="C290" s="165"/>
      <c r="D290" s="165"/>
      <c r="E290" s="165"/>
      <c r="F290" s="166"/>
      <c r="G290" s="165"/>
      <c r="H290" s="167"/>
      <c r="I290" s="165" t="str">
        <f t="shared" si="11"/>
        <v/>
      </c>
      <c r="J290" s="168" t="str">
        <f t="shared" si="12"/>
        <v/>
      </c>
      <c r="K290" s="168"/>
      <c r="L290" s="168"/>
    </row>
    <row r="291" spans="1:12">
      <c r="A291" s="169"/>
      <c r="B291" s="169"/>
      <c r="C291" s="169"/>
      <c r="D291" s="169"/>
      <c r="E291" s="169"/>
      <c r="F291" s="170"/>
      <c r="G291" s="169"/>
      <c r="H291" s="171"/>
      <c r="I291" s="169" t="str">
        <f t="shared" si="11"/>
        <v/>
      </c>
      <c r="J291" s="172" t="str">
        <f t="shared" si="12"/>
        <v/>
      </c>
      <c r="K291" s="172"/>
      <c r="L291" s="172"/>
    </row>
    <row r="292" spans="1:12">
      <c r="A292" s="165"/>
      <c r="B292" s="165"/>
      <c r="C292" s="165"/>
      <c r="D292" s="165"/>
      <c r="E292" s="165"/>
      <c r="F292" s="166"/>
      <c r="G292" s="165"/>
      <c r="H292" s="167"/>
      <c r="I292" s="165" t="str">
        <f t="shared" si="11"/>
        <v/>
      </c>
      <c r="J292" s="168" t="str">
        <f t="shared" si="12"/>
        <v/>
      </c>
      <c r="K292" s="168"/>
      <c r="L292" s="168"/>
    </row>
    <row r="293" spans="1:12">
      <c r="A293" s="169"/>
      <c r="B293" s="169"/>
      <c r="C293" s="169"/>
      <c r="D293" s="169"/>
      <c r="E293" s="169"/>
      <c r="F293" s="170"/>
      <c r="G293" s="169"/>
      <c r="H293" s="171"/>
      <c r="I293" s="169" t="str">
        <f t="shared" si="11"/>
        <v/>
      </c>
      <c r="J293" s="172" t="str">
        <f t="shared" si="12"/>
        <v/>
      </c>
      <c r="K293" s="172"/>
      <c r="L293" s="172"/>
    </row>
    <row r="294" spans="1:12">
      <c r="A294" s="165"/>
      <c r="B294" s="165"/>
      <c r="C294" s="165"/>
      <c r="D294" s="165"/>
      <c r="E294" s="165"/>
      <c r="F294" s="166"/>
      <c r="G294" s="165"/>
      <c r="H294" s="167"/>
      <c r="I294" s="165" t="str">
        <f t="shared" si="11"/>
        <v/>
      </c>
      <c r="J294" s="168" t="str">
        <f t="shared" si="12"/>
        <v/>
      </c>
      <c r="K294" s="168"/>
      <c r="L294" s="168"/>
    </row>
    <row r="295" spans="1:12">
      <c r="A295" s="169"/>
      <c r="B295" s="169"/>
      <c r="C295" s="169"/>
      <c r="D295" s="169"/>
      <c r="E295" s="169"/>
      <c r="F295" s="170"/>
      <c r="G295" s="169"/>
      <c r="H295" s="171"/>
      <c r="I295" s="169" t="str">
        <f t="shared" si="11"/>
        <v/>
      </c>
      <c r="J295" s="172" t="str">
        <f t="shared" si="12"/>
        <v/>
      </c>
      <c r="K295" s="172"/>
      <c r="L295" s="172"/>
    </row>
    <row r="296" spans="1:12">
      <c r="A296" s="165"/>
      <c r="B296" s="165"/>
      <c r="C296" s="165"/>
      <c r="D296" s="165"/>
      <c r="E296" s="165"/>
      <c r="F296" s="166"/>
      <c r="G296" s="165"/>
      <c r="H296" s="167"/>
      <c r="I296" s="165" t="str">
        <f t="shared" si="11"/>
        <v/>
      </c>
      <c r="J296" s="168" t="str">
        <f t="shared" si="12"/>
        <v/>
      </c>
      <c r="K296" s="168"/>
      <c r="L296" s="168"/>
    </row>
    <row r="297" spans="1:12">
      <c r="A297" s="169"/>
      <c r="B297" s="169"/>
      <c r="C297" s="169"/>
      <c r="D297" s="169"/>
      <c r="E297" s="169"/>
      <c r="F297" s="170"/>
      <c r="G297" s="169"/>
      <c r="H297" s="171"/>
      <c r="I297" s="169" t="str">
        <f t="shared" si="11"/>
        <v/>
      </c>
      <c r="J297" s="172" t="str">
        <f t="shared" si="12"/>
        <v/>
      </c>
      <c r="K297" s="172"/>
      <c r="L297" s="172"/>
    </row>
    <row r="298" spans="1:12">
      <c r="A298" s="165"/>
      <c r="B298" s="165"/>
      <c r="C298" s="165"/>
      <c r="D298" s="165"/>
      <c r="E298" s="165"/>
      <c r="F298" s="166"/>
      <c r="G298" s="165"/>
      <c r="H298" s="167"/>
      <c r="I298" s="165" t="str">
        <f t="shared" si="11"/>
        <v/>
      </c>
      <c r="J298" s="168" t="str">
        <f t="shared" si="12"/>
        <v/>
      </c>
      <c r="K298" s="168"/>
      <c r="L298" s="168"/>
    </row>
    <row r="299" spans="1:12">
      <c r="A299" s="169"/>
      <c r="B299" s="169"/>
      <c r="C299" s="169"/>
      <c r="D299" s="169"/>
      <c r="E299" s="169"/>
      <c r="F299" s="170"/>
      <c r="G299" s="169"/>
      <c r="H299" s="171"/>
      <c r="I299" s="169" t="str">
        <f t="shared" si="11"/>
        <v/>
      </c>
      <c r="J299" s="172" t="str">
        <f t="shared" si="12"/>
        <v/>
      </c>
      <c r="K299" s="172"/>
      <c r="L299" s="172"/>
    </row>
    <row r="300" spans="1:12">
      <c r="A300" s="165"/>
      <c r="B300" s="165"/>
      <c r="C300" s="165"/>
      <c r="D300" s="165"/>
      <c r="E300" s="165"/>
      <c r="F300" s="166"/>
      <c r="G300" s="165"/>
      <c r="H300" s="167"/>
      <c r="I300" s="165" t="str">
        <f t="shared" si="11"/>
        <v/>
      </c>
      <c r="J300" s="168" t="str">
        <f t="shared" si="12"/>
        <v/>
      </c>
      <c r="K300" s="168"/>
      <c r="L300" s="168"/>
    </row>
    <row r="301" spans="1:12">
      <c r="A301" s="169"/>
      <c r="B301" s="169"/>
      <c r="C301" s="169"/>
      <c r="D301" s="169"/>
      <c r="E301" s="169"/>
      <c r="F301" s="170"/>
      <c r="G301" s="169"/>
      <c r="H301" s="171"/>
      <c r="I301" s="169" t="str">
        <f t="shared" si="11"/>
        <v/>
      </c>
      <c r="J301" s="172" t="str">
        <f t="shared" si="12"/>
        <v/>
      </c>
      <c r="K301" s="172"/>
      <c r="L301" s="172"/>
    </row>
    <row r="302" spans="1:12">
      <c r="A302" s="165"/>
      <c r="B302" s="165"/>
      <c r="C302" s="165"/>
      <c r="D302" s="165"/>
      <c r="E302" s="165"/>
      <c r="F302" s="166"/>
      <c r="G302" s="165"/>
      <c r="H302" s="167"/>
      <c r="I302" s="165" t="str">
        <f t="shared" si="11"/>
        <v/>
      </c>
      <c r="J302" s="168" t="str">
        <f t="shared" si="12"/>
        <v/>
      </c>
      <c r="K302" s="168"/>
      <c r="L302" s="168"/>
    </row>
    <row r="303" spans="1:12">
      <c r="A303" s="169"/>
      <c r="B303" s="169"/>
      <c r="C303" s="169"/>
      <c r="D303" s="169"/>
      <c r="E303" s="169"/>
      <c r="F303" s="170"/>
      <c r="G303" s="169"/>
      <c r="H303" s="171"/>
      <c r="I303" s="169" t="str">
        <f t="shared" si="11"/>
        <v/>
      </c>
      <c r="J303" s="172" t="str">
        <f t="shared" si="12"/>
        <v/>
      </c>
      <c r="K303" s="172"/>
      <c r="L303" s="172"/>
    </row>
    <row r="304" spans="1:12">
      <c r="A304" s="165"/>
      <c r="B304" s="165"/>
      <c r="C304" s="165"/>
      <c r="D304" s="165"/>
      <c r="E304" s="165"/>
      <c r="F304" s="166"/>
      <c r="G304" s="165"/>
      <c r="H304" s="167"/>
      <c r="I304" s="165" t="str">
        <f t="shared" si="11"/>
        <v/>
      </c>
      <c r="J304" s="168" t="str">
        <f t="shared" si="12"/>
        <v/>
      </c>
      <c r="K304" s="168"/>
      <c r="L304" s="168"/>
    </row>
    <row r="305" spans="1:12">
      <c r="A305" s="169"/>
      <c r="B305" s="169"/>
      <c r="C305" s="169"/>
      <c r="D305" s="169"/>
      <c r="E305" s="169"/>
      <c r="F305" s="170"/>
      <c r="G305" s="169"/>
      <c r="H305" s="171"/>
      <c r="I305" s="169" t="str">
        <f t="shared" si="11"/>
        <v/>
      </c>
      <c r="J305" s="172" t="str">
        <f t="shared" si="12"/>
        <v/>
      </c>
      <c r="K305" s="172"/>
      <c r="L305" s="172"/>
    </row>
    <row r="306" spans="1:12">
      <c r="A306" s="165"/>
      <c r="B306" s="165"/>
      <c r="C306" s="165"/>
      <c r="D306" s="165"/>
      <c r="E306" s="165"/>
      <c r="F306" s="166"/>
      <c r="G306" s="165"/>
      <c r="H306" s="167"/>
      <c r="I306" s="165" t="str">
        <f t="shared" si="11"/>
        <v/>
      </c>
      <c r="J306" s="168" t="str">
        <f t="shared" si="12"/>
        <v/>
      </c>
      <c r="K306" s="168"/>
      <c r="L306" s="168"/>
    </row>
    <row r="307" spans="1:12">
      <c r="A307" s="169"/>
      <c r="B307" s="169"/>
      <c r="C307" s="169"/>
      <c r="D307" s="169"/>
      <c r="E307" s="169"/>
      <c r="F307" s="170"/>
      <c r="G307" s="169"/>
      <c r="H307" s="171"/>
      <c r="I307" s="169" t="str">
        <f t="shared" si="11"/>
        <v/>
      </c>
      <c r="J307" s="172" t="str">
        <f t="shared" si="12"/>
        <v/>
      </c>
      <c r="K307" s="172"/>
      <c r="L307" s="172"/>
    </row>
    <row r="308" spans="1:12">
      <c r="A308" s="165"/>
      <c r="B308" s="165"/>
      <c r="C308" s="165"/>
      <c r="D308" s="165"/>
      <c r="E308" s="165"/>
      <c r="F308" s="166"/>
      <c r="G308" s="165"/>
      <c r="H308" s="167"/>
      <c r="I308" s="165" t="str">
        <f t="shared" si="11"/>
        <v/>
      </c>
      <c r="J308" s="168" t="str">
        <f t="shared" si="12"/>
        <v/>
      </c>
      <c r="K308" s="168"/>
      <c r="L308" s="168"/>
    </row>
    <row r="309" spans="1:12">
      <c r="A309" s="169"/>
      <c r="B309" s="169"/>
      <c r="C309" s="169"/>
      <c r="D309" s="169"/>
      <c r="E309" s="169"/>
      <c r="F309" s="170"/>
      <c r="G309" s="169"/>
      <c r="H309" s="171"/>
      <c r="I309" s="169" t="str">
        <f t="shared" si="11"/>
        <v/>
      </c>
      <c r="J309" s="172" t="str">
        <f t="shared" si="12"/>
        <v/>
      </c>
      <c r="K309" s="172"/>
      <c r="L309" s="172"/>
    </row>
    <row r="310" spans="1:12">
      <c r="A310" s="165"/>
      <c r="B310" s="165"/>
      <c r="C310" s="165"/>
      <c r="D310" s="165"/>
      <c r="E310" s="165"/>
      <c r="F310" s="166"/>
      <c r="G310" s="165"/>
      <c r="H310" s="167"/>
      <c r="I310" s="165" t="str">
        <f t="shared" si="11"/>
        <v/>
      </c>
      <c r="J310" s="168" t="str">
        <f t="shared" si="12"/>
        <v/>
      </c>
      <c r="K310" s="168"/>
      <c r="L310" s="168"/>
    </row>
    <row r="311" spans="1:12">
      <c r="A311" s="169"/>
      <c r="B311" s="169"/>
      <c r="C311" s="169"/>
      <c r="D311" s="169"/>
      <c r="E311" s="169"/>
      <c r="F311" s="170"/>
      <c r="G311" s="169"/>
      <c r="H311" s="171"/>
      <c r="I311" s="169" t="str">
        <f t="shared" si="11"/>
        <v/>
      </c>
      <c r="J311" s="172" t="str">
        <f t="shared" si="12"/>
        <v/>
      </c>
      <c r="K311" s="172"/>
      <c r="L311" s="172"/>
    </row>
    <row r="312" spans="1:12">
      <c r="A312" s="165"/>
      <c r="B312" s="165"/>
      <c r="C312" s="165"/>
      <c r="D312" s="165"/>
      <c r="E312" s="165"/>
      <c r="F312" s="166"/>
      <c r="G312" s="165"/>
      <c r="H312" s="167"/>
      <c r="I312" s="165" t="str">
        <f t="shared" si="11"/>
        <v/>
      </c>
      <c r="J312" s="168" t="str">
        <f t="shared" si="12"/>
        <v/>
      </c>
      <c r="K312" s="168"/>
      <c r="L312" s="168"/>
    </row>
    <row r="313" spans="1:12">
      <c r="A313" s="169"/>
      <c r="B313" s="169"/>
      <c r="C313" s="169"/>
      <c r="D313" s="169"/>
      <c r="E313" s="169"/>
      <c r="F313" s="170"/>
      <c r="G313" s="169"/>
      <c r="H313" s="171"/>
      <c r="I313" s="169" t="str">
        <f t="shared" si="11"/>
        <v/>
      </c>
      <c r="J313" s="172" t="str">
        <f t="shared" si="12"/>
        <v/>
      </c>
      <c r="K313" s="172"/>
      <c r="L313" s="172"/>
    </row>
    <row r="314" spans="1:12">
      <c r="A314" s="165"/>
      <c r="B314" s="165"/>
      <c r="C314" s="165"/>
      <c r="D314" s="165"/>
      <c r="E314" s="165"/>
      <c r="F314" s="166"/>
      <c r="G314" s="165"/>
      <c r="H314" s="167"/>
      <c r="I314" s="165" t="str">
        <f t="shared" si="11"/>
        <v/>
      </c>
      <c r="J314" s="168" t="str">
        <f t="shared" si="12"/>
        <v/>
      </c>
      <c r="K314" s="168"/>
      <c r="L314" s="168"/>
    </row>
    <row r="315" spans="1:12">
      <c r="A315" s="169"/>
      <c r="B315" s="169"/>
      <c r="C315" s="169"/>
      <c r="D315" s="169"/>
      <c r="E315" s="169"/>
      <c r="F315" s="170"/>
      <c r="G315" s="169"/>
      <c r="H315" s="171"/>
      <c r="I315" s="169" t="str">
        <f t="shared" si="11"/>
        <v/>
      </c>
      <c r="J315" s="172" t="str">
        <f t="shared" si="12"/>
        <v/>
      </c>
      <c r="K315" s="172"/>
      <c r="L315" s="172"/>
    </row>
    <row r="316" spans="1:12">
      <c r="A316" s="165"/>
      <c r="B316" s="165"/>
      <c r="C316" s="165"/>
      <c r="D316" s="165"/>
      <c r="E316" s="165"/>
      <c r="F316" s="166"/>
      <c r="G316" s="165"/>
      <c r="H316" s="167"/>
      <c r="I316" s="165" t="str">
        <f t="shared" si="11"/>
        <v/>
      </c>
      <c r="J316" s="168" t="str">
        <f t="shared" si="12"/>
        <v/>
      </c>
      <c r="K316" s="168"/>
      <c r="L316" s="168"/>
    </row>
    <row r="317" spans="1:12">
      <c r="A317" s="169"/>
      <c r="B317" s="169"/>
      <c r="C317" s="169"/>
      <c r="D317" s="169"/>
      <c r="E317" s="169"/>
      <c r="F317" s="170"/>
      <c r="G317" s="169"/>
      <c r="H317" s="171"/>
      <c r="I317" s="169" t="str">
        <f t="shared" si="11"/>
        <v/>
      </c>
      <c r="J317" s="172" t="str">
        <f t="shared" si="12"/>
        <v/>
      </c>
      <c r="K317" s="172"/>
      <c r="L317" s="172"/>
    </row>
    <row r="318" spans="1:12">
      <c r="A318" s="165"/>
      <c r="B318" s="165"/>
      <c r="C318" s="165"/>
      <c r="D318" s="165"/>
      <c r="E318" s="165"/>
      <c r="F318" s="166"/>
      <c r="G318" s="165"/>
      <c r="H318" s="167"/>
      <c r="I318" s="165" t="str">
        <f t="shared" si="11"/>
        <v/>
      </c>
      <c r="J318" s="168" t="str">
        <f t="shared" si="12"/>
        <v/>
      </c>
      <c r="K318" s="168"/>
      <c r="L318" s="168"/>
    </row>
    <row r="319" spans="1:12">
      <c r="A319" s="169"/>
      <c r="B319" s="169"/>
      <c r="C319" s="169"/>
      <c r="D319" s="169"/>
      <c r="E319" s="169"/>
      <c r="F319" s="170"/>
      <c r="G319" s="169"/>
      <c r="H319" s="171"/>
      <c r="I319" s="169" t="str">
        <f t="shared" si="11"/>
        <v/>
      </c>
      <c r="J319" s="172" t="str">
        <f t="shared" si="12"/>
        <v/>
      </c>
      <c r="K319" s="172"/>
      <c r="L319" s="172"/>
    </row>
    <row r="320" spans="1:12">
      <c r="A320" s="165"/>
      <c r="B320" s="165"/>
      <c r="C320" s="165"/>
      <c r="D320" s="165"/>
      <c r="E320" s="165"/>
      <c r="F320" s="166"/>
      <c r="G320" s="165"/>
      <c r="H320" s="167"/>
      <c r="I320" s="165" t="str">
        <f t="shared" si="11"/>
        <v/>
      </c>
      <c r="J320" s="168" t="str">
        <f t="shared" si="12"/>
        <v/>
      </c>
      <c r="K320" s="168"/>
      <c r="L320" s="168"/>
    </row>
    <row r="321" spans="1:12">
      <c r="A321" s="169"/>
      <c r="B321" s="169"/>
      <c r="C321" s="169"/>
      <c r="D321" s="169"/>
      <c r="E321" s="169"/>
      <c r="F321" s="170"/>
      <c r="G321" s="169"/>
      <c r="H321" s="171"/>
      <c r="I321" s="169" t="str">
        <f t="shared" si="11"/>
        <v/>
      </c>
      <c r="J321" s="172" t="str">
        <f t="shared" si="12"/>
        <v/>
      </c>
      <c r="K321" s="172"/>
      <c r="L321" s="172"/>
    </row>
    <row r="322" spans="1:12">
      <c r="A322" s="165"/>
      <c r="B322" s="165"/>
      <c r="C322" s="165"/>
      <c r="D322" s="165"/>
      <c r="E322" s="165"/>
      <c r="F322" s="166"/>
      <c r="G322" s="165"/>
      <c r="H322" s="167"/>
      <c r="I322" s="165" t="str">
        <f t="shared" ref="I322:I385" si="13">IFERROR(IF(H322="","",DATEVALUE(MID(H322,6,11))),"Check date format")</f>
        <v/>
      </c>
      <c r="J322" s="168" t="str">
        <f t="shared" si="12"/>
        <v/>
      </c>
      <c r="K322" s="168"/>
      <c r="L322" s="168"/>
    </row>
    <row r="323" spans="1:12">
      <c r="A323" s="169"/>
      <c r="B323" s="169"/>
      <c r="C323" s="169"/>
      <c r="D323" s="169"/>
      <c r="E323" s="169"/>
      <c r="F323" s="170"/>
      <c r="G323" s="169"/>
      <c r="H323" s="171"/>
      <c r="I323" s="169" t="str">
        <f t="shared" si="13"/>
        <v/>
      </c>
      <c r="J323" s="172" t="str">
        <f t="shared" ref="J323:J386" si="14">IF(OR(F323="",I323=""),"",F323+IF(I323=I322,N(J322),0))</f>
        <v/>
      </c>
      <c r="K323" s="172"/>
      <c r="L323" s="172"/>
    </row>
    <row r="324" spans="1:12">
      <c r="A324" s="165"/>
      <c r="B324" s="165"/>
      <c r="C324" s="165"/>
      <c r="D324" s="165"/>
      <c r="E324" s="165"/>
      <c r="F324" s="166"/>
      <c r="G324" s="165"/>
      <c r="H324" s="167"/>
      <c r="I324" s="165" t="str">
        <f t="shared" si="13"/>
        <v/>
      </c>
      <c r="J324" s="168" t="str">
        <f t="shared" si="14"/>
        <v/>
      </c>
      <c r="K324" s="168"/>
      <c r="L324" s="168"/>
    </row>
    <row r="325" spans="1:12">
      <c r="A325" s="169"/>
      <c r="B325" s="169"/>
      <c r="C325" s="169"/>
      <c r="D325" s="169"/>
      <c r="E325" s="169"/>
      <c r="F325" s="170"/>
      <c r="G325" s="169"/>
      <c r="H325" s="171"/>
      <c r="I325" s="169" t="str">
        <f t="shared" si="13"/>
        <v/>
      </c>
      <c r="J325" s="172" t="str">
        <f t="shared" si="14"/>
        <v/>
      </c>
      <c r="K325" s="172"/>
      <c r="L325" s="172"/>
    </row>
    <row r="326" spans="1:12">
      <c r="A326" s="165"/>
      <c r="B326" s="165"/>
      <c r="C326" s="165"/>
      <c r="D326" s="165"/>
      <c r="E326" s="165"/>
      <c r="F326" s="166"/>
      <c r="G326" s="165"/>
      <c r="H326" s="167"/>
      <c r="I326" s="165" t="str">
        <f t="shared" si="13"/>
        <v/>
      </c>
      <c r="J326" s="168" t="str">
        <f t="shared" si="14"/>
        <v/>
      </c>
      <c r="K326" s="168"/>
      <c r="L326" s="168"/>
    </row>
    <row r="327" spans="1:12">
      <c r="A327" s="169"/>
      <c r="B327" s="169"/>
      <c r="C327" s="169"/>
      <c r="D327" s="169"/>
      <c r="E327" s="169"/>
      <c r="F327" s="170"/>
      <c r="G327" s="169"/>
      <c r="H327" s="171"/>
      <c r="I327" s="169" t="str">
        <f t="shared" si="13"/>
        <v/>
      </c>
      <c r="J327" s="172" t="str">
        <f t="shared" si="14"/>
        <v/>
      </c>
      <c r="K327" s="172"/>
      <c r="L327" s="172"/>
    </row>
    <row r="328" spans="1:12">
      <c r="A328" s="165"/>
      <c r="B328" s="165"/>
      <c r="C328" s="165"/>
      <c r="D328" s="165"/>
      <c r="E328" s="165"/>
      <c r="F328" s="166"/>
      <c r="G328" s="165"/>
      <c r="H328" s="167"/>
      <c r="I328" s="165" t="str">
        <f t="shared" si="13"/>
        <v/>
      </c>
      <c r="J328" s="168" t="str">
        <f t="shared" si="14"/>
        <v/>
      </c>
      <c r="K328" s="168"/>
      <c r="L328" s="168"/>
    </row>
    <row r="329" spans="1:12">
      <c r="A329" s="169"/>
      <c r="B329" s="169"/>
      <c r="C329" s="169"/>
      <c r="D329" s="169"/>
      <c r="E329" s="169"/>
      <c r="F329" s="170"/>
      <c r="G329" s="169"/>
      <c r="H329" s="171"/>
      <c r="I329" s="169" t="str">
        <f t="shared" si="13"/>
        <v/>
      </c>
      <c r="J329" s="172" t="str">
        <f t="shared" si="14"/>
        <v/>
      </c>
      <c r="K329" s="172"/>
      <c r="L329" s="172"/>
    </row>
    <row r="330" spans="1:12">
      <c r="A330" s="165"/>
      <c r="B330" s="165"/>
      <c r="C330" s="165"/>
      <c r="D330" s="165"/>
      <c r="E330" s="165"/>
      <c r="F330" s="166"/>
      <c r="G330" s="165"/>
      <c r="H330" s="167"/>
      <c r="I330" s="165" t="str">
        <f t="shared" si="13"/>
        <v/>
      </c>
      <c r="J330" s="168" t="str">
        <f t="shared" si="14"/>
        <v/>
      </c>
      <c r="K330" s="168"/>
      <c r="L330" s="168"/>
    </row>
    <row r="331" spans="1:12">
      <c r="A331" s="169"/>
      <c r="B331" s="169"/>
      <c r="C331" s="169"/>
      <c r="D331" s="169"/>
      <c r="E331" s="169"/>
      <c r="F331" s="170"/>
      <c r="G331" s="169"/>
      <c r="H331" s="171"/>
      <c r="I331" s="169" t="str">
        <f t="shared" si="13"/>
        <v/>
      </c>
      <c r="J331" s="172" t="str">
        <f t="shared" si="14"/>
        <v/>
      </c>
      <c r="K331" s="172"/>
      <c r="L331" s="172"/>
    </row>
    <row r="332" spans="1:12">
      <c r="A332" s="165"/>
      <c r="B332" s="165"/>
      <c r="C332" s="165"/>
      <c r="D332" s="165"/>
      <c r="E332" s="165"/>
      <c r="F332" s="166"/>
      <c r="G332" s="165"/>
      <c r="H332" s="167"/>
      <c r="I332" s="165" t="str">
        <f t="shared" si="13"/>
        <v/>
      </c>
      <c r="J332" s="168" t="str">
        <f t="shared" si="14"/>
        <v/>
      </c>
      <c r="K332" s="168"/>
      <c r="L332" s="168"/>
    </row>
    <row r="333" spans="1:12">
      <c r="A333" s="169"/>
      <c r="B333" s="169"/>
      <c r="C333" s="169"/>
      <c r="D333" s="169"/>
      <c r="E333" s="169"/>
      <c r="F333" s="170"/>
      <c r="G333" s="169"/>
      <c r="H333" s="171"/>
      <c r="I333" s="169" t="str">
        <f t="shared" si="13"/>
        <v/>
      </c>
      <c r="J333" s="172" t="str">
        <f t="shared" si="14"/>
        <v/>
      </c>
      <c r="K333" s="172"/>
      <c r="L333" s="172"/>
    </row>
    <row r="334" spans="1:12">
      <c r="A334" s="165"/>
      <c r="B334" s="165"/>
      <c r="C334" s="165"/>
      <c r="D334" s="165"/>
      <c r="E334" s="165"/>
      <c r="F334" s="166"/>
      <c r="G334" s="165"/>
      <c r="H334" s="167"/>
      <c r="I334" s="165" t="str">
        <f t="shared" si="13"/>
        <v/>
      </c>
      <c r="J334" s="168" t="str">
        <f t="shared" si="14"/>
        <v/>
      </c>
      <c r="K334" s="168"/>
      <c r="L334" s="168"/>
    </row>
    <row r="335" spans="1:12">
      <c r="A335" s="169"/>
      <c r="B335" s="169"/>
      <c r="C335" s="169"/>
      <c r="D335" s="169"/>
      <c r="E335" s="169"/>
      <c r="F335" s="170"/>
      <c r="G335" s="169"/>
      <c r="H335" s="171"/>
      <c r="I335" s="169" t="str">
        <f t="shared" si="13"/>
        <v/>
      </c>
      <c r="J335" s="172" t="str">
        <f t="shared" si="14"/>
        <v/>
      </c>
      <c r="K335" s="172"/>
      <c r="L335" s="172"/>
    </row>
    <row r="336" spans="1:12">
      <c r="A336" s="165"/>
      <c r="B336" s="165"/>
      <c r="C336" s="165"/>
      <c r="D336" s="165"/>
      <c r="E336" s="165"/>
      <c r="F336" s="166"/>
      <c r="G336" s="165"/>
      <c r="H336" s="167"/>
      <c r="I336" s="165" t="str">
        <f t="shared" si="13"/>
        <v/>
      </c>
      <c r="J336" s="168" t="str">
        <f t="shared" si="14"/>
        <v/>
      </c>
      <c r="K336" s="168"/>
      <c r="L336" s="168"/>
    </row>
    <row r="337" spans="1:12">
      <c r="A337" s="169"/>
      <c r="B337" s="169"/>
      <c r="C337" s="169"/>
      <c r="D337" s="169"/>
      <c r="E337" s="169"/>
      <c r="F337" s="170"/>
      <c r="G337" s="169"/>
      <c r="H337" s="171"/>
      <c r="I337" s="169" t="str">
        <f t="shared" si="13"/>
        <v/>
      </c>
      <c r="J337" s="172" t="str">
        <f t="shared" si="14"/>
        <v/>
      </c>
      <c r="K337" s="172"/>
      <c r="L337" s="172"/>
    </row>
    <row r="338" spans="1:12">
      <c r="A338" s="165"/>
      <c r="B338" s="165"/>
      <c r="C338" s="165"/>
      <c r="D338" s="165"/>
      <c r="E338" s="165"/>
      <c r="F338" s="166"/>
      <c r="G338" s="165"/>
      <c r="H338" s="167"/>
      <c r="I338" s="165" t="str">
        <f t="shared" si="13"/>
        <v/>
      </c>
      <c r="J338" s="168" t="str">
        <f t="shared" si="14"/>
        <v/>
      </c>
      <c r="K338" s="168"/>
      <c r="L338" s="168"/>
    </row>
    <row r="339" spans="1:12">
      <c r="A339" s="169"/>
      <c r="B339" s="169"/>
      <c r="C339" s="169"/>
      <c r="D339" s="169"/>
      <c r="E339" s="169"/>
      <c r="F339" s="170"/>
      <c r="G339" s="169"/>
      <c r="H339" s="171"/>
      <c r="I339" s="169" t="str">
        <f t="shared" si="13"/>
        <v/>
      </c>
      <c r="J339" s="172" t="str">
        <f t="shared" si="14"/>
        <v/>
      </c>
      <c r="K339" s="172"/>
      <c r="L339" s="172"/>
    </row>
    <row r="340" spans="1:12">
      <c r="A340" s="165"/>
      <c r="B340" s="165"/>
      <c r="C340" s="165"/>
      <c r="D340" s="165"/>
      <c r="E340" s="165"/>
      <c r="F340" s="166"/>
      <c r="G340" s="165"/>
      <c r="H340" s="167"/>
      <c r="I340" s="165" t="str">
        <f t="shared" si="13"/>
        <v/>
      </c>
      <c r="J340" s="168" t="str">
        <f t="shared" si="14"/>
        <v/>
      </c>
      <c r="K340" s="168"/>
      <c r="L340" s="168"/>
    </row>
    <row r="341" spans="1:12">
      <c r="A341" s="169"/>
      <c r="B341" s="169"/>
      <c r="C341" s="169"/>
      <c r="D341" s="169"/>
      <c r="E341" s="169"/>
      <c r="F341" s="170"/>
      <c r="G341" s="169"/>
      <c r="H341" s="171"/>
      <c r="I341" s="169" t="str">
        <f t="shared" si="13"/>
        <v/>
      </c>
      <c r="J341" s="172" t="str">
        <f t="shared" si="14"/>
        <v/>
      </c>
      <c r="K341" s="172"/>
      <c r="L341" s="172"/>
    </row>
    <row r="342" spans="1:12">
      <c r="A342" s="165"/>
      <c r="B342" s="165"/>
      <c r="C342" s="165"/>
      <c r="D342" s="165"/>
      <c r="E342" s="165"/>
      <c r="F342" s="166"/>
      <c r="G342" s="165"/>
      <c r="H342" s="167"/>
      <c r="I342" s="165" t="str">
        <f t="shared" si="13"/>
        <v/>
      </c>
      <c r="J342" s="168" t="str">
        <f t="shared" si="14"/>
        <v/>
      </c>
      <c r="K342" s="168"/>
      <c r="L342" s="168"/>
    </row>
    <row r="343" spans="1:12">
      <c r="A343" s="169"/>
      <c r="B343" s="169"/>
      <c r="C343" s="169"/>
      <c r="D343" s="169"/>
      <c r="E343" s="169"/>
      <c r="F343" s="170"/>
      <c r="G343" s="169"/>
      <c r="H343" s="171"/>
      <c r="I343" s="169" t="str">
        <f t="shared" si="13"/>
        <v/>
      </c>
      <c r="J343" s="172" t="str">
        <f t="shared" si="14"/>
        <v/>
      </c>
      <c r="K343" s="172"/>
      <c r="L343" s="172"/>
    </row>
    <row r="344" spans="1:12">
      <c r="A344" s="165"/>
      <c r="B344" s="165"/>
      <c r="C344" s="165"/>
      <c r="D344" s="165"/>
      <c r="E344" s="165"/>
      <c r="F344" s="166"/>
      <c r="G344" s="165"/>
      <c r="H344" s="167"/>
      <c r="I344" s="165" t="str">
        <f t="shared" si="13"/>
        <v/>
      </c>
      <c r="J344" s="168" t="str">
        <f t="shared" si="14"/>
        <v/>
      </c>
      <c r="K344" s="168"/>
      <c r="L344" s="168"/>
    </row>
    <row r="345" spans="1:12">
      <c r="A345" s="169"/>
      <c r="B345" s="169"/>
      <c r="C345" s="169"/>
      <c r="D345" s="169"/>
      <c r="E345" s="169"/>
      <c r="F345" s="170"/>
      <c r="G345" s="169"/>
      <c r="H345" s="171"/>
      <c r="I345" s="169" t="str">
        <f t="shared" si="13"/>
        <v/>
      </c>
      <c r="J345" s="172" t="str">
        <f t="shared" si="14"/>
        <v/>
      </c>
      <c r="K345" s="172"/>
      <c r="L345" s="172"/>
    </row>
    <row r="346" spans="1:12">
      <c r="A346" s="165"/>
      <c r="B346" s="165"/>
      <c r="C346" s="165"/>
      <c r="D346" s="165"/>
      <c r="E346" s="165"/>
      <c r="F346" s="166"/>
      <c r="G346" s="165"/>
      <c r="H346" s="167"/>
      <c r="I346" s="165" t="str">
        <f t="shared" si="13"/>
        <v/>
      </c>
      <c r="J346" s="168" t="str">
        <f t="shared" si="14"/>
        <v/>
      </c>
      <c r="K346" s="168"/>
      <c r="L346" s="168"/>
    </row>
    <row r="347" spans="1:12">
      <c r="A347" s="169"/>
      <c r="B347" s="169"/>
      <c r="C347" s="169"/>
      <c r="D347" s="169"/>
      <c r="E347" s="169"/>
      <c r="F347" s="170"/>
      <c r="G347" s="169"/>
      <c r="H347" s="171"/>
      <c r="I347" s="169" t="str">
        <f t="shared" si="13"/>
        <v/>
      </c>
      <c r="J347" s="172" t="str">
        <f t="shared" si="14"/>
        <v/>
      </c>
      <c r="K347" s="172"/>
      <c r="L347" s="172"/>
    </row>
    <row r="348" spans="1:12">
      <c r="A348" s="165"/>
      <c r="B348" s="165"/>
      <c r="C348" s="165"/>
      <c r="D348" s="165"/>
      <c r="E348" s="165"/>
      <c r="F348" s="166"/>
      <c r="G348" s="165"/>
      <c r="H348" s="167"/>
      <c r="I348" s="165" t="str">
        <f t="shared" si="13"/>
        <v/>
      </c>
      <c r="J348" s="168" t="str">
        <f t="shared" si="14"/>
        <v/>
      </c>
      <c r="K348" s="168"/>
      <c r="L348" s="168"/>
    </row>
    <row r="349" spans="1:12">
      <c r="A349" s="169"/>
      <c r="B349" s="169"/>
      <c r="C349" s="169"/>
      <c r="D349" s="169"/>
      <c r="E349" s="169"/>
      <c r="F349" s="170"/>
      <c r="G349" s="169"/>
      <c r="H349" s="171"/>
      <c r="I349" s="169" t="str">
        <f t="shared" si="13"/>
        <v/>
      </c>
      <c r="J349" s="172" t="str">
        <f t="shared" si="14"/>
        <v/>
      </c>
      <c r="K349" s="172"/>
      <c r="L349" s="172"/>
    </row>
    <row r="350" spans="1:12">
      <c r="A350" s="165"/>
      <c r="B350" s="165"/>
      <c r="C350" s="165"/>
      <c r="D350" s="165"/>
      <c r="E350" s="165"/>
      <c r="F350" s="166"/>
      <c r="G350" s="165"/>
      <c r="H350" s="167"/>
      <c r="I350" s="165" t="str">
        <f t="shared" si="13"/>
        <v/>
      </c>
      <c r="J350" s="168" t="str">
        <f t="shared" si="14"/>
        <v/>
      </c>
      <c r="K350" s="168"/>
      <c r="L350" s="168"/>
    </row>
    <row r="351" spans="1:12">
      <c r="A351" s="169"/>
      <c r="B351" s="169"/>
      <c r="C351" s="169"/>
      <c r="D351" s="169"/>
      <c r="E351" s="169"/>
      <c r="F351" s="170"/>
      <c r="G351" s="169"/>
      <c r="H351" s="171"/>
      <c r="I351" s="169" t="str">
        <f t="shared" si="13"/>
        <v/>
      </c>
      <c r="J351" s="172" t="str">
        <f t="shared" si="14"/>
        <v/>
      </c>
      <c r="K351" s="172"/>
      <c r="L351" s="172"/>
    </row>
    <row r="352" spans="1:12">
      <c r="A352" s="165"/>
      <c r="B352" s="165"/>
      <c r="C352" s="165"/>
      <c r="D352" s="165"/>
      <c r="E352" s="165"/>
      <c r="F352" s="166"/>
      <c r="G352" s="165"/>
      <c r="H352" s="167"/>
      <c r="I352" s="165" t="str">
        <f t="shared" si="13"/>
        <v/>
      </c>
      <c r="J352" s="168" t="str">
        <f t="shared" si="14"/>
        <v/>
      </c>
      <c r="K352" s="168"/>
      <c r="L352" s="168"/>
    </row>
    <row r="353" spans="1:12">
      <c r="A353" s="169"/>
      <c r="B353" s="169"/>
      <c r="C353" s="169"/>
      <c r="D353" s="169"/>
      <c r="E353" s="169"/>
      <c r="F353" s="170"/>
      <c r="G353" s="169"/>
      <c r="H353" s="171"/>
      <c r="I353" s="169" t="str">
        <f t="shared" si="13"/>
        <v/>
      </c>
      <c r="J353" s="172" t="str">
        <f t="shared" si="14"/>
        <v/>
      </c>
      <c r="K353" s="172"/>
      <c r="L353" s="172"/>
    </row>
    <row r="354" spans="1:12">
      <c r="A354" s="165"/>
      <c r="B354" s="165"/>
      <c r="C354" s="165"/>
      <c r="D354" s="165"/>
      <c r="E354" s="165"/>
      <c r="F354" s="166"/>
      <c r="G354" s="165"/>
      <c r="H354" s="167"/>
      <c r="I354" s="165" t="str">
        <f t="shared" si="13"/>
        <v/>
      </c>
      <c r="J354" s="168" t="str">
        <f t="shared" si="14"/>
        <v/>
      </c>
      <c r="K354" s="168"/>
      <c r="L354" s="168"/>
    </row>
    <row r="355" spans="1:12">
      <c r="A355" s="169"/>
      <c r="B355" s="169"/>
      <c r="C355" s="169"/>
      <c r="D355" s="169"/>
      <c r="E355" s="169"/>
      <c r="F355" s="170"/>
      <c r="G355" s="169"/>
      <c r="H355" s="171"/>
      <c r="I355" s="169" t="str">
        <f t="shared" si="13"/>
        <v/>
      </c>
      <c r="J355" s="172" t="str">
        <f t="shared" si="14"/>
        <v/>
      </c>
      <c r="K355" s="172"/>
      <c r="L355" s="172"/>
    </row>
    <row r="356" spans="1:12">
      <c r="A356" s="165"/>
      <c r="B356" s="165"/>
      <c r="C356" s="165"/>
      <c r="D356" s="165"/>
      <c r="E356" s="165"/>
      <c r="F356" s="166"/>
      <c r="G356" s="165"/>
      <c r="H356" s="167"/>
      <c r="I356" s="165" t="str">
        <f t="shared" si="13"/>
        <v/>
      </c>
      <c r="J356" s="168" t="str">
        <f t="shared" si="14"/>
        <v/>
      </c>
      <c r="K356" s="168"/>
      <c r="L356" s="168"/>
    </row>
    <row r="357" spans="1:12">
      <c r="A357" s="169"/>
      <c r="B357" s="169"/>
      <c r="C357" s="169"/>
      <c r="D357" s="169"/>
      <c r="E357" s="169"/>
      <c r="F357" s="170"/>
      <c r="G357" s="169"/>
      <c r="H357" s="171"/>
      <c r="I357" s="169" t="str">
        <f t="shared" si="13"/>
        <v/>
      </c>
      <c r="J357" s="172" t="str">
        <f t="shared" si="14"/>
        <v/>
      </c>
      <c r="K357" s="172"/>
      <c r="L357" s="172"/>
    </row>
    <row r="358" spans="1:12">
      <c r="A358" s="165"/>
      <c r="B358" s="165"/>
      <c r="C358" s="165"/>
      <c r="D358" s="165"/>
      <c r="E358" s="165"/>
      <c r="F358" s="166"/>
      <c r="G358" s="165"/>
      <c r="H358" s="167"/>
      <c r="I358" s="165" t="str">
        <f t="shared" si="13"/>
        <v/>
      </c>
      <c r="J358" s="168" t="str">
        <f t="shared" si="14"/>
        <v/>
      </c>
      <c r="K358" s="168"/>
      <c r="L358" s="168"/>
    </row>
    <row r="359" spans="1:12">
      <c r="A359" s="169"/>
      <c r="B359" s="169"/>
      <c r="C359" s="169"/>
      <c r="D359" s="169"/>
      <c r="E359" s="169"/>
      <c r="F359" s="170"/>
      <c r="G359" s="169"/>
      <c r="H359" s="171"/>
      <c r="I359" s="169" t="str">
        <f t="shared" si="13"/>
        <v/>
      </c>
      <c r="J359" s="172" t="str">
        <f t="shared" si="14"/>
        <v/>
      </c>
      <c r="K359" s="172"/>
      <c r="L359" s="172"/>
    </row>
    <row r="360" spans="1:12">
      <c r="A360" s="165"/>
      <c r="B360" s="165"/>
      <c r="C360" s="165"/>
      <c r="D360" s="165"/>
      <c r="E360" s="165"/>
      <c r="F360" s="166"/>
      <c r="G360" s="165"/>
      <c r="H360" s="167"/>
      <c r="I360" s="165" t="str">
        <f t="shared" si="13"/>
        <v/>
      </c>
      <c r="J360" s="168" t="str">
        <f t="shared" si="14"/>
        <v/>
      </c>
      <c r="K360" s="168"/>
      <c r="L360" s="168"/>
    </row>
    <row r="361" spans="1:12">
      <c r="A361" s="169"/>
      <c r="B361" s="169"/>
      <c r="C361" s="169"/>
      <c r="D361" s="169"/>
      <c r="E361" s="169"/>
      <c r="F361" s="170"/>
      <c r="G361" s="169"/>
      <c r="H361" s="171"/>
      <c r="I361" s="169" t="str">
        <f t="shared" si="13"/>
        <v/>
      </c>
      <c r="J361" s="172" t="str">
        <f t="shared" si="14"/>
        <v/>
      </c>
      <c r="K361" s="172"/>
      <c r="L361" s="172"/>
    </row>
    <row r="362" spans="1:12">
      <c r="A362" s="165"/>
      <c r="B362" s="165"/>
      <c r="C362" s="165"/>
      <c r="D362" s="165"/>
      <c r="E362" s="165"/>
      <c r="F362" s="166"/>
      <c r="G362" s="165"/>
      <c r="H362" s="167"/>
      <c r="I362" s="165" t="str">
        <f t="shared" si="13"/>
        <v/>
      </c>
      <c r="J362" s="168" t="str">
        <f t="shared" si="14"/>
        <v/>
      </c>
      <c r="K362" s="168"/>
      <c r="L362" s="168"/>
    </row>
    <row r="363" spans="1:12">
      <c r="A363" s="169"/>
      <c r="B363" s="169"/>
      <c r="C363" s="169"/>
      <c r="D363" s="169"/>
      <c r="E363" s="169"/>
      <c r="F363" s="170"/>
      <c r="G363" s="169"/>
      <c r="H363" s="171"/>
      <c r="I363" s="169" t="str">
        <f t="shared" si="13"/>
        <v/>
      </c>
      <c r="J363" s="172" t="str">
        <f t="shared" si="14"/>
        <v/>
      </c>
      <c r="K363" s="172"/>
      <c r="L363" s="172"/>
    </row>
    <row r="364" spans="1:12">
      <c r="A364" s="165"/>
      <c r="B364" s="165"/>
      <c r="C364" s="165"/>
      <c r="D364" s="165"/>
      <c r="E364" s="165"/>
      <c r="F364" s="166"/>
      <c r="G364" s="165"/>
      <c r="H364" s="167"/>
      <c r="I364" s="165" t="str">
        <f t="shared" si="13"/>
        <v/>
      </c>
      <c r="J364" s="168" t="str">
        <f t="shared" si="14"/>
        <v/>
      </c>
      <c r="K364" s="168"/>
      <c r="L364" s="168"/>
    </row>
    <row r="365" spans="1:12">
      <c r="A365" s="169"/>
      <c r="B365" s="169"/>
      <c r="C365" s="169"/>
      <c r="D365" s="169"/>
      <c r="E365" s="169"/>
      <c r="F365" s="170"/>
      <c r="G365" s="169"/>
      <c r="H365" s="171"/>
      <c r="I365" s="169" t="str">
        <f t="shared" si="13"/>
        <v/>
      </c>
      <c r="J365" s="172" t="str">
        <f t="shared" si="14"/>
        <v/>
      </c>
      <c r="K365" s="172"/>
      <c r="L365" s="172"/>
    </row>
    <row r="366" spans="1:12">
      <c r="A366" s="165"/>
      <c r="B366" s="165"/>
      <c r="C366" s="165"/>
      <c r="D366" s="165"/>
      <c r="E366" s="165"/>
      <c r="F366" s="166"/>
      <c r="G366" s="165"/>
      <c r="H366" s="167"/>
      <c r="I366" s="165" t="str">
        <f t="shared" si="13"/>
        <v/>
      </c>
      <c r="J366" s="168" t="str">
        <f t="shared" si="14"/>
        <v/>
      </c>
      <c r="K366" s="168"/>
      <c r="L366" s="168"/>
    </row>
    <row r="367" spans="1:12">
      <c r="A367" s="169"/>
      <c r="B367" s="169"/>
      <c r="C367" s="169"/>
      <c r="D367" s="169"/>
      <c r="E367" s="169"/>
      <c r="F367" s="170"/>
      <c r="G367" s="169"/>
      <c r="H367" s="171"/>
      <c r="I367" s="169" t="str">
        <f t="shared" si="13"/>
        <v/>
      </c>
      <c r="J367" s="172" t="str">
        <f t="shared" si="14"/>
        <v/>
      </c>
      <c r="K367" s="172"/>
      <c r="L367" s="172"/>
    </row>
    <row r="368" spans="1:12">
      <c r="A368" s="165"/>
      <c r="B368" s="165"/>
      <c r="C368" s="165"/>
      <c r="D368" s="165"/>
      <c r="E368" s="165"/>
      <c r="F368" s="166"/>
      <c r="G368" s="165"/>
      <c r="H368" s="167"/>
      <c r="I368" s="165" t="str">
        <f t="shared" si="13"/>
        <v/>
      </c>
      <c r="J368" s="168" t="str">
        <f t="shared" si="14"/>
        <v/>
      </c>
      <c r="K368" s="168"/>
      <c r="L368" s="168"/>
    </row>
    <row r="369" spans="1:12">
      <c r="A369" s="169"/>
      <c r="B369" s="169"/>
      <c r="C369" s="169"/>
      <c r="D369" s="169"/>
      <c r="E369" s="169"/>
      <c r="F369" s="170"/>
      <c r="G369" s="169"/>
      <c r="H369" s="171"/>
      <c r="I369" s="169" t="str">
        <f t="shared" si="13"/>
        <v/>
      </c>
      <c r="J369" s="172" t="str">
        <f t="shared" si="14"/>
        <v/>
      </c>
      <c r="K369" s="172"/>
      <c r="L369" s="172"/>
    </row>
    <row r="370" spans="1:12">
      <c r="A370" s="165"/>
      <c r="B370" s="165"/>
      <c r="C370" s="165"/>
      <c r="D370" s="165"/>
      <c r="E370" s="165"/>
      <c r="F370" s="166"/>
      <c r="G370" s="165"/>
      <c r="H370" s="167"/>
      <c r="I370" s="165" t="str">
        <f t="shared" si="13"/>
        <v/>
      </c>
      <c r="J370" s="168" t="str">
        <f t="shared" si="14"/>
        <v/>
      </c>
      <c r="K370" s="168"/>
      <c r="L370" s="168"/>
    </row>
    <row r="371" spans="1:12">
      <c r="A371" s="169"/>
      <c r="B371" s="169"/>
      <c r="C371" s="169"/>
      <c r="D371" s="169"/>
      <c r="E371" s="169"/>
      <c r="F371" s="170"/>
      <c r="G371" s="169"/>
      <c r="H371" s="171"/>
      <c r="I371" s="169" t="str">
        <f t="shared" si="13"/>
        <v/>
      </c>
      <c r="J371" s="172" t="str">
        <f t="shared" si="14"/>
        <v/>
      </c>
      <c r="K371" s="172"/>
      <c r="L371" s="172"/>
    </row>
    <row r="372" spans="1:12">
      <c r="A372" s="165"/>
      <c r="B372" s="165"/>
      <c r="C372" s="165"/>
      <c r="D372" s="165"/>
      <c r="E372" s="165"/>
      <c r="F372" s="166"/>
      <c r="G372" s="165"/>
      <c r="H372" s="167"/>
      <c r="I372" s="165" t="str">
        <f t="shared" si="13"/>
        <v/>
      </c>
      <c r="J372" s="168" t="str">
        <f t="shared" si="14"/>
        <v/>
      </c>
      <c r="K372" s="168"/>
      <c r="L372" s="168"/>
    </row>
    <row r="373" spans="1:12">
      <c r="A373" s="169"/>
      <c r="B373" s="169"/>
      <c r="C373" s="169"/>
      <c r="D373" s="169"/>
      <c r="E373" s="169"/>
      <c r="F373" s="170"/>
      <c r="G373" s="169"/>
      <c r="H373" s="171"/>
      <c r="I373" s="169" t="str">
        <f t="shared" si="13"/>
        <v/>
      </c>
      <c r="J373" s="172" t="str">
        <f t="shared" si="14"/>
        <v/>
      </c>
      <c r="K373" s="172"/>
      <c r="L373" s="172"/>
    </row>
    <row r="374" spans="1:12">
      <c r="A374" s="165"/>
      <c r="B374" s="165"/>
      <c r="C374" s="165"/>
      <c r="D374" s="165"/>
      <c r="E374" s="165"/>
      <c r="F374" s="166"/>
      <c r="G374" s="165"/>
      <c r="H374" s="167"/>
      <c r="I374" s="165" t="str">
        <f t="shared" si="13"/>
        <v/>
      </c>
      <c r="J374" s="168" t="str">
        <f t="shared" si="14"/>
        <v/>
      </c>
      <c r="K374" s="168"/>
      <c r="L374" s="168"/>
    </row>
    <row r="375" spans="1:12">
      <c r="A375" s="169"/>
      <c r="B375" s="169"/>
      <c r="C375" s="169"/>
      <c r="D375" s="169"/>
      <c r="E375" s="169"/>
      <c r="F375" s="170"/>
      <c r="G375" s="169"/>
      <c r="H375" s="171"/>
      <c r="I375" s="169" t="str">
        <f t="shared" si="13"/>
        <v/>
      </c>
      <c r="J375" s="172" t="str">
        <f t="shared" si="14"/>
        <v/>
      </c>
      <c r="K375" s="172"/>
      <c r="L375" s="172"/>
    </row>
    <row r="376" spans="1:12">
      <c r="A376" s="165"/>
      <c r="B376" s="165"/>
      <c r="C376" s="165"/>
      <c r="D376" s="165"/>
      <c r="E376" s="165"/>
      <c r="F376" s="166"/>
      <c r="G376" s="165"/>
      <c r="H376" s="167"/>
      <c r="I376" s="165" t="str">
        <f t="shared" si="13"/>
        <v/>
      </c>
      <c r="J376" s="168" t="str">
        <f t="shared" si="14"/>
        <v/>
      </c>
      <c r="K376" s="168"/>
      <c r="L376" s="168"/>
    </row>
    <row r="377" spans="1:12">
      <c r="A377" s="169"/>
      <c r="B377" s="169"/>
      <c r="C377" s="169"/>
      <c r="D377" s="169"/>
      <c r="E377" s="169"/>
      <c r="F377" s="170"/>
      <c r="G377" s="169"/>
      <c r="H377" s="171"/>
      <c r="I377" s="169" t="str">
        <f t="shared" si="13"/>
        <v/>
      </c>
      <c r="J377" s="172" t="str">
        <f t="shared" si="14"/>
        <v/>
      </c>
      <c r="K377" s="172"/>
      <c r="L377" s="172"/>
    </row>
    <row r="378" spans="1:12">
      <c r="A378" s="165"/>
      <c r="B378" s="165"/>
      <c r="C378" s="165"/>
      <c r="D378" s="165"/>
      <c r="E378" s="165"/>
      <c r="F378" s="166"/>
      <c r="G378" s="165"/>
      <c r="H378" s="167"/>
      <c r="I378" s="165" t="str">
        <f t="shared" si="13"/>
        <v/>
      </c>
      <c r="J378" s="168" t="str">
        <f t="shared" si="14"/>
        <v/>
      </c>
      <c r="K378" s="168"/>
      <c r="L378" s="168"/>
    </row>
    <row r="379" spans="1:12">
      <c r="A379" s="169"/>
      <c r="B379" s="169"/>
      <c r="C379" s="169"/>
      <c r="D379" s="169"/>
      <c r="E379" s="169"/>
      <c r="F379" s="170"/>
      <c r="G379" s="169"/>
      <c r="H379" s="171"/>
      <c r="I379" s="169" t="str">
        <f t="shared" si="13"/>
        <v/>
      </c>
      <c r="J379" s="172" t="str">
        <f t="shared" si="14"/>
        <v/>
      </c>
      <c r="K379" s="172"/>
      <c r="L379" s="172"/>
    </row>
    <row r="380" spans="1:12">
      <c r="A380" s="165"/>
      <c r="B380" s="165"/>
      <c r="C380" s="165"/>
      <c r="D380" s="165"/>
      <c r="E380" s="165"/>
      <c r="F380" s="166"/>
      <c r="G380" s="165"/>
      <c r="H380" s="167"/>
      <c r="I380" s="165" t="str">
        <f t="shared" si="13"/>
        <v/>
      </c>
      <c r="J380" s="168" t="str">
        <f t="shared" si="14"/>
        <v/>
      </c>
      <c r="K380" s="168"/>
      <c r="L380" s="168"/>
    </row>
    <row r="381" spans="1:12">
      <c r="A381" s="169"/>
      <c r="B381" s="169"/>
      <c r="C381" s="169"/>
      <c r="D381" s="169"/>
      <c r="E381" s="169"/>
      <c r="F381" s="170"/>
      <c r="G381" s="169"/>
      <c r="H381" s="171"/>
      <c r="I381" s="169" t="str">
        <f t="shared" si="13"/>
        <v/>
      </c>
      <c r="J381" s="172" t="str">
        <f t="shared" si="14"/>
        <v/>
      </c>
      <c r="K381" s="172"/>
      <c r="L381" s="172"/>
    </row>
    <row r="382" spans="1:12">
      <c r="A382" s="165"/>
      <c r="B382" s="165"/>
      <c r="C382" s="165"/>
      <c r="D382" s="165"/>
      <c r="E382" s="165"/>
      <c r="F382" s="166"/>
      <c r="G382" s="165"/>
      <c r="H382" s="167"/>
      <c r="I382" s="165" t="str">
        <f t="shared" si="13"/>
        <v/>
      </c>
      <c r="J382" s="168" t="str">
        <f t="shared" si="14"/>
        <v/>
      </c>
      <c r="K382" s="168"/>
      <c r="L382" s="168"/>
    </row>
    <row r="383" spans="1:12">
      <c r="A383" s="169"/>
      <c r="B383" s="169"/>
      <c r="C383" s="169"/>
      <c r="D383" s="169"/>
      <c r="E383" s="169"/>
      <c r="F383" s="170"/>
      <c r="G383" s="169"/>
      <c r="H383" s="171"/>
      <c r="I383" s="169" t="str">
        <f t="shared" si="13"/>
        <v/>
      </c>
      <c r="J383" s="172" t="str">
        <f t="shared" si="14"/>
        <v/>
      </c>
      <c r="K383" s="172"/>
      <c r="L383" s="172"/>
    </row>
    <row r="384" spans="1:12">
      <c r="A384" s="165"/>
      <c r="B384" s="165"/>
      <c r="C384" s="165"/>
      <c r="D384" s="165"/>
      <c r="E384" s="165"/>
      <c r="F384" s="166"/>
      <c r="G384" s="165"/>
      <c r="H384" s="167"/>
      <c r="I384" s="165" t="str">
        <f t="shared" si="13"/>
        <v/>
      </c>
      <c r="J384" s="168" t="str">
        <f t="shared" si="14"/>
        <v/>
      </c>
      <c r="K384" s="168"/>
      <c r="L384" s="168"/>
    </row>
    <row r="385" spans="1:12">
      <c r="A385" s="169"/>
      <c r="B385" s="169"/>
      <c r="C385" s="169"/>
      <c r="D385" s="169"/>
      <c r="E385" s="169"/>
      <c r="F385" s="170"/>
      <c r="G385" s="169"/>
      <c r="H385" s="171"/>
      <c r="I385" s="169" t="str">
        <f t="shared" si="13"/>
        <v/>
      </c>
      <c r="J385" s="172" t="str">
        <f t="shared" si="14"/>
        <v/>
      </c>
      <c r="K385" s="172"/>
      <c r="L385" s="172"/>
    </row>
    <row r="386" spans="1:12">
      <c r="A386" s="165"/>
      <c r="B386" s="165"/>
      <c r="C386" s="165"/>
      <c r="D386" s="165"/>
      <c r="E386" s="165"/>
      <c r="F386" s="166"/>
      <c r="G386" s="165"/>
      <c r="H386" s="167"/>
      <c r="I386" s="165" t="str">
        <f t="shared" ref="I386:I449" si="15">IFERROR(IF(H386="","",DATEVALUE(MID(H386,6,11))),"Check date format")</f>
        <v/>
      </c>
      <c r="J386" s="168" t="str">
        <f t="shared" si="14"/>
        <v/>
      </c>
      <c r="K386" s="168"/>
      <c r="L386" s="168"/>
    </row>
    <row r="387" spans="1:12">
      <c r="A387" s="169"/>
      <c r="B387" s="169"/>
      <c r="C387" s="169"/>
      <c r="D387" s="169"/>
      <c r="E387" s="169"/>
      <c r="F387" s="170"/>
      <c r="G387" s="169"/>
      <c r="H387" s="171"/>
      <c r="I387" s="169" t="str">
        <f t="shared" si="15"/>
        <v/>
      </c>
      <c r="J387" s="172" t="str">
        <f t="shared" ref="J387:J450" si="16">IF(OR(F387="",I387=""),"",F387+IF(I387=I386,N(J386),0))</f>
        <v/>
      </c>
      <c r="K387" s="172"/>
      <c r="L387" s="172"/>
    </row>
    <row r="388" spans="1:12">
      <c r="A388" s="165"/>
      <c r="B388" s="165"/>
      <c r="C388" s="165"/>
      <c r="D388" s="165"/>
      <c r="E388" s="165"/>
      <c r="F388" s="166"/>
      <c r="G388" s="165"/>
      <c r="H388" s="167"/>
      <c r="I388" s="165" t="str">
        <f t="shared" si="15"/>
        <v/>
      </c>
      <c r="J388" s="168" t="str">
        <f t="shared" si="16"/>
        <v/>
      </c>
      <c r="K388" s="168"/>
      <c r="L388" s="168"/>
    </row>
    <row r="389" spans="1:12">
      <c r="A389" s="169"/>
      <c r="B389" s="169"/>
      <c r="C389" s="169"/>
      <c r="D389" s="169"/>
      <c r="E389" s="169"/>
      <c r="F389" s="170"/>
      <c r="G389" s="169"/>
      <c r="H389" s="171"/>
      <c r="I389" s="169" t="str">
        <f t="shared" si="15"/>
        <v/>
      </c>
      <c r="J389" s="172" t="str">
        <f t="shared" si="16"/>
        <v/>
      </c>
      <c r="K389" s="172"/>
      <c r="L389" s="172"/>
    </row>
    <row r="390" spans="1:12">
      <c r="A390" s="165"/>
      <c r="B390" s="165"/>
      <c r="C390" s="165"/>
      <c r="D390" s="165"/>
      <c r="E390" s="165"/>
      <c r="F390" s="166"/>
      <c r="G390" s="165"/>
      <c r="H390" s="167"/>
      <c r="I390" s="165" t="str">
        <f t="shared" si="15"/>
        <v/>
      </c>
      <c r="J390" s="168" t="str">
        <f t="shared" si="16"/>
        <v/>
      </c>
      <c r="K390" s="168"/>
      <c r="L390" s="168"/>
    </row>
    <row r="391" spans="1:12">
      <c r="A391" s="169"/>
      <c r="B391" s="169"/>
      <c r="C391" s="169"/>
      <c r="D391" s="169"/>
      <c r="E391" s="169"/>
      <c r="F391" s="170"/>
      <c r="G391" s="169"/>
      <c r="H391" s="171"/>
      <c r="I391" s="169" t="str">
        <f t="shared" si="15"/>
        <v/>
      </c>
      <c r="J391" s="172" t="str">
        <f t="shared" si="16"/>
        <v/>
      </c>
      <c r="K391" s="172"/>
      <c r="L391" s="172"/>
    </row>
    <row r="392" spans="1:12">
      <c r="A392" s="165"/>
      <c r="B392" s="165"/>
      <c r="C392" s="165"/>
      <c r="D392" s="165"/>
      <c r="E392" s="165"/>
      <c r="F392" s="166"/>
      <c r="G392" s="165"/>
      <c r="H392" s="167"/>
      <c r="I392" s="165" t="str">
        <f t="shared" si="15"/>
        <v/>
      </c>
      <c r="J392" s="168" t="str">
        <f t="shared" si="16"/>
        <v/>
      </c>
      <c r="K392" s="168"/>
      <c r="L392" s="168"/>
    </row>
    <row r="393" spans="1:12">
      <c r="A393" s="169"/>
      <c r="B393" s="169"/>
      <c r="C393" s="169"/>
      <c r="D393" s="169"/>
      <c r="E393" s="169"/>
      <c r="F393" s="170"/>
      <c r="G393" s="169"/>
      <c r="H393" s="171"/>
      <c r="I393" s="169" t="str">
        <f t="shared" si="15"/>
        <v/>
      </c>
      <c r="J393" s="172" t="str">
        <f t="shared" si="16"/>
        <v/>
      </c>
      <c r="K393" s="172"/>
      <c r="L393" s="172"/>
    </row>
    <row r="394" spans="1:12">
      <c r="A394" s="165"/>
      <c r="B394" s="165"/>
      <c r="C394" s="165"/>
      <c r="D394" s="165"/>
      <c r="E394" s="165"/>
      <c r="F394" s="166"/>
      <c r="G394" s="165"/>
      <c r="H394" s="167"/>
      <c r="I394" s="165" t="str">
        <f t="shared" si="15"/>
        <v/>
      </c>
      <c r="J394" s="168" t="str">
        <f t="shared" si="16"/>
        <v/>
      </c>
      <c r="K394" s="168"/>
      <c r="L394" s="168"/>
    </row>
    <row r="395" spans="1:12">
      <c r="A395" s="169"/>
      <c r="B395" s="169"/>
      <c r="C395" s="169"/>
      <c r="D395" s="169"/>
      <c r="E395" s="169"/>
      <c r="F395" s="170"/>
      <c r="G395" s="169"/>
      <c r="H395" s="171"/>
      <c r="I395" s="169" t="str">
        <f t="shared" si="15"/>
        <v/>
      </c>
      <c r="J395" s="172" t="str">
        <f t="shared" si="16"/>
        <v/>
      </c>
      <c r="K395" s="172"/>
      <c r="L395" s="172"/>
    </row>
    <row r="396" spans="1:12">
      <c r="A396" s="165"/>
      <c r="B396" s="165"/>
      <c r="C396" s="165"/>
      <c r="D396" s="165"/>
      <c r="E396" s="165"/>
      <c r="F396" s="166"/>
      <c r="G396" s="165"/>
      <c r="H396" s="167"/>
      <c r="I396" s="165" t="str">
        <f t="shared" si="15"/>
        <v/>
      </c>
      <c r="J396" s="168" t="str">
        <f t="shared" si="16"/>
        <v/>
      </c>
      <c r="K396" s="168"/>
      <c r="L396" s="168"/>
    </row>
    <row r="397" spans="1:12">
      <c r="A397" s="169"/>
      <c r="B397" s="169"/>
      <c r="C397" s="169"/>
      <c r="D397" s="169"/>
      <c r="E397" s="169"/>
      <c r="F397" s="170"/>
      <c r="G397" s="169"/>
      <c r="H397" s="171"/>
      <c r="I397" s="169" t="str">
        <f t="shared" si="15"/>
        <v/>
      </c>
      <c r="J397" s="172" t="str">
        <f t="shared" si="16"/>
        <v/>
      </c>
      <c r="K397" s="172"/>
      <c r="L397" s="172"/>
    </row>
    <row r="398" spans="1:12">
      <c r="A398" s="165"/>
      <c r="B398" s="165"/>
      <c r="C398" s="165"/>
      <c r="D398" s="165"/>
      <c r="E398" s="165"/>
      <c r="F398" s="166"/>
      <c r="G398" s="165"/>
      <c r="H398" s="167"/>
      <c r="I398" s="165" t="str">
        <f t="shared" si="15"/>
        <v/>
      </c>
      <c r="J398" s="168" t="str">
        <f t="shared" si="16"/>
        <v/>
      </c>
      <c r="K398" s="168"/>
      <c r="L398" s="168"/>
    </row>
    <row r="399" spans="1:12">
      <c r="A399" s="169"/>
      <c r="B399" s="169"/>
      <c r="C399" s="169"/>
      <c r="D399" s="169"/>
      <c r="E399" s="169"/>
      <c r="F399" s="170"/>
      <c r="G399" s="169"/>
      <c r="H399" s="171"/>
      <c r="I399" s="169" t="str">
        <f t="shared" si="15"/>
        <v/>
      </c>
      <c r="J399" s="172" t="str">
        <f t="shared" si="16"/>
        <v/>
      </c>
      <c r="K399" s="172"/>
      <c r="L399" s="172"/>
    </row>
    <row r="400" spans="1:12">
      <c r="A400" s="165"/>
      <c r="B400" s="165"/>
      <c r="C400" s="165"/>
      <c r="D400" s="165"/>
      <c r="E400" s="165"/>
      <c r="F400" s="166"/>
      <c r="G400" s="165"/>
      <c r="H400" s="167"/>
      <c r="I400" s="165" t="str">
        <f t="shared" si="15"/>
        <v/>
      </c>
      <c r="J400" s="168" t="str">
        <f t="shared" si="16"/>
        <v/>
      </c>
      <c r="K400" s="168"/>
      <c r="L400" s="168"/>
    </row>
    <row r="401" spans="1:12">
      <c r="A401" s="169"/>
      <c r="B401" s="169"/>
      <c r="C401" s="169"/>
      <c r="D401" s="169"/>
      <c r="E401" s="169"/>
      <c r="F401" s="170"/>
      <c r="G401" s="169"/>
      <c r="H401" s="171"/>
      <c r="I401" s="169" t="str">
        <f t="shared" si="15"/>
        <v/>
      </c>
      <c r="J401" s="172" t="str">
        <f t="shared" si="16"/>
        <v/>
      </c>
      <c r="K401" s="172"/>
      <c r="L401" s="172"/>
    </row>
    <row r="402" spans="1:12">
      <c r="A402" s="165"/>
      <c r="B402" s="165"/>
      <c r="C402" s="165"/>
      <c r="D402" s="165"/>
      <c r="E402" s="165"/>
      <c r="F402" s="166"/>
      <c r="G402" s="165"/>
      <c r="H402" s="167"/>
      <c r="I402" s="165" t="str">
        <f t="shared" si="15"/>
        <v/>
      </c>
      <c r="J402" s="168" t="str">
        <f t="shared" si="16"/>
        <v/>
      </c>
      <c r="K402" s="168"/>
      <c r="L402" s="168"/>
    </row>
    <row r="403" spans="1:12">
      <c r="A403" s="169"/>
      <c r="B403" s="169"/>
      <c r="C403" s="169"/>
      <c r="D403" s="169"/>
      <c r="E403" s="169"/>
      <c r="F403" s="170"/>
      <c r="G403" s="169"/>
      <c r="H403" s="171"/>
      <c r="I403" s="169" t="str">
        <f t="shared" si="15"/>
        <v/>
      </c>
      <c r="J403" s="172" t="str">
        <f t="shared" si="16"/>
        <v/>
      </c>
      <c r="K403" s="172"/>
      <c r="L403" s="172"/>
    </row>
    <row r="404" spans="1:12">
      <c r="A404" s="165"/>
      <c r="B404" s="165"/>
      <c r="C404" s="165"/>
      <c r="D404" s="165"/>
      <c r="E404" s="165"/>
      <c r="F404" s="166"/>
      <c r="G404" s="165"/>
      <c r="H404" s="167"/>
      <c r="I404" s="165" t="str">
        <f t="shared" si="15"/>
        <v/>
      </c>
      <c r="J404" s="168" t="str">
        <f t="shared" si="16"/>
        <v/>
      </c>
      <c r="K404" s="168"/>
      <c r="L404" s="168"/>
    </row>
    <row r="405" spans="1:12">
      <c r="A405" s="169"/>
      <c r="B405" s="169"/>
      <c r="C405" s="169"/>
      <c r="D405" s="169"/>
      <c r="E405" s="169"/>
      <c r="F405" s="170"/>
      <c r="G405" s="169"/>
      <c r="H405" s="171"/>
      <c r="I405" s="169" t="str">
        <f t="shared" si="15"/>
        <v/>
      </c>
      <c r="J405" s="172" t="str">
        <f t="shared" si="16"/>
        <v/>
      </c>
      <c r="K405" s="172"/>
      <c r="L405" s="172"/>
    </row>
    <row r="406" spans="1:12">
      <c r="A406" s="165"/>
      <c r="B406" s="165"/>
      <c r="C406" s="165"/>
      <c r="D406" s="165"/>
      <c r="E406" s="165"/>
      <c r="F406" s="166"/>
      <c r="G406" s="165"/>
      <c r="H406" s="167"/>
      <c r="I406" s="165" t="str">
        <f t="shared" si="15"/>
        <v/>
      </c>
      <c r="J406" s="168" t="str">
        <f t="shared" si="16"/>
        <v/>
      </c>
      <c r="K406" s="168"/>
      <c r="L406" s="168"/>
    </row>
    <row r="407" spans="1:12">
      <c r="A407" s="169"/>
      <c r="B407" s="169"/>
      <c r="C407" s="169"/>
      <c r="D407" s="169"/>
      <c r="E407" s="169"/>
      <c r="F407" s="170"/>
      <c r="G407" s="169"/>
      <c r="H407" s="171"/>
      <c r="I407" s="169" t="str">
        <f t="shared" si="15"/>
        <v/>
      </c>
      <c r="J407" s="172" t="str">
        <f t="shared" si="16"/>
        <v/>
      </c>
      <c r="K407" s="172"/>
      <c r="L407" s="172"/>
    </row>
    <row r="408" spans="1:12">
      <c r="A408" s="165"/>
      <c r="B408" s="165"/>
      <c r="C408" s="165"/>
      <c r="D408" s="165"/>
      <c r="E408" s="165"/>
      <c r="F408" s="166"/>
      <c r="G408" s="165"/>
      <c r="H408" s="167"/>
      <c r="I408" s="165" t="str">
        <f t="shared" si="15"/>
        <v/>
      </c>
      <c r="J408" s="168" t="str">
        <f t="shared" si="16"/>
        <v/>
      </c>
      <c r="K408" s="168"/>
      <c r="L408" s="168"/>
    </row>
    <row r="409" spans="1:12">
      <c r="A409" s="169"/>
      <c r="B409" s="169"/>
      <c r="C409" s="169"/>
      <c r="D409" s="169"/>
      <c r="E409" s="169"/>
      <c r="F409" s="170"/>
      <c r="G409" s="169"/>
      <c r="H409" s="171"/>
      <c r="I409" s="169" t="str">
        <f t="shared" si="15"/>
        <v/>
      </c>
      <c r="J409" s="172" t="str">
        <f t="shared" si="16"/>
        <v/>
      </c>
      <c r="K409" s="172"/>
      <c r="L409" s="172"/>
    </row>
    <row r="410" spans="1:12">
      <c r="A410" s="165"/>
      <c r="B410" s="165"/>
      <c r="C410" s="165"/>
      <c r="D410" s="165"/>
      <c r="E410" s="165"/>
      <c r="F410" s="166"/>
      <c r="G410" s="165"/>
      <c r="H410" s="167"/>
      <c r="I410" s="165" t="str">
        <f t="shared" si="15"/>
        <v/>
      </c>
      <c r="J410" s="168" t="str">
        <f t="shared" si="16"/>
        <v/>
      </c>
      <c r="K410" s="168"/>
      <c r="L410" s="168"/>
    </row>
    <row r="411" spans="1:12">
      <c r="A411" s="169"/>
      <c r="B411" s="169"/>
      <c r="C411" s="169"/>
      <c r="D411" s="169"/>
      <c r="E411" s="169"/>
      <c r="F411" s="170"/>
      <c r="G411" s="169"/>
      <c r="H411" s="171"/>
      <c r="I411" s="169" t="str">
        <f t="shared" si="15"/>
        <v/>
      </c>
      <c r="J411" s="172" t="str">
        <f t="shared" si="16"/>
        <v/>
      </c>
      <c r="K411" s="172"/>
      <c r="L411" s="172"/>
    </row>
    <row r="412" spans="1:12">
      <c r="A412" s="165"/>
      <c r="B412" s="165"/>
      <c r="C412" s="165"/>
      <c r="D412" s="165"/>
      <c r="E412" s="165"/>
      <c r="F412" s="166"/>
      <c r="G412" s="165"/>
      <c r="H412" s="167"/>
      <c r="I412" s="165" t="str">
        <f t="shared" si="15"/>
        <v/>
      </c>
      <c r="J412" s="168" t="str">
        <f t="shared" si="16"/>
        <v/>
      </c>
      <c r="K412" s="168"/>
      <c r="L412" s="168"/>
    </row>
    <row r="413" spans="1:12">
      <c r="A413" s="169"/>
      <c r="B413" s="169"/>
      <c r="C413" s="169"/>
      <c r="D413" s="169"/>
      <c r="E413" s="169"/>
      <c r="F413" s="170"/>
      <c r="G413" s="169"/>
      <c r="H413" s="171"/>
      <c r="I413" s="169" t="str">
        <f t="shared" si="15"/>
        <v/>
      </c>
      <c r="J413" s="172" t="str">
        <f t="shared" si="16"/>
        <v/>
      </c>
      <c r="K413" s="172"/>
      <c r="L413" s="172"/>
    </row>
    <row r="414" spans="1:12">
      <c r="A414" s="165"/>
      <c r="B414" s="165"/>
      <c r="C414" s="165"/>
      <c r="D414" s="165"/>
      <c r="E414" s="165"/>
      <c r="F414" s="166"/>
      <c r="G414" s="165"/>
      <c r="H414" s="167"/>
      <c r="I414" s="165" t="str">
        <f t="shared" si="15"/>
        <v/>
      </c>
      <c r="J414" s="168" t="str">
        <f t="shared" si="16"/>
        <v/>
      </c>
      <c r="K414" s="168"/>
      <c r="L414" s="168"/>
    </row>
    <row r="415" spans="1:12">
      <c r="A415" s="169"/>
      <c r="B415" s="169"/>
      <c r="C415" s="169"/>
      <c r="D415" s="169"/>
      <c r="E415" s="169"/>
      <c r="F415" s="170"/>
      <c r="G415" s="169"/>
      <c r="H415" s="171"/>
      <c r="I415" s="169" t="str">
        <f t="shared" si="15"/>
        <v/>
      </c>
      <c r="J415" s="172" t="str">
        <f t="shared" si="16"/>
        <v/>
      </c>
      <c r="K415" s="172"/>
      <c r="L415" s="172"/>
    </row>
    <row r="416" spans="1:12">
      <c r="A416" s="165"/>
      <c r="B416" s="165"/>
      <c r="C416" s="165"/>
      <c r="D416" s="165"/>
      <c r="E416" s="165"/>
      <c r="F416" s="166"/>
      <c r="G416" s="165"/>
      <c r="H416" s="167"/>
      <c r="I416" s="165" t="str">
        <f t="shared" si="15"/>
        <v/>
      </c>
      <c r="J416" s="168" t="str">
        <f t="shared" si="16"/>
        <v/>
      </c>
      <c r="K416" s="168"/>
      <c r="L416" s="168"/>
    </row>
    <row r="417" spans="1:12">
      <c r="A417" s="169"/>
      <c r="B417" s="169"/>
      <c r="C417" s="169"/>
      <c r="D417" s="169"/>
      <c r="E417" s="169"/>
      <c r="F417" s="170"/>
      <c r="G417" s="169"/>
      <c r="H417" s="171"/>
      <c r="I417" s="169" t="str">
        <f t="shared" si="15"/>
        <v/>
      </c>
      <c r="J417" s="172" t="str">
        <f t="shared" si="16"/>
        <v/>
      </c>
      <c r="K417" s="172"/>
      <c r="L417" s="172"/>
    </row>
    <row r="418" spans="1:12">
      <c r="A418" s="165"/>
      <c r="B418" s="165"/>
      <c r="C418" s="165"/>
      <c r="D418" s="165"/>
      <c r="E418" s="165"/>
      <c r="F418" s="166"/>
      <c r="G418" s="165"/>
      <c r="H418" s="167"/>
      <c r="I418" s="165" t="str">
        <f t="shared" si="15"/>
        <v/>
      </c>
      <c r="J418" s="168" t="str">
        <f t="shared" si="16"/>
        <v/>
      </c>
      <c r="K418" s="168"/>
      <c r="L418" s="168"/>
    </row>
    <row r="419" spans="1:12">
      <c r="A419" s="169"/>
      <c r="B419" s="169"/>
      <c r="C419" s="169"/>
      <c r="D419" s="169"/>
      <c r="E419" s="169"/>
      <c r="F419" s="170"/>
      <c r="G419" s="169"/>
      <c r="H419" s="171"/>
      <c r="I419" s="169" t="str">
        <f t="shared" si="15"/>
        <v/>
      </c>
      <c r="J419" s="172" t="str">
        <f t="shared" si="16"/>
        <v/>
      </c>
      <c r="K419" s="172"/>
      <c r="L419" s="172"/>
    </row>
    <row r="420" spans="1:12">
      <c r="A420" s="165"/>
      <c r="B420" s="165"/>
      <c r="C420" s="165"/>
      <c r="D420" s="165"/>
      <c r="E420" s="165"/>
      <c r="F420" s="166"/>
      <c r="G420" s="165"/>
      <c r="H420" s="167"/>
      <c r="I420" s="165" t="str">
        <f t="shared" si="15"/>
        <v/>
      </c>
      <c r="J420" s="168" t="str">
        <f t="shared" si="16"/>
        <v/>
      </c>
      <c r="K420" s="168"/>
      <c r="L420" s="168"/>
    </row>
    <row r="421" spans="1:12">
      <c r="A421" s="169"/>
      <c r="B421" s="169"/>
      <c r="C421" s="169"/>
      <c r="D421" s="169"/>
      <c r="E421" s="169"/>
      <c r="F421" s="170"/>
      <c r="G421" s="169"/>
      <c r="H421" s="171"/>
      <c r="I421" s="169" t="str">
        <f t="shared" si="15"/>
        <v/>
      </c>
      <c r="J421" s="172" t="str">
        <f t="shared" si="16"/>
        <v/>
      </c>
      <c r="K421" s="172"/>
      <c r="L421" s="172"/>
    </row>
    <row r="422" spans="1:12">
      <c r="A422" s="165"/>
      <c r="B422" s="165"/>
      <c r="C422" s="165"/>
      <c r="D422" s="165"/>
      <c r="E422" s="165"/>
      <c r="F422" s="166"/>
      <c r="G422" s="165"/>
      <c r="H422" s="167"/>
      <c r="I422" s="165" t="str">
        <f t="shared" si="15"/>
        <v/>
      </c>
      <c r="J422" s="168" t="str">
        <f t="shared" si="16"/>
        <v/>
      </c>
      <c r="K422" s="168"/>
      <c r="L422" s="168"/>
    </row>
    <row r="423" spans="1:12">
      <c r="A423" s="169"/>
      <c r="B423" s="169"/>
      <c r="C423" s="169"/>
      <c r="D423" s="169"/>
      <c r="E423" s="169"/>
      <c r="F423" s="170"/>
      <c r="G423" s="169"/>
      <c r="H423" s="171"/>
      <c r="I423" s="169" t="str">
        <f t="shared" si="15"/>
        <v/>
      </c>
      <c r="J423" s="172" t="str">
        <f t="shared" si="16"/>
        <v/>
      </c>
      <c r="K423" s="172"/>
      <c r="L423" s="172"/>
    </row>
    <row r="424" spans="1:12">
      <c r="A424" s="165"/>
      <c r="B424" s="165"/>
      <c r="C424" s="165"/>
      <c r="D424" s="165"/>
      <c r="E424" s="165"/>
      <c r="F424" s="166"/>
      <c r="G424" s="165"/>
      <c r="H424" s="167"/>
      <c r="I424" s="165" t="str">
        <f t="shared" si="15"/>
        <v/>
      </c>
      <c r="J424" s="168" t="str">
        <f t="shared" si="16"/>
        <v/>
      </c>
      <c r="K424" s="168"/>
      <c r="L424" s="168"/>
    </row>
    <row r="425" spans="1:12">
      <c r="A425" s="169"/>
      <c r="B425" s="169"/>
      <c r="C425" s="169"/>
      <c r="D425" s="169"/>
      <c r="E425" s="169"/>
      <c r="F425" s="170"/>
      <c r="G425" s="169"/>
      <c r="H425" s="171"/>
      <c r="I425" s="169" t="str">
        <f t="shared" si="15"/>
        <v/>
      </c>
      <c r="J425" s="172" t="str">
        <f t="shared" si="16"/>
        <v/>
      </c>
      <c r="K425" s="172"/>
      <c r="L425" s="172"/>
    </row>
    <row r="426" spans="1:12">
      <c r="A426" s="165"/>
      <c r="B426" s="165"/>
      <c r="C426" s="165"/>
      <c r="D426" s="165"/>
      <c r="E426" s="165"/>
      <c r="F426" s="166"/>
      <c r="G426" s="165"/>
      <c r="H426" s="167"/>
      <c r="I426" s="165" t="str">
        <f t="shared" si="15"/>
        <v/>
      </c>
      <c r="J426" s="168" t="str">
        <f t="shared" si="16"/>
        <v/>
      </c>
      <c r="K426" s="168"/>
      <c r="L426" s="168"/>
    </row>
    <row r="427" spans="1:12">
      <c r="A427" s="169"/>
      <c r="B427" s="169"/>
      <c r="C427" s="169"/>
      <c r="D427" s="169"/>
      <c r="E427" s="169"/>
      <c r="F427" s="170"/>
      <c r="G427" s="169"/>
      <c r="H427" s="171"/>
      <c r="I427" s="169" t="str">
        <f t="shared" si="15"/>
        <v/>
      </c>
      <c r="J427" s="172" t="str">
        <f t="shared" si="16"/>
        <v/>
      </c>
      <c r="K427" s="172"/>
      <c r="L427" s="172"/>
    </row>
    <row r="428" spans="1:12">
      <c r="A428" s="165"/>
      <c r="B428" s="165"/>
      <c r="C428" s="165"/>
      <c r="D428" s="165"/>
      <c r="E428" s="165"/>
      <c r="F428" s="166"/>
      <c r="G428" s="165"/>
      <c r="H428" s="167"/>
      <c r="I428" s="165" t="str">
        <f t="shared" si="15"/>
        <v/>
      </c>
      <c r="J428" s="168" t="str">
        <f t="shared" si="16"/>
        <v/>
      </c>
      <c r="K428" s="168"/>
      <c r="L428" s="168"/>
    </row>
    <row r="429" spans="1:12">
      <c r="A429" s="169"/>
      <c r="B429" s="169"/>
      <c r="C429" s="169"/>
      <c r="D429" s="169"/>
      <c r="E429" s="169"/>
      <c r="F429" s="170"/>
      <c r="G429" s="169"/>
      <c r="H429" s="171"/>
      <c r="I429" s="169" t="str">
        <f t="shared" si="15"/>
        <v/>
      </c>
      <c r="J429" s="172" t="str">
        <f t="shared" si="16"/>
        <v/>
      </c>
      <c r="K429" s="172"/>
      <c r="L429" s="172"/>
    </row>
    <row r="430" spans="1:12">
      <c r="A430" s="165"/>
      <c r="B430" s="165"/>
      <c r="C430" s="165"/>
      <c r="D430" s="165"/>
      <c r="E430" s="165"/>
      <c r="F430" s="166"/>
      <c r="G430" s="165"/>
      <c r="H430" s="167"/>
      <c r="I430" s="165" t="str">
        <f t="shared" si="15"/>
        <v/>
      </c>
      <c r="J430" s="168" t="str">
        <f t="shared" si="16"/>
        <v/>
      </c>
      <c r="K430" s="168"/>
      <c r="L430" s="168"/>
    </row>
    <row r="431" spans="1:12">
      <c r="A431" s="169"/>
      <c r="B431" s="169"/>
      <c r="C431" s="169"/>
      <c r="D431" s="169"/>
      <c r="E431" s="169"/>
      <c r="F431" s="170"/>
      <c r="G431" s="169"/>
      <c r="H431" s="171"/>
      <c r="I431" s="169" t="str">
        <f t="shared" si="15"/>
        <v/>
      </c>
      <c r="J431" s="172" t="str">
        <f t="shared" si="16"/>
        <v/>
      </c>
      <c r="K431" s="172"/>
      <c r="L431" s="172"/>
    </row>
    <row r="432" spans="1:12">
      <c r="A432" s="165"/>
      <c r="B432" s="165"/>
      <c r="C432" s="165"/>
      <c r="D432" s="165"/>
      <c r="E432" s="165"/>
      <c r="F432" s="166"/>
      <c r="G432" s="165"/>
      <c r="H432" s="167"/>
      <c r="I432" s="165" t="str">
        <f t="shared" si="15"/>
        <v/>
      </c>
      <c r="J432" s="168" t="str">
        <f t="shared" si="16"/>
        <v/>
      </c>
      <c r="K432" s="168"/>
      <c r="L432" s="168"/>
    </row>
    <row r="433" spans="1:12">
      <c r="A433" s="169"/>
      <c r="B433" s="169"/>
      <c r="C433" s="169"/>
      <c r="D433" s="169"/>
      <c r="E433" s="169"/>
      <c r="F433" s="170"/>
      <c r="G433" s="169"/>
      <c r="H433" s="171"/>
      <c r="I433" s="169" t="str">
        <f t="shared" si="15"/>
        <v/>
      </c>
      <c r="J433" s="172" t="str">
        <f t="shared" si="16"/>
        <v/>
      </c>
      <c r="K433" s="172"/>
      <c r="L433" s="172"/>
    </row>
    <row r="434" spans="1:12">
      <c r="A434" s="165"/>
      <c r="B434" s="165"/>
      <c r="C434" s="165"/>
      <c r="D434" s="165"/>
      <c r="E434" s="165"/>
      <c r="F434" s="166"/>
      <c r="G434" s="165"/>
      <c r="H434" s="167"/>
      <c r="I434" s="165" t="str">
        <f t="shared" si="15"/>
        <v/>
      </c>
      <c r="J434" s="168" t="str">
        <f t="shared" si="16"/>
        <v/>
      </c>
      <c r="K434" s="168"/>
      <c r="L434" s="168"/>
    </row>
    <row r="435" spans="1:12">
      <c r="A435" s="169"/>
      <c r="B435" s="169"/>
      <c r="C435" s="169"/>
      <c r="D435" s="169"/>
      <c r="E435" s="169"/>
      <c r="F435" s="170"/>
      <c r="G435" s="169"/>
      <c r="H435" s="171"/>
      <c r="I435" s="169" t="str">
        <f t="shared" si="15"/>
        <v/>
      </c>
      <c r="J435" s="172" t="str">
        <f t="shared" si="16"/>
        <v/>
      </c>
      <c r="K435" s="172"/>
      <c r="L435" s="172"/>
    </row>
    <row r="436" spans="1:12">
      <c r="A436" s="165"/>
      <c r="B436" s="165"/>
      <c r="C436" s="165"/>
      <c r="D436" s="165"/>
      <c r="E436" s="165"/>
      <c r="F436" s="166"/>
      <c r="G436" s="165"/>
      <c r="H436" s="167"/>
      <c r="I436" s="165" t="str">
        <f t="shared" si="15"/>
        <v/>
      </c>
      <c r="J436" s="168" t="str">
        <f t="shared" si="16"/>
        <v/>
      </c>
      <c r="K436" s="168"/>
      <c r="L436" s="168"/>
    </row>
    <row r="437" spans="1:12">
      <c r="A437" s="169"/>
      <c r="B437" s="169"/>
      <c r="C437" s="169"/>
      <c r="D437" s="169"/>
      <c r="E437" s="169"/>
      <c r="F437" s="170"/>
      <c r="G437" s="169"/>
      <c r="H437" s="171"/>
      <c r="I437" s="169" t="str">
        <f t="shared" si="15"/>
        <v/>
      </c>
      <c r="J437" s="172" t="str">
        <f t="shared" si="16"/>
        <v/>
      </c>
      <c r="K437" s="172"/>
      <c r="L437" s="172"/>
    </row>
    <row r="438" spans="1:12">
      <c r="A438" s="165"/>
      <c r="B438" s="165"/>
      <c r="C438" s="165"/>
      <c r="D438" s="165"/>
      <c r="E438" s="165"/>
      <c r="F438" s="166"/>
      <c r="G438" s="165"/>
      <c r="H438" s="167"/>
      <c r="I438" s="165" t="str">
        <f t="shared" si="15"/>
        <v/>
      </c>
      <c r="J438" s="168" t="str">
        <f t="shared" si="16"/>
        <v/>
      </c>
      <c r="K438" s="168"/>
      <c r="L438" s="168"/>
    </row>
    <row r="439" spans="1:12">
      <c r="A439" s="169"/>
      <c r="B439" s="169"/>
      <c r="C439" s="169"/>
      <c r="D439" s="169"/>
      <c r="E439" s="169"/>
      <c r="F439" s="170"/>
      <c r="G439" s="169"/>
      <c r="H439" s="171"/>
      <c r="I439" s="169" t="str">
        <f t="shared" si="15"/>
        <v/>
      </c>
      <c r="J439" s="172" t="str">
        <f t="shared" si="16"/>
        <v/>
      </c>
      <c r="K439" s="172"/>
      <c r="L439" s="172"/>
    </row>
    <row r="440" spans="1:12">
      <c r="A440" s="165"/>
      <c r="B440" s="165"/>
      <c r="C440" s="165"/>
      <c r="D440" s="165"/>
      <c r="E440" s="165"/>
      <c r="F440" s="166"/>
      <c r="G440" s="165"/>
      <c r="H440" s="167"/>
      <c r="I440" s="165" t="str">
        <f t="shared" si="15"/>
        <v/>
      </c>
      <c r="J440" s="168" t="str">
        <f t="shared" si="16"/>
        <v/>
      </c>
      <c r="K440" s="168"/>
      <c r="L440" s="168"/>
    </row>
    <row r="441" spans="1:12">
      <c r="A441" s="169"/>
      <c r="B441" s="169"/>
      <c r="C441" s="169"/>
      <c r="D441" s="169"/>
      <c r="E441" s="169"/>
      <c r="F441" s="170"/>
      <c r="G441" s="169"/>
      <c r="H441" s="171"/>
      <c r="I441" s="169" t="str">
        <f t="shared" si="15"/>
        <v/>
      </c>
      <c r="J441" s="172" t="str">
        <f t="shared" si="16"/>
        <v/>
      </c>
      <c r="K441" s="172"/>
      <c r="L441" s="172"/>
    </row>
    <row r="442" spans="1:12">
      <c r="A442" s="165"/>
      <c r="B442" s="165"/>
      <c r="C442" s="165"/>
      <c r="D442" s="165"/>
      <c r="E442" s="165"/>
      <c r="F442" s="166"/>
      <c r="G442" s="165"/>
      <c r="H442" s="167"/>
      <c r="I442" s="165" t="str">
        <f t="shared" si="15"/>
        <v/>
      </c>
      <c r="J442" s="168" t="str">
        <f t="shared" si="16"/>
        <v/>
      </c>
      <c r="K442" s="168"/>
      <c r="L442" s="168"/>
    </row>
    <row r="443" spans="1:12">
      <c r="A443" s="169"/>
      <c r="B443" s="169"/>
      <c r="C443" s="169"/>
      <c r="D443" s="169"/>
      <c r="E443" s="169"/>
      <c r="F443" s="170"/>
      <c r="G443" s="169"/>
      <c r="H443" s="171"/>
      <c r="I443" s="169" t="str">
        <f t="shared" si="15"/>
        <v/>
      </c>
      <c r="J443" s="172" t="str">
        <f t="shared" si="16"/>
        <v/>
      </c>
      <c r="K443" s="172"/>
      <c r="L443" s="172"/>
    </row>
    <row r="444" spans="1:12">
      <c r="A444" s="165"/>
      <c r="B444" s="165"/>
      <c r="C444" s="165"/>
      <c r="D444" s="165"/>
      <c r="E444" s="165"/>
      <c r="F444" s="166"/>
      <c r="G444" s="165"/>
      <c r="H444" s="167"/>
      <c r="I444" s="165" t="str">
        <f t="shared" si="15"/>
        <v/>
      </c>
      <c r="J444" s="168" t="str">
        <f t="shared" si="16"/>
        <v/>
      </c>
      <c r="K444" s="168"/>
      <c r="L444" s="168"/>
    </row>
    <row r="445" spans="1:12">
      <c r="A445" s="169"/>
      <c r="B445" s="169"/>
      <c r="C445" s="169"/>
      <c r="D445" s="169"/>
      <c r="E445" s="169"/>
      <c r="F445" s="170"/>
      <c r="G445" s="169"/>
      <c r="H445" s="171"/>
      <c r="I445" s="169" t="str">
        <f t="shared" si="15"/>
        <v/>
      </c>
      <c r="J445" s="172" t="str">
        <f t="shared" si="16"/>
        <v/>
      </c>
      <c r="K445" s="172"/>
      <c r="L445" s="172"/>
    </row>
    <row r="446" spans="1:12">
      <c r="A446" s="165"/>
      <c r="B446" s="165"/>
      <c r="C446" s="165"/>
      <c r="D446" s="165"/>
      <c r="E446" s="165"/>
      <c r="F446" s="166"/>
      <c r="G446" s="165"/>
      <c r="H446" s="167"/>
      <c r="I446" s="165" t="str">
        <f t="shared" si="15"/>
        <v/>
      </c>
      <c r="J446" s="168" t="str">
        <f t="shared" si="16"/>
        <v/>
      </c>
      <c r="K446" s="168"/>
      <c r="L446" s="168"/>
    </row>
    <row r="447" spans="1:12">
      <c r="A447" s="169"/>
      <c r="B447" s="169"/>
      <c r="C447" s="169"/>
      <c r="D447" s="169"/>
      <c r="E447" s="169"/>
      <c r="F447" s="170"/>
      <c r="G447" s="169"/>
      <c r="H447" s="171"/>
      <c r="I447" s="169" t="str">
        <f t="shared" si="15"/>
        <v/>
      </c>
      <c r="J447" s="172" t="str">
        <f t="shared" si="16"/>
        <v/>
      </c>
      <c r="K447" s="172"/>
      <c r="L447" s="172"/>
    </row>
    <row r="448" spans="1:12">
      <c r="A448" s="165"/>
      <c r="B448" s="165"/>
      <c r="C448" s="165"/>
      <c r="D448" s="165"/>
      <c r="E448" s="165"/>
      <c r="F448" s="166"/>
      <c r="G448" s="165"/>
      <c r="H448" s="167"/>
      <c r="I448" s="165" t="str">
        <f t="shared" si="15"/>
        <v/>
      </c>
      <c r="J448" s="168" t="str">
        <f t="shared" si="16"/>
        <v/>
      </c>
      <c r="K448" s="168"/>
      <c r="L448" s="168"/>
    </row>
    <row r="449" spans="1:12">
      <c r="A449" s="169"/>
      <c r="B449" s="169"/>
      <c r="C449" s="169"/>
      <c r="D449" s="169"/>
      <c r="E449" s="169"/>
      <c r="F449" s="170"/>
      <c r="G449" s="169"/>
      <c r="H449" s="171"/>
      <c r="I449" s="169" t="str">
        <f t="shared" si="15"/>
        <v/>
      </c>
      <c r="J449" s="172" t="str">
        <f t="shared" si="16"/>
        <v/>
      </c>
      <c r="K449" s="172"/>
      <c r="L449" s="172"/>
    </row>
    <row r="450" spans="1:12">
      <c r="A450" s="165"/>
      <c r="B450" s="165"/>
      <c r="C450" s="165"/>
      <c r="D450" s="165"/>
      <c r="E450" s="165"/>
      <c r="F450" s="166"/>
      <c r="G450" s="165"/>
      <c r="H450" s="167"/>
      <c r="I450" s="165" t="str">
        <f t="shared" ref="I450:I500" si="17">IFERROR(IF(H450="","",DATEVALUE(MID(H450,6,11))),"Check date format")</f>
        <v/>
      </c>
      <c r="J450" s="168" t="str">
        <f t="shared" si="16"/>
        <v/>
      </c>
      <c r="K450" s="168"/>
      <c r="L450" s="168"/>
    </row>
    <row r="451" spans="1:12">
      <c r="A451" s="169"/>
      <c r="B451" s="169"/>
      <c r="C451" s="169"/>
      <c r="D451" s="169"/>
      <c r="E451" s="169"/>
      <c r="F451" s="170"/>
      <c r="G451" s="169"/>
      <c r="H451" s="171"/>
      <c r="I451" s="169" t="str">
        <f t="shared" si="17"/>
        <v/>
      </c>
      <c r="J451" s="172" t="str">
        <f t="shared" ref="J451:J500" si="18">IF(OR(F451="",I451=""),"",F451+IF(I451=I450,N(J450),0))</f>
        <v/>
      </c>
      <c r="K451" s="172"/>
      <c r="L451" s="172"/>
    </row>
    <row r="452" spans="1:12">
      <c r="A452" s="165"/>
      <c r="B452" s="165"/>
      <c r="C452" s="165"/>
      <c r="D452" s="165"/>
      <c r="E452" s="165"/>
      <c r="F452" s="166"/>
      <c r="G452" s="165"/>
      <c r="H452" s="167"/>
      <c r="I452" s="165" t="str">
        <f t="shared" si="17"/>
        <v/>
      </c>
      <c r="J452" s="168" t="str">
        <f t="shared" si="18"/>
        <v/>
      </c>
      <c r="K452" s="168"/>
      <c r="L452" s="168"/>
    </row>
    <row r="453" spans="1:12">
      <c r="A453" s="169"/>
      <c r="B453" s="169"/>
      <c r="C453" s="169"/>
      <c r="D453" s="169"/>
      <c r="E453" s="169"/>
      <c r="F453" s="170"/>
      <c r="G453" s="169"/>
      <c r="H453" s="171"/>
      <c r="I453" s="169" t="str">
        <f t="shared" si="17"/>
        <v/>
      </c>
      <c r="J453" s="172" t="str">
        <f t="shared" si="18"/>
        <v/>
      </c>
      <c r="K453" s="172"/>
      <c r="L453" s="172"/>
    </row>
    <row r="454" spans="1:12">
      <c r="A454" s="165"/>
      <c r="B454" s="165"/>
      <c r="C454" s="165"/>
      <c r="D454" s="165"/>
      <c r="E454" s="165"/>
      <c r="F454" s="166"/>
      <c r="G454" s="165"/>
      <c r="H454" s="167"/>
      <c r="I454" s="165" t="str">
        <f t="shared" si="17"/>
        <v/>
      </c>
      <c r="J454" s="168" t="str">
        <f t="shared" si="18"/>
        <v/>
      </c>
      <c r="K454" s="168"/>
      <c r="L454" s="168"/>
    </row>
    <row r="455" spans="1:12">
      <c r="A455" s="169"/>
      <c r="B455" s="169"/>
      <c r="C455" s="169"/>
      <c r="D455" s="169"/>
      <c r="E455" s="169"/>
      <c r="F455" s="170"/>
      <c r="G455" s="169"/>
      <c r="H455" s="171"/>
      <c r="I455" s="169" t="str">
        <f t="shared" si="17"/>
        <v/>
      </c>
      <c r="J455" s="172" t="str">
        <f t="shared" si="18"/>
        <v/>
      </c>
      <c r="K455" s="172"/>
      <c r="L455" s="172"/>
    </row>
    <row r="456" spans="1:12">
      <c r="A456" s="165"/>
      <c r="B456" s="165"/>
      <c r="C456" s="165"/>
      <c r="D456" s="165"/>
      <c r="E456" s="165"/>
      <c r="F456" s="166"/>
      <c r="G456" s="165"/>
      <c r="H456" s="167"/>
      <c r="I456" s="165" t="str">
        <f t="shared" si="17"/>
        <v/>
      </c>
      <c r="J456" s="168" t="str">
        <f t="shared" si="18"/>
        <v/>
      </c>
      <c r="K456" s="168"/>
      <c r="L456" s="168"/>
    </row>
    <row r="457" spans="1:12">
      <c r="A457" s="169"/>
      <c r="B457" s="169"/>
      <c r="C457" s="169"/>
      <c r="D457" s="169"/>
      <c r="E457" s="169"/>
      <c r="F457" s="170"/>
      <c r="G457" s="169"/>
      <c r="H457" s="171"/>
      <c r="I457" s="169" t="str">
        <f t="shared" si="17"/>
        <v/>
      </c>
      <c r="J457" s="172" t="str">
        <f t="shared" si="18"/>
        <v/>
      </c>
      <c r="K457" s="172"/>
      <c r="L457" s="172"/>
    </row>
    <row r="458" spans="1:12">
      <c r="A458" s="165"/>
      <c r="B458" s="165"/>
      <c r="C458" s="165"/>
      <c r="D458" s="165"/>
      <c r="E458" s="165"/>
      <c r="F458" s="166"/>
      <c r="G458" s="165"/>
      <c r="H458" s="167"/>
      <c r="I458" s="165" t="str">
        <f t="shared" si="17"/>
        <v/>
      </c>
      <c r="J458" s="168" t="str">
        <f t="shared" si="18"/>
        <v/>
      </c>
      <c r="K458" s="168"/>
      <c r="L458" s="168"/>
    </row>
    <row r="459" spans="1:12">
      <c r="A459" s="169"/>
      <c r="B459" s="169"/>
      <c r="C459" s="169"/>
      <c r="D459" s="169"/>
      <c r="E459" s="169"/>
      <c r="F459" s="170"/>
      <c r="G459" s="169"/>
      <c r="H459" s="171"/>
      <c r="I459" s="169" t="str">
        <f t="shared" si="17"/>
        <v/>
      </c>
      <c r="J459" s="172" t="str">
        <f t="shared" si="18"/>
        <v/>
      </c>
      <c r="K459" s="172"/>
      <c r="L459" s="172"/>
    </row>
    <row r="460" spans="1:12">
      <c r="A460" s="165"/>
      <c r="B460" s="165"/>
      <c r="C460" s="165"/>
      <c r="D460" s="165"/>
      <c r="E460" s="165"/>
      <c r="F460" s="166"/>
      <c r="G460" s="165"/>
      <c r="H460" s="167"/>
      <c r="I460" s="165" t="str">
        <f t="shared" si="17"/>
        <v/>
      </c>
      <c r="J460" s="168" t="str">
        <f t="shared" si="18"/>
        <v/>
      </c>
      <c r="K460" s="168"/>
      <c r="L460" s="168"/>
    </row>
    <row r="461" spans="1:12">
      <c r="A461" s="169"/>
      <c r="B461" s="169"/>
      <c r="C461" s="169"/>
      <c r="D461" s="169"/>
      <c r="E461" s="169"/>
      <c r="F461" s="170"/>
      <c r="G461" s="169"/>
      <c r="H461" s="171"/>
      <c r="I461" s="169" t="str">
        <f t="shared" si="17"/>
        <v/>
      </c>
      <c r="J461" s="172" t="str">
        <f t="shared" si="18"/>
        <v/>
      </c>
      <c r="K461" s="172"/>
      <c r="L461" s="172"/>
    </row>
    <row r="462" spans="1:12">
      <c r="A462" s="165"/>
      <c r="B462" s="165"/>
      <c r="C462" s="165"/>
      <c r="D462" s="165"/>
      <c r="E462" s="165"/>
      <c r="F462" s="166"/>
      <c r="G462" s="165"/>
      <c r="H462" s="167"/>
      <c r="I462" s="165" t="str">
        <f t="shared" si="17"/>
        <v/>
      </c>
      <c r="J462" s="168" t="str">
        <f t="shared" si="18"/>
        <v/>
      </c>
      <c r="K462" s="168"/>
      <c r="L462" s="168"/>
    </row>
    <row r="463" spans="1:12">
      <c r="A463" s="169"/>
      <c r="B463" s="169"/>
      <c r="C463" s="169"/>
      <c r="D463" s="169"/>
      <c r="E463" s="169"/>
      <c r="F463" s="170"/>
      <c r="G463" s="169"/>
      <c r="H463" s="171"/>
      <c r="I463" s="169" t="str">
        <f t="shared" si="17"/>
        <v/>
      </c>
      <c r="J463" s="172" t="str">
        <f t="shared" si="18"/>
        <v/>
      </c>
      <c r="K463" s="172"/>
      <c r="L463" s="172"/>
    </row>
    <row r="464" spans="1:12">
      <c r="A464" s="165"/>
      <c r="B464" s="165"/>
      <c r="C464" s="165"/>
      <c r="D464" s="165"/>
      <c r="E464" s="165"/>
      <c r="F464" s="166"/>
      <c r="G464" s="165"/>
      <c r="H464" s="167"/>
      <c r="I464" s="165" t="str">
        <f t="shared" si="17"/>
        <v/>
      </c>
      <c r="J464" s="168" t="str">
        <f t="shared" si="18"/>
        <v/>
      </c>
      <c r="K464" s="168"/>
      <c r="L464" s="168"/>
    </row>
    <row r="465" spans="1:12">
      <c r="A465" s="169"/>
      <c r="B465" s="169"/>
      <c r="C465" s="169"/>
      <c r="D465" s="169"/>
      <c r="E465" s="169"/>
      <c r="F465" s="170"/>
      <c r="G465" s="169"/>
      <c r="H465" s="171"/>
      <c r="I465" s="169" t="str">
        <f t="shared" si="17"/>
        <v/>
      </c>
      <c r="J465" s="172" t="str">
        <f t="shared" si="18"/>
        <v/>
      </c>
      <c r="K465" s="172"/>
      <c r="L465" s="172"/>
    </row>
    <row r="466" spans="1:12">
      <c r="A466" s="165"/>
      <c r="B466" s="165"/>
      <c r="C466" s="165"/>
      <c r="D466" s="165"/>
      <c r="E466" s="165"/>
      <c r="F466" s="166"/>
      <c r="G466" s="165"/>
      <c r="H466" s="167"/>
      <c r="I466" s="165" t="str">
        <f t="shared" si="17"/>
        <v/>
      </c>
      <c r="J466" s="168" t="str">
        <f t="shared" si="18"/>
        <v/>
      </c>
      <c r="K466" s="168"/>
      <c r="L466" s="168"/>
    </row>
    <row r="467" spans="1:12">
      <c r="A467" s="169"/>
      <c r="B467" s="169"/>
      <c r="C467" s="169"/>
      <c r="D467" s="169"/>
      <c r="E467" s="169"/>
      <c r="F467" s="170"/>
      <c r="G467" s="169"/>
      <c r="H467" s="171"/>
      <c r="I467" s="169" t="str">
        <f t="shared" si="17"/>
        <v/>
      </c>
      <c r="J467" s="172" t="str">
        <f t="shared" si="18"/>
        <v/>
      </c>
      <c r="K467" s="172"/>
      <c r="L467" s="172"/>
    </row>
    <row r="468" spans="1:12">
      <c r="A468" s="165"/>
      <c r="B468" s="165"/>
      <c r="C468" s="165"/>
      <c r="D468" s="165"/>
      <c r="E468" s="165"/>
      <c r="F468" s="166"/>
      <c r="G468" s="165"/>
      <c r="H468" s="167"/>
      <c r="I468" s="165" t="str">
        <f t="shared" si="17"/>
        <v/>
      </c>
      <c r="J468" s="168" t="str">
        <f t="shared" si="18"/>
        <v/>
      </c>
      <c r="K468" s="168"/>
      <c r="L468" s="168"/>
    </row>
    <row r="469" spans="1:12">
      <c r="A469" s="169"/>
      <c r="B469" s="169"/>
      <c r="C469" s="169"/>
      <c r="D469" s="169"/>
      <c r="E469" s="169"/>
      <c r="F469" s="170"/>
      <c r="G469" s="169"/>
      <c r="H469" s="171"/>
      <c r="I469" s="169" t="str">
        <f t="shared" si="17"/>
        <v/>
      </c>
      <c r="J469" s="172" t="str">
        <f t="shared" si="18"/>
        <v/>
      </c>
      <c r="K469" s="172"/>
      <c r="L469" s="172"/>
    </row>
    <row r="470" spans="1:12">
      <c r="A470" s="165"/>
      <c r="B470" s="165"/>
      <c r="C470" s="165"/>
      <c r="D470" s="165"/>
      <c r="E470" s="165"/>
      <c r="F470" s="166"/>
      <c r="G470" s="165"/>
      <c r="H470" s="167"/>
      <c r="I470" s="165" t="str">
        <f t="shared" si="17"/>
        <v/>
      </c>
      <c r="J470" s="168" t="str">
        <f t="shared" si="18"/>
        <v/>
      </c>
      <c r="K470" s="168"/>
      <c r="L470" s="168"/>
    </row>
    <row r="471" spans="1:12">
      <c r="A471" s="169"/>
      <c r="B471" s="169"/>
      <c r="C471" s="169"/>
      <c r="D471" s="169"/>
      <c r="E471" s="169"/>
      <c r="F471" s="170"/>
      <c r="G471" s="169"/>
      <c r="H471" s="171"/>
      <c r="I471" s="169" t="str">
        <f t="shared" si="17"/>
        <v/>
      </c>
      <c r="J471" s="172" t="str">
        <f t="shared" si="18"/>
        <v/>
      </c>
      <c r="K471" s="172"/>
      <c r="L471" s="172"/>
    </row>
    <row r="472" spans="1:12">
      <c r="A472" s="165"/>
      <c r="B472" s="165"/>
      <c r="C472" s="165"/>
      <c r="D472" s="165"/>
      <c r="E472" s="165"/>
      <c r="F472" s="166"/>
      <c r="G472" s="165"/>
      <c r="H472" s="167"/>
      <c r="I472" s="165" t="str">
        <f t="shared" si="17"/>
        <v/>
      </c>
      <c r="J472" s="168" t="str">
        <f t="shared" si="18"/>
        <v/>
      </c>
      <c r="K472" s="168"/>
      <c r="L472" s="168"/>
    </row>
    <row r="473" spans="1:12">
      <c r="A473" s="169"/>
      <c r="B473" s="169"/>
      <c r="C473" s="169"/>
      <c r="D473" s="169"/>
      <c r="E473" s="169"/>
      <c r="F473" s="170"/>
      <c r="G473" s="169"/>
      <c r="H473" s="171"/>
      <c r="I473" s="169" t="str">
        <f t="shared" si="17"/>
        <v/>
      </c>
      <c r="J473" s="172" t="str">
        <f t="shared" si="18"/>
        <v/>
      </c>
      <c r="K473" s="172"/>
      <c r="L473" s="172"/>
    </row>
    <row r="474" spans="1:12">
      <c r="A474" s="165"/>
      <c r="B474" s="165"/>
      <c r="C474" s="165"/>
      <c r="D474" s="165"/>
      <c r="E474" s="165"/>
      <c r="F474" s="166"/>
      <c r="G474" s="165"/>
      <c r="H474" s="167"/>
      <c r="I474" s="165" t="str">
        <f t="shared" si="17"/>
        <v/>
      </c>
      <c r="J474" s="168" t="str">
        <f t="shared" si="18"/>
        <v/>
      </c>
      <c r="K474" s="168"/>
      <c r="L474" s="168"/>
    </row>
    <row r="475" spans="1:12">
      <c r="A475" s="169"/>
      <c r="B475" s="169"/>
      <c r="C475" s="169"/>
      <c r="D475" s="169"/>
      <c r="E475" s="169"/>
      <c r="F475" s="170"/>
      <c r="G475" s="169"/>
      <c r="H475" s="171"/>
      <c r="I475" s="169" t="str">
        <f t="shared" si="17"/>
        <v/>
      </c>
      <c r="J475" s="172" t="str">
        <f t="shared" si="18"/>
        <v/>
      </c>
      <c r="K475" s="172"/>
      <c r="L475" s="172"/>
    </row>
    <row r="476" spans="1:12">
      <c r="A476" s="165"/>
      <c r="B476" s="165"/>
      <c r="C476" s="165"/>
      <c r="D476" s="165"/>
      <c r="E476" s="165"/>
      <c r="F476" s="166"/>
      <c r="G476" s="165"/>
      <c r="H476" s="167"/>
      <c r="I476" s="165" t="str">
        <f t="shared" si="17"/>
        <v/>
      </c>
      <c r="J476" s="168" t="str">
        <f t="shared" si="18"/>
        <v/>
      </c>
      <c r="K476" s="168"/>
      <c r="L476" s="168"/>
    </row>
    <row r="477" spans="1:12">
      <c r="A477" s="169"/>
      <c r="B477" s="169"/>
      <c r="C477" s="169"/>
      <c r="D477" s="169"/>
      <c r="E477" s="169"/>
      <c r="F477" s="170"/>
      <c r="G477" s="169"/>
      <c r="H477" s="171"/>
      <c r="I477" s="169" t="str">
        <f t="shared" si="17"/>
        <v/>
      </c>
      <c r="J477" s="172" t="str">
        <f t="shared" si="18"/>
        <v/>
      </c>
      <c r="K477" s="172"/>
      <c r="L477" s="172"/>
    </row>
    <row r="478" spans="1:12">
      <c r="A478" s="165"/>
      <c r="B478" s="165"/>
      <c r="C478" s="165"/>
      <c r="D478" s="165"/>
      <c r="E478" s="165"/>
      <c r="F478" s="166"/>
      <c r="G478" s="165"/>
      <c r="H478" s="167"/>
      <c r="I478" s="165" t="str">
        <f t="shared" si="17"/>
        <v/>
      </c>
      <c r="J478" s="168" t="str">
        <f t="shared" si="18"/>
        <v/>
      </c>
      <c r="K478" s="168"/>
      <c r="L478" s="168"/>
    </row>
    <row r="479" spans="1:12">
      <c r="A479" s="169"/>
      <c r="B479" s="169"/>
      <c r="C479" s="169"/>
      <c r="D479" s="169"/>
      <c r="E479" s="169"/>
      <c r="F479" s="170"/>
      <c r="G479" s="169"/>
      <c r="H479" s="171"/>
      <c r="I479" s="169" t="str">
        <f t="shared" si="17"/>
        <v/>
      </c>
      <c r="J479" s="172" t="str">
        <f t="shared" si="18"/>
        <v/>
      </c>
      <c r="K479" s="172"/>
      <c r="L479" s="172"/>
    </row>
    <row r="480" spans="1:12">
      <c r="A480" s="165"/>
      <c r="B480" s="165"/>
      <c r="C480" s="165"/>
      <c r="D480" s="165"/>
      <c r="E480" s="165"/>
      <c r="F480" s="166"/>
      <c r="G480" s="165"/>
      <c r="H480" s="167"/>
      <c r="I480" s="165" t="str">
        <f t="shared" si="17"/>
        <v/>
      </c>
      <c r="J480" s="168" t="str">
        <f t="shared" si="18"/>
        <v/>
      </c>
      <c r="K480" s="168"/>
      <c r="L480" s="168"/>
    </row>
    <row r="481" spans="1:12">
      <c r="A481" s="169"/>
      <c r="B481" s="169"/>
      <c r="C481" s="169"/>
      <c r="D481" s="169"/>
      <c r="E481" s="169"/>
      <c r="F481" s="170"/>
      <c r="G481" s="169"/>
      <c r="H481" s="171"/>
      <c r="I481" s="169" t="str">
        <f t="shared" si="17"/>
        <v/>
      </c>
      <c r="J481" s="172" t="str">
        <f t="shared" si="18"/>
        <v/>
      </c>
      <c r="K481" s="172"/>
      <c r="L481" s="172"/>
    </row>
    <row r="482" spans="1:12">
      <c r="A482" s="165"/>
      <c r="B482" s="165"/>
      <c r="C482" s="165"/>
      <c r="D482" s="165"/>
      <c r="E482" s="165"/>
      <c r="F482" s="166"/>
      <c r="G482" s="165"/>
      <c r="H482" s="167"/>
      <c r="I482" s="165" t="str">
        <f t="shared" si="17"/>
        <v/>
      </c>
      <c r="J482" s="168" t="str">
        <f t="shared" si="18"/>
        <v/>
      </c>
      <c r="K482" s="168"/>
      <c r="L482" s="168"/>
    </row>
    <row r="483" spans="1:12">
      <c r="A483" s="169"/>
      <c r="B483" s="169"/>
      <c r="C483" s="169"/>
      <c r="D483" s="169"/>
      <c r="E483" s="169"/>
      <c r="F483" s="170"/>
      <c r="G483" s="169"/>
      <c r="H483" s="171"/>
      <c r="I483" s="169" t="str">
        <f t="shared" si="17"/>
        <v/>
      </c>
      <c r="J483" s="172" t="str">
        <f t="shared" si="18"/>
        <v/>
      </c>
      <c r="K483" s="172"/>
      <c r="L483" s="172"/>
    </row>
    <row r="484" spans="1:12">
      <c r="A484" s="165"/>
      <c r="B484" s="165"/>
      <c r="C484" s="165"/>
      <c r="D484" s="165"/>
      <c r="E484" s="165"/>
      <c r="F484" s="166"/>
      <c r="G484" s="165"/>
      <c r="H484" s="167"/>
      <c r="I484" s="165" t="str">
        <f t="shared" si="17"/>
        <v/>
      </c>
      <c r="J484" s="168" t="str">
        <f t="shared" si="18"/>
        <v/>
      </c>
      <c r="K484" s="168"/>
      <c r="L484" s="168"/>
    </row>
    <row r="485" spans="1:12">
      <c r="A485" s="169"/>
      <c r="B485" s="169"/>
      <c r="C485" s="169"/>
      <c r="D485" s="169"/>
      <c r="E485" s="169"/>
      <c r="F485" s="170"/>
      <c r="G485" s="169"/>
      <c r="H485" s="171"/>
      <c r="I485" s="169" t="str">
        <f t="shared" si="17"/>
        <v/>
      </c>
      <c r="J485" s="172" t="str">
        <f t="shared" si="18"/>
        <v/>
      </c>
      <c r="K485" s="172"/>
      <c r="L485" s="172"/>
    </row>
    <row r="486" spans="1:12">
      <c r="A486" s="165"/>
      <c r="B486" s="165"/>
      <c r="C486" s="165"/>
      <c r="D486" s="165"/>
      <c r="E486" s="165"/>
      <c r="F486" s="166"/>
      <c r="G486" s="165"/>
      <c r="H486" s="167"/>
      <c r="I486" s="165" t="str">
        <f t="shared" si="17"/>
        <v/>
      </c>
      <c r="J486" s="168" t="str">
        <f t="shared" si="18"/>
        <v/>
      </c>
      <c r="K486" s="168"/>
      <c r="L486" s="168"/>
    </row>
    <row r="487" spans="1:12">
      <c r="A487" s="169"/>
      <c r="B487" s="169"/>
      <c r="C487" s="169"/>
      <c r="D487" s="169"/>
      <c r="E487" s="169"/>
      <c r="F487" s="170"/>
      <c r="G487" s="169"/>
      <c r="H487" s="171"/>
      <c r="I487" s="169" t="str">
        <f t="shared" si="17"/>
        <v/>
      </c>
      <c r="J487" s="172" t="str">
        <f t="shared" si="18"/>
        <v/>
      </c>
      <c r="K487" s="172"/>
      <c r="L487" s="172"/>
    </row>
    <row r="488" spans="1:12">
      <c r="A488" s="165"/>
      <c r="B488" s="165"/>
      <c r="C488" s="165"/>
      <c r="D488" s="165"/>
      <c r="E488" s="165"/>
      <c r="F488" s="166"/>
      <c r="G488" s="165"/>
      <c r="H488" s="167"/>
      <c r="I488" s="165" t="str">
        <f t="shared" si="17"/>
        <v/>
      </c>
      <c r="J488" s="168" t="str">
        <f t="shared" si="18"/>
        <v/>
      </c>
      <c r="K488" s="168"/>
      <c r="L488" s="168"/>
    </row>
    <row r="489" spans="1:12">
      <c r="A489" s="169"/>
      <c r="B489" s="169"/>
      <c r="C489" s="169"/>
      <c r="D489" s="169"/>
      <c r="E489" s="169"/>
      <c r="F489" s="170"/>
      <c r="G489" s="169"/>
      <c r="H489" s="171"/>
      <c r="I489" s="169" t="str">
        <f t="shared" si="17"/>
        <v/>
      </c>
      <c r="J489" s="172" t="str">
        <f t="shared" si="18"/>
        <v/>
      </c>
      <c r="K489" s="172"/>
      <c r="L489" s="172"/>
    </row>
    <row r="490" spans="1:12">
      <c r="A490" s="165"/>
      <c r="B490" s="165"/>
      <c r="C490" s="165"/>
      <c r="D490" s="165"/>
      <c r="E490" s="165"/>
      <c r="F490" s="166"/>
      <c r="G490" s="165"/>
      <c r="H490" s="167"/>
      <c r="I490" s="165" t="str">
        <f t="shared" si="17"/>
        <v/>
      </c>
      <c r="J490" s="168" t="str">
        <f t="shared" si="18"/>
        <v/>
      </c>
      <c r="K490" s="168"/>
      <c r="L490" s="168"/>
    </row>
    <row r="491" spans="1:12">
      <c r="A491" s="169"/>
      <c r="B491" s="169"/>
      <c r="C491" s="169"/>
      <c r="D491" s="169"/>
      <c r="E491" s="169"/>
      <c r="F491" s="170"/>
      <c r="G491" s="169"/>
      <c r="H491" s="171"/>
      <c r="I491" s="169" t="str">
        <f t="shared" si="17"/>
        <v/>
      </c>
      <c r="J491" s="172" t="str">
        <f t="shared" si="18"/>
        <v/>
      </c>
      <c r="K491" s="172"/>
      <c r="L491" s="172"/>
    </row>
    <row r="492" spans="1:12">
      <c r="A492" s="165"/>
      <c r="B492" s="165"/>
      <c r="C492" s="165"/>
      <c r="D492" s="165"/>
      <c r="E492" s="165"/>
      <c r="F492" s="166"/>
      <c r="G492" s="165"/>
      <c r="H492" s="167"/>
      <c r="I492" s="165" t="str">
        <f t="shared" si="17"/>
        <v/>
      </c>
      <c r="J492" s="168" t="str">
        <f t="shared" si="18"/>
        <v/>
      </c>
      <c r="K492" s="168"/>
      <c r="L492" s="168"/>
    </row>
    <row r="493" spans="1:12">
      <c r="A493" s="169"/>
      <c r="B493" s="169"/>
      <c r="C493" s="169"/>
      <c r="D493" s="169"/>
      <c r="E493" s="169"/>
      <c r="F493" s="170"/>
      <c r="G493" s="169"/>
      <c r="H493" s="171"/>
      <c r="I493" s="169" t="str">
        <f t="shared" si="17"/>
        <v/>
      </c>
      <c r="J493" s="172" t="str">
        <f t="shared" si="18"/>
        <v/>
      </c>
      <c r="K493" s="172"/>
      <c r="L493" s="172"/>
    </row>
    <row r="494" spans="1:12">
      <c r="A494" s="165"/>
      <c r="B494" s="165"/>
      <c r="C494" s="165"/>
      <c r="D494" s="165"/>
      <c r="E494" s="165"/>
      <c r="F494" s="166"/>
      <c r="G494" s="165"/>
      <c r="H494" s="167"/>
      <c r="I494" s="165" t="str">
        <f t="shared" si="17"/>
        <v/>
      </c>
      <c r="J494" s="168" t="str">
        <f t="shared" si="18"/>
        <v/>
      </c>
      <c r="K494" s="168"/>
      <c r="L494" s="168"/>
    </row>
    <row r="495" spans="1:12">
      <c r="A495" s="169"/>
      <c r="B495" s="169"/>
      <c r="C495" s="169"/>
      <c r="D495" s="169"/>
      <c r="E495" s="169"/>
      <c r="F495" s="170"/>
      <c r="G495" s="169"/>
      <c r="H495" s="171"/>
      <c r="I495" s="169" t="str">
        <f t="shared" si="17"/>
        <v/>
      </c>
      <c r="J495" s="172" t="str">
        <f t="shared" si="18"/>
        <v/>
      </c>
      <c r="K495" s="172"/>
      <c r="L495" s="172"/>
    </row>
    <row r="496" spans="1:12">
      <c r="A496" s="165"/>
      <c r="B496" s="165"/>
      <c r="C496" s="165"/>
      <c r="D496" s="165"/>
      <c r="E496" s="165"/>
      <c r="F496" s="166"/>
      <c r="G496" s="165"/>
      <c r="H496" s="167"/>
      <c r="I496" s="165" t="str">
        <f t="shared" si="17"/>
        <v/>
      </c>
      <c r="J496" s="168" t="str">
        <f t="shared" si="18"/>
        <v/>
      </c>
      <c r="K496" s="168"/>
      <c r="L496" s="168"/>
    </row>
    <row r="497" spans="1:12">
      <c r="A497" s="169"/>
      <c r="B497" s="169"/>
      <c r="C497" s="169"/>
      <c r="D497" s="169"/>
      <c r="E497" s="169"/>
      <c r="F497" s="170"/>
      <c r="G497" s="169"/>
      <c r="H497" s="171"/>
      <c r="I497" s="169" t="str">
        <f t="shared" si="17"/>
        <v/>
      </c>
      <c r="J497" s="172" t="str">
        <f t="shared" si="18"/>
        <v/>
      </c>
      <c r="K497" s="172"/>
      <c r="L497" s="172"/>
    </row>
    <row r="498" spans="1:12">
      <c r="A498" s="165"/>
      <c r="B498" s="165"/>
      <c r="C498" s="165"/>
      <c r="D498" s="165"/>
      <c r="E498" s="165"/>
      <c r="F498" s="166"/>
      <c r="G498" s="165"/>
      <c r="H498" s="167"/>
      <c r="I498" s="165" t="str">
        <f t="shared" si="17"/>
        <v/>
      </c>
      <c r="J498" s="168" t="str">
        <f t="shared" si="18"/>
        <v/>
      </c>
      <c r="K498" s="168"/>
      <c r="L498" s="168"/>
    </row>
    <row r="499" spans="1:12">
      <c r="A499" s="169"/>
      <c r="B499" s="169"/>
      <c r="C499" s="169"/>
      <c r="D499" s="169"/>
      <c r="E499" s="169"/>
      <c r="F499" s="170"/>
      <c r="G499" s="169"/>
      <c r="H499" s="171"/>
      <c r="I499" s="169" t="str">
        <f t="shared" si="17"/>
        <v/>
      </c>
      <c r="J499" s="172" t="str">
        <f t="shared" si="18"/>
        <v/>
      </c>
      <c r="K499" s="172"/>
      <c r="L499" s="172"/>
    </row>
    <row r="500" spans="1:12">
      <c r="A500" s="165"/>
      <c r="B500" s="165"/>
      <c r="C500" s="165"/>
      <c r="D500" s="165"/>
      <c r="E500" s="165"/>
      <c r="F500" s="166"/>
      <c r="G500" s="165"/>
      <c r="H500" s="167"/>
      <c r="I500" s="165" t="str">
        <f t="shared" si="17"/>
        <v/>
      </c>
      <c r="J500" s="168" t="str">
        <f t="shared" si="18"/>
        <v/>
      </c>
      <c r="K500" s="168"/>
      <c r="L500" s="168"/>
    </row>
  </sheetData>
  <sheetProtection algorithmName="SHA-512" hashValue="+lcMSU1FCc/ayiLIKQzXJWOOVwTRhP7UrdjXJymGG3cI7rFIuewDex0SyWhVAXvAgqRqvgmKZk/cd8OGWvRf9Q==" saltValue="3YZqNFpzTV9TTZ2FpveMNQ==" spinCount="100000" sheet="1" formatColumns="0" formatRows="0" autoFilter="0"/>
  <dataValidations count="1">
    <dataValidation type="list" allowBlank="1" showInputMessage="1" showErrorMessage="1" sqref="C3:C500" xr:uid="{00000000-0002-0000-0300-000000000000}">
      <formula1>"buy,sell"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J69"/>
  <sheetViews>
    <sheetView showGridLines="0" topLeftCell="A44" zoomScale="98" zoomScaleNormal="98" workbookViewId="0">
      <pane activePane="bottomRight" state="frozen"/>
      <selection activeCell="G13" sqref="G13"/>
    </sheetView>
  </sheetViews>
  <sheetFormatPr defaultColWidth="9" defaultRowHeight="14.5" outlineLevelCol="2"/>
  <cols>
    <col min="1" max="1" width="14" style="55" customWidth="1"/>
    <col min="2" max="2" width="20.1796875" style="55" customWidth="1"/>
    <col min="3" max="3" width="15.81640625" style="55" customWidth="1"/>
    <col min="4" max="4" width="17.81640625" style="55" customWidth="1"/>
    <col min="5" max="5" width="14.6328125" style="55" customWidth="1"/>
    <col min="6" max="7" width="9" style="55" customWidth="1"/>
    <col min="8" max="8" width="14.36328125" style="55" customWidth="1"/>
    <col min="9" max="9" width="25.1796875" style="55" customWidth="1"/>
    <col min="10" max="10" width="17.81640625" style="55" customWidth="1"/>
    <col min="11" max="11" width="19" style="55" customWidth="1"/>
    <col min="12" max="12" width="9" style="55" customWidth="1"/>
    <col min="13" max="13" width="9" style="55" customWidth="1" outlineLevel="1"/>
    <col min="14" max="14" width="38.453125" style="55" customWidth="1" outlineLevel="2"/>
    <col min="15" max="16" width="9" style="55" customWidth="1" outlineLevel="2"/>
    <col min="17" max="17" width="11" style="55" customWidth="1" outlineLevel="2"/>
    <col min="18" max="18" width="9" style="55" customWidth="1" outlineLevel="2"/>
    <col min="19" max="19" width="33.08984375" style="55" customWidth="1" outlineLevel="2"/>
    <col min="20" max="20" width="17.7265625" style="55" customWidth="1" outlineLevel="2"/>
    <col min="21" max="21" width="10.08984375" style="55" customWidth="1" outlineLevel="2"/>
    <col min="22" max="22" width="11.08984375" style="55" customWidth="1" outlineLevel="2"/>
    <col min="23" max="23" width="15.81640625" style="55" customWidth="1" outlineLevel="2"/>
    <col min="24" max="24" width="29.453125" style="55" customWidth="1" outlineLevel="2"/>
    <col min="25" max="25" width="12.26953125" style="55" customWidth="1" outlineLevel="2"/>
    <col min="26" max="28" width="9" style="55" customWidth="1" outlineLevel="2"/>
    <col min="29" max="29" width="19.08984375" style="55" customWidth="1" outlineLevel="2"/>
    <col min="30" max="30" width="13.26953125" style="55" customWidth="1" outlineLevel="2"/>
    <col min="31" max="32" width="9" style="55" customWidth="1" outlineLevel="2"/>
    <col min="33" max="33" width="12.7265625" style="55" customWidth="1" outlineLevel="2"/>
    <col min="34" max="34" width="18.453125" style="55" customWidth="1" outlineLevel="2"/>
    <col min="35" max="35" width="13.81640625" style="55" customWidth="1" outlineLevel="2"/>
    <col min="36" max="36" width="14.453125" style="55" customWidth="1" outlineLevel="2"/>
    <col min="37" max="37" width="20" style="55" customWidth="1" outlineLevel="2"/>
    <col min="38" max="38" width="18" style="55" customWidth="1"/>
    <col min="39" max="39" width="14.54296875" style="55" customWidth="1"/>
    <col min="40" max="40" width="25" style="55" customWidth="1"/>
    <col min="41" max="130" width="9" style="55" customWidth="1"/>
    <col min="131" max="131" width="35.08984375" style="55" customWidth="1"/>
    <col min="132" max="132" width="185.7265625" style="55" customWidth="1"/>
    <col min="133" max="133" width="18.81640625" style="55" customWidth="1"/>
    <col min="134" max="134" width="14.453125" style="55" customWidth="1"/>
    <col min="135" max="135" width="49.26953125" style="55" customWidth="1"/>
    <col min="136" max="136" width="143.7265625" style="55" customWidth="1"/>
    <col min="137" max="137" width="9" style="55" customWidth="1"/>
    <col min="138" max="138" width="15.453125" style="55" customWidth="1"/>
    <col min="139" max="139" width="12" style="55" customWidth="1"/>
    <col min="140" max="140" width="13.26953125" style="55" customWidth="1"/>
    <col min="141" max="141" width="9" style="55" customWidth="1"/>
    <col min="142" max="16384" width="9" style="55"/>
  </cols>
  <sheetData>
    <row r="1" spans="1:140" ht="36" customHeight="1">
      <c r="A1" s="261" t="s">
        <v>201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62" t="s">
        <v>202</v>
      </c>
      <c r="O1" s="219"/>
      <c r="P1" s="219"/>
      <c r="Q1" s="219"/>
      <c r="S1" s="55" t="s">
        <v>203</v>
      </c>
      <c r="X1" s="55" t="s">
        <v>185</v>
      </c>
      <c r="Y1" s="56" t="str">
        <f>IF(AND($T$8,NOT($T$9)),"LONG",IF(AND($T$9,NOT($T$8)),"SHORT",""))</f>
        <v>LONG</v>
      </c>
      <c r="AC1" s="57" t="s">
        <v>204</v>
      </c>
      <c r="AD1" s="58" t="s">
        <v>205</v>
      </c>
      <c r="AE1" s="58" t="s">
        <v>206</v>
      </c>
      <c r="AF1" s="58" t="s">
        <v>207</v>
      </c>
      <c r="AG1" s="58" t="s">
        <v>208</v>
      </c>
      <c r="AH1" s="58" t="s">
        <v>209</v>
      </c>
      <c r="AI1" s="58" t="s">
        <v>210</v>
      </c>
      <c r="AJ1" s="58" t="s">
        <v>211</v>
      </c>
      <c r="AK1" s="58" t="s">
        <v>212</v>
      </c>
      <c r="AL1" s="58" t="s">
        <v>213</v>
      </c>
      <c r="AM1" s="59" t="s">
        <v>214</v>
      </c>
      <c r="EH1" s="55" t="s">
        <v>215</v>
      </c>
      <c r="EI1" s="60">
        <f>IF(SUM($AI$28:$AI$30)=0,"",SUMPRODUCT($AD$28:$AD$30,$AI$28:$AI$30)/SUM($AI$28:$AI$30))</f>
        <v>1.1560249999999999</v>
      </c>
    </row>
    <row r="2" spans="1:140" ht="29" customHeight="1">
      <c r="A2" s="263" t="s">
        <v>216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N2" s="55" t="s">
        <v>217</v>
      </c>
      <c r="S2" s="61" t="s">
        <v>218</v>
      </c>
      <c r="T2" s="61" t="s">
        <v>219</v>
      </c>
      <c r="U2" s="61" t="s">
        <v>220</v>
      </c>
      <c r="V2" s="61" t="s">
        <v>221</v>
      </c>
      <c r="X2" s="55" t="s">
        <v>163</v>
      </c>
      <c r="Y2" s="62">
        <f>Summary!B10*Summary!B8</f>
        <v>500</v>
      </c>
      <c r="AC2" s="63" t="s">
        <v>222</v>
      </c>
      <c r="AD2" s="64">
        <f>IF($Y$1="LONG",IF($ED$58,$T$19,$O$7),IF($Y$1="SHORT",$Q$23,""))</f>
        <v>1.145</v>
      </c>
      <c r="AE2" s="64">
        <f>IF(AD2="","",$ED$40)</f>
        <v>8.0000000000000004E-4</v>
      </c>
      <c r="AF2" s="64">
        <f>IF($Y$1="LONG",IF(OR($ED$58,$O$3&gt;=$T$19),$ED$27,$T$20-0.0002),IF($Y$1="SHORT",IF($ED$58,MAX($O$39,$O$7)+0.0002,$T$19+0.0002),""))</f>
        <v>-2.5000000000000001E-4</v>
      </c>
      <c r="AG2" s="65">
        <f>IF(OR(AD2="",AE2=""),"",ABS((AE2-AD2)*10000))</f>
        <v>11442.000000000002</v>
      </c>
      <c r="AH2" s="65">
        <f>IF(OR(AD2="",AF2=""),"",MAX(ABS((AD2-AF2)*10000),$ED$19))</f>
        <v>11452.500000000002</v>
      </c>
      <c r="AI2" s="66">
        <f>$Y$7</f>
        <v>0.2</v>
      </c>
      <c r="AJ2" s="67">
        <f>IF(OR(AI2=0,$ED$11=0,AD2=""),"",$Y$2*$ED$8*AI2/$ED$11)</f>
        <v>100</v>
      </c>
      <c r="AK2" s="67">
        <f>IF(OR(AJ2="",AJ2=0,AG2=""),"",AJ2*AG2/MAX(AH2,$ED$19))</f>
        <v>99.908316961362146</v>
      </c>
      <c r="AL2" s="68">
        <f>IF(OR(AD2="",AH2="",AJ2=""),"",AJ2/(MAX(AH2,$ED$19)*$ED$3))</f>
        <v>87.317179655097121</v>
      </c>
      <c r="AM2" s="69">
        <f>IF(OR(AG2="",AH2=""),"",AG2/MAX(AH2,$ED$19))</f>
        <v>0.99908316961362154</v>
      </c>
      <c r="AN2" s="55">
        <f>IF(AH2="","",MAX(AH2,$ED$7))</f>
        <v>11452.500000000002</v>
      </c>
      <c r="EA2" s="55" t="s">
        <v>223</v>
      </c>
      <c r="EC2" s="55" t="s">
        <v>224</v>
      </c>
      <c r="EE2" s="55" t="s">
        <v>225</v>
      </c>
      <c r="EF2" s="70" t="str">
        <f ca="1">IF($EB$25,"Avoid trading this leg – system rules (R, room, macro) are not met.",IF($EB$56=1,"HTF up, shallow pullback in Tier 1 (15m 0.382–0.618). Long bias but less room; prefer buying dips closer to Tier 2/3.",IF($EB$56=2,"HTF up, intraday pullback trading in Tier 2 (4H FVG + HTF 0.382 + EMA50D). Macro bias: buy dips; this is a B-grade but tradable zone when ladder and R/room are valid.",IF($EB$56=3,"HTF up, deep discount near structural support (Tier 3). If trend remains intact, this is a high-value region.","Price is above all discount tiers (premium) near PMH/PDH/EQH. This is not a location for fresh longs; either manage existing longs or wait for a pullback into Tier 2/3 or a clearly defined CT short setup."))))</f>
        <v>HTF up, shallow pullback in Tier 1 (15m 0.382–0.618). Long bias but less room; prefer buying dips closer to Tier 2/3.</v>
      </c>
      <c r="EH2" s="55" t="s">
        <v>226</v>
      </c>
      <c r="EI2" s="60">
        <f>$EB$48+0.0008</f>
        <v>1.1565999999999999</v>
      </c>
    </row>
    <row r="3" spans="1:140">
      <c r="N3" s="55" t="s">
        <v>227</v>
      </c>
      <c r="O3" s="71">
        <f>'Advanced Setup Planner'!B5</f>
        <v>1.155</v>
      </c>
      <c r="S3" s="61" t="s">
        <v>228</v>
      </c>
      <c r="T3" s="72" t="str">
        <f>IF($O$12="","",IF(AND($O$12&gt;$O$13,$O$13&gt;$O$14,$O$3&gt;$O$12+0.0002),"Bull",IF(AND($O$12&lt;$O$13,$O$13&lt;$O$14,$O$3&lt;$O$12-0.0002),"Bear","Range")))</f>
        <v>Bull</v>
      </c>
      <c r="U3" s="73">
        <f>'Advanced Setup Planner'!C24</f>
        <v>0</v>
      </c>
      <c r="V3" s="73">
        <f>'Advanced Setup Planner'!D24</f>
        <v>0</v>
      </c>
      <c r="X3" s="55" t="s">
        <v>229</v>
      </c>
      <c r="Y3" s="55">
        <f>IF($Y$1="LONG",MIN(IF($T$15&gt;$O$3,$T$15,10^6),IF($T$17&gt;$O$3,$T$17,10^6),IF($T$19&gt;$O$3,$T$19,10^6),IF($T$21&gt;$O$3,$T$21,10^6)),IF($Y$1="SHORT",MAX(IF($T$16&lt;$O$3,$T$16,-10^6),IF($T$18&lt;$O$3,$T$18,-10^6),IF($T$20&lt;$O$3,$T$20,-10^6),IF($T$22&lt;$O$3,$T$22,-10^6)),""))</f>
        <v>1000000</v>
      </c>
      <c r="AC3" s="74" t="s">
        <v>230</v>
      </c>
      <c r="AD3" s="75">
        <f>IF($Y$1="LONG",IF($ED$58,AVERAGE($O$39,$O$40),$O$8),IF($Y$1="SHORT",$Q$24,""))</f>
        <v>1.1399999999999999</v>
      </c>
      <c r="AE3" s="64">
        <f>IF(AD3="","",$ED$40)</f>
        <v>8.0000000000000004E-4</v>
      </c>
      <c r="AF3" s="64">
        <f>IF($Y$1="LONG",IF(OR($ED$58,$O$3&gt;=$T$19),$ED$27,$T$20-0.0002),IF($Y$1="SHORT",IF($ED$58,MAX($O$39,$O$7)+0.0002,$T$19+0.0002),""))</f>
        <v>-2.5000000000000001E-4</v>
      </c>
      <c r="AG3" s="65">
        <f>IF(OR(AD3="",AE3=""),"",ABS((AE3-AD3)*10000))</f>
        <v>11392</v>
      </c>
      <c r="AH3" s="65">
        <f>IF(OR(AD3="",AF3=""),"",MAX(ABS((AD3-AF3)*10000),$ED$19))</f>
        <v>11402.5</v>
      </c>
      <c r="AI3" s="66">
        <f>$Y$8</f>
        <v>0.35</v>
      </c>
      <c r="AJ3" s="67">
        <f>IF(OR(AI3=0,$ED$11=0,AD3=""),"",$Y$2*$ED$8*AI3/$ED$11)</f>
        <v>175</v>
      </c>
      <c r="AK3" s="67">
        <f>IF(OR(AJ3="",AJ3=0,AG3=""),"",AJ3*AG3/MAX(AH3,$ED$19))</f>
        <v>174.83885112913833</v>
      </c>
      <c r="AL3" s="68">
        <f>IF(OR(AD3="",AH3="",AJ3=""),"",AJ3/(MAX(AH3,$ED$19)*$ED$3))</f>
        <v>153.47511510633632</v>
      </c>
      <c r="AM3" s="69">
        <f>IF(OR(AG3="",AH3=""),"",AG3/MAX(AH3,$ED$19))</f>
        <v>0.99907914930936204</v>
      </c>
      <c r="AN3" s="55">
        <f>IF(AH3="","",MAX(AH3,$ED$7))</f>
        <v>11402.5</v>
      </c>
      <c r="EC3" s="55" t="s">
        <v>231</v>
      </c>
      <c r="ED3" s="76">
        <v>1E-4</v>
      </c>
      <c r="EF3" s="55" t="str">
        <f ca="1">IFERROR(IF(EB23&lt;&gt;"CoreLong","",IF($EB$55=1,"Shallow long zone (Tier 1): "&amp;TEXT(EB51,"0.00000")&amp;" → "&amp;TEXT(EC51,"0.00000")&amp;" (15m fib 0.382–0.618, less room).",IF($EB$55=2,"Main long zone (Tier 2): "&amp;TEXT(EB52,"0.00000")&amp;" → "&amp;TEXT(EC52,"0.00000")&amp;" (4H FVG + HTF 0.382 + EMA50D).",IF($EB$55=3,"Deep long zone (Tier 3): "&amp;TEXT(EB53,"0.00000")&amp;" → "&amp;TEXT(EC53,"0.00000")&amp;" (EMA100D + PWL + HTF fib).","")))),"")</f>
        <v>Shallow long zone (Tier 1): 1.15382 → 1.15618 (15m fib 0.382–0.618, less room).</v>
      </c>
      <c r="EH3" s="55" t="s">
        <v>232</v>
      </c>
      <c r="EI3" s="60" t="str">
        <f>$EB$32</f>
        <v/>
      </c>
    </row>
    <row r="4" spans="1:140">
      <c r="A4" s="254" t="s">
        <v>233</v>
      </c>
      <c r="B4" s="219"/>
      <c r="D4" s="254" t="s">
        <v>234</v>
      </c>
      <c r="E4" s="219"/>
      <c r="G4" s="254" t="s">
        <v>235</v>
      </c>
      <c r="H4" s="219"/>
      <c r="J4" s="254" t="s">
        <v>236</v>
      </c>
      <c r="K4" s="219"/>
      <c r="O4" s="71"/>
      <c r="S4" s="61" t="s">
        <v>237</v>
      </c>
      <c r="T4" s="72" t="str">
        <f>IF($O$11="","",IF($O$3&gt;$O$11+0.0002,"Bull",IF($O$3&lt;$O$11-0.0002,"Bear","Range")))</f>
        <v>Bull</v>
      </c>
      <c r="U4" s="73">
        <f>'Advanced Setup Planner'!C25</f>
        <v>0</v>
      </c>
      <c r="V4" s="73">
        <f>'Advanced Setup Planner'!D25</f>
        <v>0</v>
      </c>
      <c r="X4" s="55" t="s">
        <v>238</v>
      </c>
      <c r="Y4" s="77">
        <f>IF($Y$5&lt;&gt;"",$Y$5,IF($Y$1="LONG",IF($Y$22="","",$Y$22-0.0003),IF($Y$1="SHORT",IF($Y$23="","",$Y$23+0.0003),"")))</f>
        <v>1.1535199999999999</v>
      </c>
      <c r="AC4" s="78" t="s">
        <v>239</v>
      </c>
      <c r="AD4" s="79">
        <f>IF($Y$1="LONG",IF($ED$58,MIN($O$40,$O$7),$O$10),IF($Y$1="SHORT",$Q$25,""))</f>
        <v>1.135</v>
      </c>
      <c r="AE4" s="79">
        <f>IF(AD4="","",$ED$40)</f>
        <v>8.0000000000000004E-4</v>
      </c>
      <c r="AF4" s="79">
        <f>IF($Y$1="LONG",IF(OR($ED$58,$O$3&gt;=$T$19),$ED$27,$T$20-0.0002),IF($Y$1="SHORT",IF($ED$58,MAX($O$39,$O$7)+0.0002,$T$19+0.0002),""))</f>
        <v>-2.5000000000000001E-4</v>
      </c>
      <c r="AG4" s="80">
        <f>IF(OR(AD4="",AE4=""),"",ABS((AE4-AD4)*10000))</f>
        <v>11342.000000000002</v>
      </c>
      <c r="AH4" s="80">
        <f>IF(OR(AD4="",AF4=""),"",MAX(ABS((AD4-AF4)*10000),$ED$19))</f>
        <v>11352.500000000002</v>
      </c>
      <c r="AI4" s="81">
        <f>$Y$9</f>
        <v>0.45</v>
      </c>
      <c r="AJ4" s="82">
        <f>IF(OR(AI4=0,$ED$11=0,AD4=""),"",$Y$2*$ED$8*AI4/$ED$11)</f>
        <v>225</v>
      </c>
      <c r="AK4" s="82">
        <f>IF(OR(AJ4="",AJ4=0,AG4=""),"",AJ4*AG4/MAX(AH4,$ED$19))</f>
        <v>224.79189605813698</v>
      </c>
      <c r="AL4" s="83">
        <f>IF(OR(AD4="",AH4="",AJ4=""),"",AJ4/(MAX(AH4,$ED$19)*$ED$3))</f>
        <v>198.19423034573876</v>
      </c>
      <c r="AM4" s="84">
        <f>IF(OR(AG4="",AH4=""),"",AG4/MAX(AH4,$ED$19))</f>
        <v>0.99907509359171986</v>
      </c>
      <c r="AN4" s="55">
        <f>IF(AH4="","",MAX(AH4,$ED$7))</f>
        <v>11352.500000000002</v>
      </c>
      <c r="EA4" s="55" t="s">
        <v>240</v>
      </c>
      <c r="EB4" s="85">
        <f>ROUND($O$18*10000*0.8,0)</f>
        <v>0</v>
      </c>
      <c r="EC4" s="55" t="s">
        <v>241</v>
      </c>
      <c r="ED4" s="86">
        <v>8</v>
      </c>
      <c r="EE4" s="55" t="s">
        <v>242</v>
      </c>
      <c r="EF4" s="55" t="str">
        <f>"Deep A+ long pocket candidate (Tier 3): "&amp;TEXT($EB$53,"0.00000")&amp;" → "&amp;TEXT($EC$53,"0.00000")&amp;". Ladder (upper/mid/deep): "&amp;TEXT($AD$15,"0.00000")&amp;"/"&amp;TEXT($AD$16,"0.00000")&amp;"/"&amp;TEXT($AD$17,"0.00000")&amp;", SL "&amp;TEXT($AF$15,"0.00000")&amp;", TP1 "&amp;TEXT($AE$15,"0.00000")&amp;". Use this only if price flushes into Tier 3 with HTF trend intact and R/room are satisfied."</f>
        <v>Deep A+ long pocket candidate (Tier 3): 1.12000 → 1.12500. Ladder (upper/mid/deep): 0.00000/0.00000/0.00025, SL -0.00025, TP1 1000000.00000. Use this only if price flushes into Tier 3 with HTF trend intact and R/room are satisfied.</v>
      </c>
      <c r="EH4" s="55" t="s">
        <v>243</v>
      </c>
      <c r="EI4" s="55" t="str">
        <f>IF($Y$1="SHORT",$Y$3,"")</f>
        <v/>
      </c>
    </row>
    <row r="5" spans="1:140">
      <c r="A5" s="87" t="s">
        <v>227</v>
      </c>
      <c r="B5" s="88">
        <v>1.155</v>
      </c>
      <c r="C5" s="89"/>
      <c r="D5" s="90"/>
      <c r="E5" s="91"/>
      <c r="F5" s="89"/>
      <c r="G5" s="87"/>
      <c r="H5" s="92"/>
      <c r="J5" s="87"/>
      <c r="K5" s="92"/>
      <c r="N5" s="55" t="s">
        <v>244</v>
      </c>
      <c r="O5" s="93">
        <f>'Advanced Setup Planner'!B6</f>
        <v>1.1499999999999999</v>
      </c>
      <c r="S5" s="61" t="s">
        <v>245</v>
      </c>
      <c r="T5" s="72" t="str">
        <f>IF($O$10="","",IF($O$3&gt;$O$10+0.0002,"Bull",IF($O$3&lt;$O$10-0.0002,"Bear","Range")))</f>
        <v>Bull</v>
      </c>
      <c r="U5" s="73">
        <f>'Advanced Setup Planner'!C26</f>
        <v>0</v>
      </c>
      <c r="V5" s="73">
        <f>'Advanced Setup Planner'!D26</f>
        <v>0</v>
      </c>
      <c r="X5" s="55" t="s">
        <v>246</v>
      </c>
      <c r="EA5" s="55" t="s">
        <v>247</v>
      </c>
      <c r="EB5" s="85">
        <f>ROUND($O$18*10000*0.5,0)</f>
        <v>0</v>
      </c>
      <c r="EC5" s="55" t="s">
        <v>248</v>
      </c>
      <c r="ED5" s="94">
        <v>1.5</v>
      </c>
      <c r="EE5" s="55" t="s">
        <v>249</v>
      </c>
      <c r="EF5" s="55" t="str">
        <f ca="1">IFERROR(IF(AND($EB$23="CoreLong",NOT($EB$25)),"Trend long plan (current tier "&amp;$EB$56&amp;"): ladder at "&amp;TEXT($AD$2,"0.00000")&amp;"/"&amp;TEXT($AD$3,"0.00000")&amp;"/"&amp;TEXT($AD$4,"0.00000")&amp;", SL "&amp;TEXT($AF$2,"0.00000")&amp;", TP1 "&amp;TEXT($AE$2,"0.00000")&amp;". Confirm 15m/1H CHOCH up in this tier, then manage toward TP1 (and potentially PDH/PWH) using the ladder.",""),"")</f>
        <v>Trend long plan (current tier 1): ladder at 1.14500/1.14000/1.13500, SL -0.00025, TP1 0.00080. Confirm 15m/1H CHOCH up in this tier, then manage toward TP1 (and potentially PDH/PWH) using the ladder.</v>
      </c>
      <c r="EH5" s="55" t="s">
        <v>250</v>
      </c>
      <c r="EI5" s="95">
        <f>$Y$2*0.5</f>
        <v>250</v>
      </c>
      <c r="EJ5" s="95" t="str">
        <f>IFERROR(IF(EI9=0,"",(EI1-EI3)*EI9),"")</f>
        <v/>
      </c>
    </row>
    <row r="6" spans="1:140">
      <c r="A6" s="87" t="s">
        <v>244</v>
      </c>
      <c r="B6" s="88">
        <v>1.1499999999999999</v>
      </c>
      <c r="C6" s="89"/>
      <c r="D6" s="90"/>
      <c r="E6" s="91"/>
      <c r="F6" s="89"/>
      <c r="G6" s="87"/>
      <c r="H6" s="92"/>
      <c r="J6" s="87"/>
      <c r="K6" s="96"/>
      <c r="L6" s="70"/>
      <c r="N6" s="55" t="s">
        <v>251</v>
      </c>
      <c r="O6" s="71">
        <f>'Advanced Setup Planner'!B7</f>
        <v>1.1479999999999999</v>
      </c>
      <c r="S6" s="61" t="s">
        <v>252</v>
      </c>
      <c r="T6" s="72" t="str">
        <f>IF($O$5="","",IF(AND($O$5&gt;$O$6,$O$6&gt;$O$7,$O$7&gt;$O$8),"Bull",IF(AND($O$5&lt;$O$6,$O$6&lt;$O$7,$O$7&lt;$O$8),"Bear","Range")))</f>
        <v>Bull</v>
      </c>
      <c r="U6" s="73">
        <f>'Advanced Setup Planner'!C27</f>
        <v>0</v>
      </c>
      <c r="V6" s="73">
        <f>'Advanced Setup Planner'!D27</f>
        <v>0</v>
      </c>
      <c r="AC6" s="55" t="s">
        <v>253</v>
      </c>
      <c r="AD6" s="97">
        <f>IF(SUM(AL2:AL4)=0,0,SUMPRODUCT(AN2:AN4,AL2:AL4)/SUM(AL2:AL4))</f>
        <v>11389.871246684217</v>
      </c>
      <c r="EA6" s="55" t="s">
        <v>254</v>
      </c>
      <c r="EB6" s="85">
        <f>ROUND($O$18*10000*1,0)</f>
        <v>0</v>
      </c>
      <c r="EC6" s="55" t="s">
        <v>255</v>
      </c>
      <c r="ED6" s="94">
        <f>ROUND($O$18*10000,1)</f>
        <v>0</v>
      </c>
      <c r="EH6" s="55" t="s">
        <v>256</v>
      </c>
      <c r="EI6" s="97">
        <f>IF(OR(EI1="",EI2=""),"",ABS((EI1-EI2)*10000))</f>
        <v>5.7499999999999218</v>
      </c>
    </row>
    <row r="7" spans="1:140">
      <c r="A7" s="87" t="s">
        <v>251</v>
      </c>
      <c r="B7" s="88">
        <v>1.1479999999999999</v>
      </c>
      <c r="C7" s="89"/>
      <c r="D7" s="90"/>
      <c r="E7" s="91"/>
      <c r="F7" s="89"/>
      <c r="G7" s="87"/>
      <c r="H7" s="92"/>
      <c r="J7" s="87"/>
      <c r="K7" s="92"/>
      <c r="N7" s="55" t="s">
        <v>257</v>
      </c>
      <c r="O7" s="93">
        <f>'Advanced Setup Planner'!B8</f>
        <v>1.145</v>
      </c>
      <c r="S7" s="61"/>
      <c r="X7" s="55" t="s">
        <v>258</v>
      </c>
      <c r="Y7" s="93">
        <f>'Advanced Setup Planner'!K16</f>
        <v>0.2</v>
      </c>
      <c r="AC7" s="55" t="s">
        <v>259</v>
      </c>
      <c r="AD7" s="98">
        <f>SUM(AL2:AL4)</f>
        <v>438.98652510717216</v>
      </c>
      <c r="EA7" s="55" t="s">
        <v>260</v>
      </c>
      <c r="EB7" s="85">
        <f>0.25*COUNTIF($O$10:$O$16,"&lt;"&amp;$O$3)</f>
        <v>1.5</v>
      </c>
      <c r="EC7" s="55" t="s">
        <v>261</v>
      </c>
      <c r="ED7" s="86">
        <f>MAX(ED4,ROUNDUP(ED6*ED5,0))</f>
        <v>8</v>
      </c>
      <c r="EE7" s="55" t="s">
        <v>262</v>
      </c>
      <c r="EF7" s="55" t="str">
        <f ca="1">IFERROR(IF(AND($EB$23="CTshort",NOT($EB$25)),"CT short zone: "&amp;TEXT($EB$47,"0.00000")&amp;" → "&amp;TEXT($EB$48,"0.00000")&amp;" (premium liquidity cluster: PMH/PDH/EQH/PWH).",""),"")</f>
        <v/>
      </c>
      <c r="EH7" s="55" t="s">
        <v>263</v>
      </c>
      <c r="EI7" s="97" t="str">
        <f>IF(OR(EI3="",EI1=""),"",ABS((EI3-EI1)*10000))</f>
        <v/>
      </c>
    </row>
    <row r="8" spans="1:140" ht="15" customHeight="1">
      <c r="A8" s="87" t="s">
        <v>257</v>
      </c>
      <c r="B8" s="88">
        <v>1.145</v>
      </c>
      <c r="C8" s="89"/>
      <c r="D8" s="90"/>
      <c r="E8" s="91"/>
      <c r="F8" s="89"/>
      <c r="G8" s="87"/>
      <c r="H8" s="92"/>
      <c r="J8" s="87"/>
      <c r="K8" s="96"/>
      <c r="N8" s="55" t="s">
        <v>264</v>
      </c>
      <c r="O8" s="71">
        <f>'Advanced Setup Planner'!B9</f>
        <v>1.1399999999999999</v>
      </c>
      <c r="S8" s="55" t="s">
        <v>265</v>
      </c>
      <c r="T8" s="55" t="b">
        <f>AND(T3="Bull",T4="Bull")</f>
        <v>1</v>
      </c>
      <c r="X8" s="55" t="s">
        <v>266</v>
      </c>
      <c r="Y8" s="93">
        <f>'Advanced Setup Planner'!K17</f>
        <v>0.35</v>
      </c>
      <c r="AC8" s="55" t="s">
        <v>267</v>
      </c>
      <c r="AD8" s="60">
        <f>IF(AD7=0,"",SUMPRODUCT(AD2:AD4,AL2:AL4)/AD7)</f>
        <v>1.1387371246684215</v>
      </c>
      <c r="EA8" s="55" t="s">
        <v>268</v>
      </c>
      <c r="EB8" s="85">
        <f>0.25*COUNTIF($O$10:$O$16,"&gt;"&amp;$O$3)</f>
        <v>0</v>
      </c>
      <c r="EC8" s="55" t="s">
        <v>269</v>
      </c>
      <c r="ED8" s="94">
        <v>1</v>
      </c>
      <c r="EE8" s="55" t="s">
        <v>270</v>
      </c>
      <c r="EF8" s="55" t="str">
        <f ca="1">IFERROR(IF(AND($EB$23="CTshort",NOT($EB$25)),"CT short plan: ladder shorts at "&amp;TEXT($EB$48,"0.00000")&amp;"/"&amp;TEXT($EB$49,"0.00000")&amp;"/"&amp;TEXT($EB$47,"0.00000")&amp;", SL "&amp;TEXT($EB$48+0.0008,"0.00000")&amp;", TP1 "&amp;TEXT($EB$35,"0.00000")&amp;IF($EB$32&lt;&gt;""," (golden mid)."," (Tier1 top; no golden overlap).")&amp;" Size small; countertrend — only take on clear exhaustion near PDH/EQH.",""),"")</f>
        <v/>
      </c>
      <c r="EH8" s="55" t="s">
        <v>271</v>
      </c>
      <c r="EI8" s="99" t="str">
        <f>IF(OR(EI6="",EI7="",EI6=0),"",EI7/EI6)</f>
        <v/>
      </c>
    </row>
    <row r="9" spans="1:140" ht="15" customHeight="1">
      <c r="A9" s="87" t="s">
        <v>264</v>
      </c>
      <c r="B9" s="88">
        <v>1.1399999999999999</v>
      </c>
      <c r="C9" s="89"/>
      <c r="D9" s="90"/>
      <c r="E9" s="91"/>
      <c r="F9" s="89"/>
      <c r="G9" s="87"/>
      <c r="H9" s="92"/>
      <c r="J9" s="87"/>
      <c r="K9" s="92"/>
      <c r="S9" s="55" t="s">
        <v>272</v>
      </c>
      <c r="T9" s="55" t="b">
        <f>AND(T3="Bear",T4="Bear")</f>
        <v>0</v>
      </c>
      <c r="X9" s="55" t="s">
        <v>273</v>
      </c>
      <c r="Y9" s="93">
        <f>'Advanced Setup Planner'!K18</f>
        <v>0.45</v>
      </c>
      <c r="AC9" s="55" t="s">
        <v>208</v>
      </c>
      <c r="AD9" s="97">
        <f>IF(OR(AD8="",$Y$3=""),"",ABS(($Y$3-AD8)*10000))</f>
        <v>9999988612.6287537</v>
      </c>
      <c r="EA9" s="55" t="s">
        <v>274</v>
      </c>
      <c r="EB9" s="85">
        <f>IF($O$20&lt;45,0.5,0)+IF($O$21&lt;45,0.25,0)+IF($O$17&lt;45,0.25,0)</f>
        <v>1</v>
      </c>
      <c r="EC9" s="55" t="s">
        <v>275</v>
      </c>
      <c r="ED9" s="94">
        <v>1</v>
      </c>
      <c r="EH9" s="55" t="s">
        <v>276</v>
      </c>
      <c r="EI9" s="100">
        <f>IF(OR(EI5="",EI6="",EI6=0),"",EI5/(EI6*0.0001))</f>
        <v>434782.6086956581</v>
      </c>
    </row>
    <row r="10" spans="1:140">
      <c r="A10" s="87" t="s">
        <v>277</v>
      </c>
      <c r="B10" s="88">
        <v>1.135</v>
      </c>
      <c r="C10" s="89"/>
      <c r="D10" s="90"/>
      <c r="E10" s="91"/>
      <c r="F10" s="89"/>
      <c r="G10" s="87"/>
      <c r="H10" s="92"/>
      <c r="J10" s="87"/>
      <c r="K10" s="96"/>
      <c r="N10" s="55" t="s">
        <v>277</v>
      </c>
      <c r="O10" s="71">
        <f>'Advanced Setup Planner'!B10</f>
        <v>1.135</v>
      </c>
      <c r="S10" s="55" t="s">
        <v>278</v>
      </c>
      <c r="T10" s="55" t="b">
        <f>AND(OR(T5="Bull",T5="Range"),NOT(T6="Bear"))</f>
        <v>1</v>
      </c>
      <c r="AC10" s="55" t="s">
        <v>279</v>
      </c>
      <c r="AD10" s="62">
        <f>IF(OR(AD7=0,AD8="",$Y$3=""),"",ABS(($Y$3-AD8)*AD7))</f>
        <v>438986025.21691883</v>
      </c>
      <c r="EA10" s="55" t="s">
        <v>280</v>
      </c>
      <c r="EB10" s="85">
        <f>IF($O$20&gt;55,0.5,0)+IF($O$21&gt;55,0.25,0)+IF($O$17&gt;55,0.25,0)</f>
        <v>0</v>
      </c>
      <c r="EC10" s="55" t="s">
        <v>281</v>
      </c>
      <c r="ED10" s="94">
        <v>0.6</v>
      </c>
      <c r="EE10" s="55" t="s">
        <v>282</v>
      </c>
      <c r="EF10" s="55" t="str">
        <f ca="1">IFERROR(IF($EB$25,"Avoid new trades – R multiple, room, or macro gate not satisfied. Wait for conditions to improve and reassess.",""),"")</f>
        <v/>
      </c>
      <c r="EH10" s="55" t="s">
        <v>283</v>
      </c>
      <c r="EI10" s="101" t="b">
        <f>NOT($T$11)</f>
        <v>1</v>
      </c>
    </row>
    <row r="11" spans="1:140">
      <c r="A11" s="87" t="s">
        <v>284</v>
      </c>
      <c r="B11" s="88">
        <v>1.1299999999999999</v>
      </c>
      <c r="C11" s="89"/>
      <c r="D11" s="90"/>
      <c r="E11" s="91"/>
      <c r="F11" s="89"/>
      <c r="J11" s="87"/>
      <c r="K11" s="92"/>
      <c r="N11" s="55" t="s">
        <v>284</v>
      </c>
      <c r="O11" s="93">
        <f>'Advanced Setup Planner'!B11</f>
        <v>1.1299999999999999</v>
      </c>
      <c r="S11" s="55" t="s">
        <v>285</v>
      </c>
      <c r="T11" s="55" t="b">
        <f>AND(OR(T5="Bear",T5="Range"),NOT(T6="Bull"))</f>
        <v>0</v>
      </c>
      <c r="X11" s="55" t="s">
        <v>286</v>
      </c>
      <c r="Y11" s="93">
        <f>'Advanced Setup Planner'!K19</f>
        <v>0</v>
      </c>
      <c r="AC11" s="55" t="s">
        <v>287</v>
      </c>
      <c r="AD11" s="97">
        <f>IF(SUM($AJ$2:$AJ$4)=0,"",SUM($AK$2:$AK$4)/SUM($AJ$2:$AJ$4))</f>
        <v>0.99907812829727505</v>
      </c>
      <c r="EA11" s="55" t="s">
        <v>288</v>
      </c>
      <c r="EB11" s="85">
        <f>0.25*COUNTIF($T$3:$T$6,"Bull")</f>
        <v>1</v>
      </c>
      <c r="EC11" s="55" t="s">
        <v>289</v>
      </c>
      <c r="ED11" s="102">
        <f>SUM($AI$2:$AI$4)</f>
        <v>1</v>
      </c>
    </row>
    <row r="12" spans="1:140">
      <c r="A12" s="87" t="s">
        <v>290</v>
      </c>
      <c r="B12" s="88">
        <v>1.125</v>
      </c>
      <c r="C12" s="89"/>
      <c r="D12" s="90"/>
      <c r="E12" s="103"/>
      <c r="J12" s="87"/>
      <c r="K12" s="96"/>
      <c r="N12" s="55" t="s">
        <v>290</v>
      </c>
      <c r="O12" s="93">
        <f>'Advanced Setup Planner'!B12</f>
        <v>1.125</v>
      </c>
      <c r="X12" s="55" t="s">
        <v>291</v>
      </c>
      <c r="Y12" s="93">
        <f>'Advanced Setup Planner'!K20</f>
        <v>3</v>
      </c>
      <c r="AC12" s="55" t="s">
        <v>292</v>
      </c>
      <c r="AD12" s="97">
        <f>IF(SUM(AL2:AL4)=0,"",(AL2*MAX(AH2,$ED$19)+AL3*MAX(AH3,$ED$19)+AL4*MAX(AH4,$ED$19))/SUM(AL2:AL4))</f>
        <v>11389.871246684217</v>
      </c>
      <c r="EA12" s="55" t="s">
        <v>293</v>
      </c>
      <c r="EB12" s="85">
        <f>0.25*COUNTIF($T$3:$T$6,"Bear")</f>
        <v>0</v>
      </c>
      <c r="EC12" s="55" t="s">
        <v>294</v>
      </c>
      <c r="ED12" s="102">
        <f>SUM($AI$15:$AI$17)</f>
        <v>1.5</v>
      </c>
    </row>
    <row r="13" spans="1:140">
      <c r="A13" s="87" t="s">
        <v>295</v>
      </c>
      <c r="B13" s="88">
        <v>1.1200000000000001</v>
      </c>
      <c r="C13" s="89"/>
      <c r="D13" s="90"/>
      <c r="E13" s="104">
        <v>1.1499999999999999</v>
      </c>
      <c r="J13" s="87" t="s">
        <v>296</v>
      </c>
      <c r="K13" s="105">
        <v>20</v>
      </c>
      <c r="N13" s="55" t="s">
        <v>295</v>
      </c>
      <c r="O13" s="93">
        <f>'Advanced Setup Planner'!B13</f>
        <v>1.1200000000000001</v>
      </c>
      <c r="AD13" s="99"/>
      <c r="EA13" s="55" t="s">
        <v>297</v>
      </c>
      <c r="EB13" s="85">
        <f>MIN(1,IF(ABS(($O$3-$O$36)*10000)&lt;=EB4,1,0)+IF(ABS(($O$3-$O$38)*10000)&lt;=EB4,1,0)+IF(ABS(($O$3-$O$40)*10000)&lt;=EB4,1,0))</f>
        <v>0</v>
      </c>
      <c r="EC13" s="55" t="s">
        <v>298</v>
      </c>
      <c r="ED13" s="102">
        <f>SUM($AI$28:$AI$30)</f>
        <v>1</v>
      </c>
    </row>
    <row r="14" spans="1:140">
      <c r="A14" s="87" t="s">
        <v>299</v>
      </c>
      <c r="B14" s="88">
        <v>1.115</v>
      </c>
      <c r="C14" s="89"/>
      <c r="D14" s="90"/>
      <c r="E14" s="104">
        <v>1.1599999999999999</v>
      </c>
      <c r="J14" s="90" t="s">
        <v>300</v>
      </c>
      <c r="K14" s="106">
        <v>0.3</v>
      </c>
      <c r="N14" s="55" t="s">
        <v>299</v>
      </c>
      <c r="O14" s="93">
        <f>'Advanced Setup Planner'!B14</f>
        <v>1.115</v>
      </c>
      <c r="S14" s="55" t="s">
        <v>301</v>
      </c>
      <c r="X14" s="55" t="s">
        <v>302</v>
      </c>
      <c r="Y14" s="55">
        <f>IF(AND($O$3&gt;=Z17-$X$20,$O$3&lt;=AA17+$X$20),1,IF(AND($O$3&gt;=Z18-$X$20,$O$3&lt;=AA18+$X$20),2,IF(AND($O$3&gt;=Z19-$X$20,$O$3&lt;=AA19+$X$20),3,"")))</f>
        <v>1</v>
      </c>
      <c r="AC14" s="107" t="s">
        <v>303</v>
      </c>
      <c r="AD14" s="58" t="s">
        <v>205</v>
      </c>
      <c r="AE14" s="58" t="s">
        <v>206</v>
      </c>
      <c r="AF14" s="58" t="s">
        <v>207</v>
      </c>
      <c r="AG14" s="58" t="s">
        <v>208</v>
      </c>
      <c r="AH14" s="58" t="s">
        <v>209</v>
      </c>
      <c r="AI14" s="58" t="s">
        <v>210</v>
      </c>
      <c r="AJ14" s="58" t="s">
        <v>211</v>
      </c>
      <c r="AK14" s="58" t="s">
        <v>212</v>
      </c>
      <c r="AL14" s="58" t="s">
        <v>213</v>
      </c>
      <c r="AM14" s="59" t="s">
        <v>214</v>
      </c>
      <c r="AN14" s="55">
        <f>IF(AH15="","",MAX(AH15,$ED$7))</f>
        <v>8</v>
      </c>
      <c r="EA14" s="55" t="s">
        <v>304</v>
      </c>
      <c r="EB14" s="85">
        <f>MIN(1,IF(ABS(($O$3-$O$35)*10000)&lt;=EB4,1,0)+IF(ABS(($O$3-$O$37)*10000)&lt;=EB4,1,0)+IF(ABS(($O$3-$O$39)*10000)&lt;=EB4,1,0))</f>
        <v>0</v>
      </c>
      <c r="EC14" s="55" t="s">
        <v>305</v>
      </c>
      <c r="ED14" s="55">
        <v>12</v>
      </c>
    </row>
    <row r="15" spans="1:140">
      <c r="A15" s="87" t="s">
        <v>306</v>
      </c>
      <c r="B15" s="88">
        <v>1.1100000000000001</v>
      </c>
      <c r="C15" s="89"/>
      <c r="D15" s="90"/>
      <c r="E15" s="104"/>
      <c r="J15" s="90" t="s">
        <v>307</v>
      </c>
      <c r="K15" s="92">
        <v>2.0000000000000001E-4</v>
      </c>
      <c r="N15" s="55" t="s">
        <v>306</v>
      </c>
      <c r="O15" s="93">
        <f>'Advanced Setup Planner'!B15</f>
        <v>1.1100000000000001</v>
      </c>
      <c r="S15" s="55" t="s">
        <v>308</v>
      </c>
      <c r="T15" s="93">
        <f>'Advanced Setup Planner'!E5</f>
        <v>0</v>
      </c>
      <c r="X15" s="108">
        <f>IF(AND($O$3&gt;=Z17-$X$20,$O$3&lt;=AA17+$X$20),1,IF(AND($O$3&gt;=Z18-$X$20,$O$3&lt;=AA18+$X$20),2,IF(AND($O$3&gt;=Z19-$X$20,$O$3&lt;=AA19+$X$20),3,0)))</f>
        <v>1</v>
      </c>
      <c r="AC15" s="109" t="s">
        <v>309</v>
      </c>
      <c r="AD15" s="110">
        <f>IF($Y$1&lt;&gt;"LONG","",$O$35)</f>
        <v>0</v>
      </c>
      <c r="AE15" s="111">
        <f>IF(AD15="","",$ED$41)</f>
        <v>1000000</v>
      </c>
      <c r="AF15" s="111">
        <f>IF(AD15="","",$ED$30)</f>
        <v>-2.5000000000000001E-4</v>
      </c>
      <c r="AG15" s="112">
        <f>IF(OR(AD15="",AE15=""),"",ABS((AE15-AD15)*10000))</f>
        <v>10000000000</v>
      </c>
      <c r="AH15" s="113">
        <f>IF(OR(AD15="",AF15=""),"",MAX(ABS((AD15-AF15)*10000),$ED$20))</f>
        <v>8</v>
      </c>
      <c r="AI15" s="114">
        <v>0.4</v>
      </c>
      <c r="AJ15" s="115">
        <f>IF(OR(AI15=0,$ED$12=0,AD15=""),"",$Y$2*$ED$9*AI15/$ED$12)</f>
        <v>133.33333333333334</v>
      </c>
      <c r="AK15" s="115">
        <f>IF(OR(AJ15="",AJ15=0,AG15=""),"",AJ15*AG15/MAX(AH15,$ED$20))</f>
        <v>166666666666.66669</v>
      </c>
      <c r="AL15" s="112">
        <f>IF(OR(AD15="",AH15="",AJ15=""),"",AJ15/(MAX(AH15,$ED$20)*$ED$3))</f>
        <v>166666.66666666666</v>
      </c>
      <c r="AM15" s="116">
        <f>IF(OR(AG15="",AH15=""),"",AG15/MAX(AH15,$ED$20))</f>
        <v>1250000000</v>
      </c>
      <c r="AN15" s="55">
        <f>IF(AH16="","",MAX(AH16,$ED$7))</f>
        <v>8</v>
      </c>
      <c r="EA15" s="55" t="s">
        <v>310</v>
      </c>
      <c r="EB15" s="85">
        <f ca="1">IFERROR((1-$T$37*$T$36)*(EB7+EB9+EB11+EB13+EB42),"")</f>
        <v>3.5</v>
      </c>
      <c r="EC15" s="55" t="s">
        <v>311</v>
      </c>
      <c r="ED15" s="55">
        <v>8</v>
      </c>
    </row>
    <row r="16" spans="1:140">
      <c r="A16" s="87" t="s">
        <v>312</v>
      </c>
      <c r="B16" s="88"/>
      <c r="C16" s="89"/>
      <c r="D16" s="90"/>
      <c r="E16" s="103"/>
      <c r="J16" s="90" t="s">
        <v>258</v>
      </c>
      <c r="K16" s="96">
        <v>0.2</v>
      </c>
      <c r="N16" s="55" t="s">
        <v>312</v>
      </c>
      <c r="O16" s="93" t="e">
        <f>'Advanced Setup Planner'!#REF!</f>
        <v>#REF!</v>
      </c>
      <c r="S16" s="55" t="s">
        <v>313</v>
      </c>
      <c r="T16" s="93">
        <f>'Advanced Setup Planner'!E6</f>
        <v>0</v>
      </c>
      <c r="X16" s="117" t="s">
        <v>314</v>
      </c>
      <c r="Y16" s="117" t="s">
        <v>315</v>
      </c>
      <c r="Z16" s="117" t="s">
        <v>316</v>
      </c>
      <c r="AA16" s="117" t="s">
        <v>317</v>
      </c>
      <c r="AC16" s="109" t="s">
        <v>318</v>
      </c>
      <c r="AD16" s="110">
        <f>IF($Y$1&lt;&gt;"LONG","",$O$36)</f>
        <v>0</v>
      </c>
      <c r="AE16" s="111">
        <f>IF(AD16="","",$ED$41)</f>
        <v>1000000</v>
      </c>
      <c r="AF16" s="111">
        <f>IF(AD16="","",$ED$30)</f>
        <v>-2.5000000000000001E-4</v>
      </c>
      <c r="AG16" s="112">
        <f>IF(OR(AD16="",AE16=""),"",ABS((AE16-AD16)*10000))</f>
        <v>10000000000</v>
      </c>
      <c r="AH16" s="113">
        <f>IF(OR(AD16="",AF16=""),"",MAX(ABS((AD16-AF16)*10000),$ED$20))</f>
        <v>8</v>
      </c>
      <c r="AI16" s="114">
        <v>0.5</v>
      </c>
      <c r="AJ16" s="115">
        <f>IF(OR(AI16=0,$ED$12=0,AD16=""),"",$Y$2*$ED$9*AI16/$ED$12)</f>
        <v>166.66666666666666</v>
      </c>
      <c r="AK16" s="115">
        <f>IF(OR(AJ16="",AJ16=0,AG16=""),"",AJ16*AG16/MAX(AH16,$ED$20))</f>
        <v>208333333333.33331</v>
      </c>
      <c r="AL16" s="112">
        <f>IF(OR(AD16="",AH16="",AJ16=""),"",AJ16/(MAX(AH16,$ED$20)*$ED$3))</f>
        <v>208333.33333333331</v>
      </c>
      <c r="AM16" s="116">
        <f>IF(OR(AG16="",AH16=""),"",AG16/MAX(AH16,$ED$20))</f>
        <v>1250000000</v>
      </c>
      <c r="AN16" s="55">
        <f>IF(AH17="","",MAX(AH17,$ED$7))</f>
        <v>8</v>
      </c>
      <c r="EA16" s="55" t="s">
        <v>319</v>
      </c>
      <c r="EB16" s="85">
        <f ca="1">IFERROR((1-$T$37*$T$36)*(EB8+EB10+EB12+EB14+EB42),"")</f>
        <v>0</v>
      </c>
      <c r="EC16" s="55" t="s">
        <v>320</v>
      </c>
      <c r="ED16" s="55">
        <v>8</v>
      </c>
    </row>
    <row r="17" spans="1:135">
      <c r="A17" s="87" t="s">
        <v>321</v>
      </c>
      <c r="B17" s="118"/>
      <c r="C17" s="89"/>
      <c r="D17" s="90"/>
      <c r="E17" s="103"/>
      <c r="J17" s="90" t="s">
        <v>266</v>
      </c>
      <c r="K17" s="96">
        <v>0.35</v>
      </c>
      <c r="N17" s="55" t="s">
        <v>322</v>
      </c>
      <c r="O17" s="119">
        <f>'Advanced Setup Planner'!B19</f>
        <v>0</v>
      </c>
      <c r="S17" s="55" t="s">
        <v>323</v>
      </c>
      <c r="T17" s="93">
        <f>'Advanced Setup Planner'!E7</f>
        <v>0</v>
      </c>
      <c r="X17" s="117">
        <v>1</v>
      </c>
      <c r="Y17" s="117" t="s">
        <v>324</v>
      </c>
      <c r="Z17" s="120">
        <f>MIN($Q$24,$Q$23)</f>
        <v>1.1549999999999998</v>
      </c>
      <c r="AA17" s="120">
        <f>MAX($Q$24,$Q$23)</f>
        <v>1.15618</v>
      </c>
      <c r="AC17" s="121" t="s">
        <v>325</v>
      </c>
      <c r="AD17" s="122">
        <f>IF($Y$1&lt;&gt;"LONG","",$O$38+$ED$29)</f>
        <v>2.5000000000000001E-4</v>
      </c>
      <c r="AE17" s="123">
        <f>IF(AD17="","",$ED$41)</f>
        <v>1000000</v>
      </c>
      <c r="AF17" s="123">
        <f>IF(AD17="","",$ED$30)</f>
        <v>-2.5000000000000001E-4</v>
      </c>
      <c r="AG17" s="124">
        <f>IF(OR(AD16="",AE16=""),"",ABS((AE16-AD16)*10000))</f>
        <v>10000000000</v>
      </c>
      <c r="AH17" s="125">
        <f>IF(OR(AD17="",AF17=""),"",MAX(ABS((AD17-AF17)*10000),$ED$20))</f>
        <v>8</v>
      </c>
      <c r="AI17" s="126">
        <v>0.6</v>
      </c>
      <c r="AJ17" s="127">
        <f>IF(OR(AI17=0,$ED$12=0,AD17=""),"",$Y$2*$ED$9*AI17/$ED$12)</f>
        <v>200</v>
      </c>
      <c r="AK17" s="127">
        <f>IF(OR(AJ17="",AJ17=0,AG17=""),"",AJ17*AG17/MAX(AH17,$ED$20))</f>
        <v>250000000000</v>
      </c>
      <c r="AL17" s="124">
        <f>IF(OR(AD17="",AH17="",AJ17=""),"",AJ17/(MAX(AH17,$ED$20)*$ED$3))</f>
        <v>250000</v>
      </c>
      <c r="AM17" s="128">
        <f>IF(OR(AG17="",AH17=""),"",AG17/MAX(AH17,$ED$20))</f>
        <v>1250000000</v>
      </c>
      <c r="EA17" s="55" t="s">
        <v>326</v>
      </c>
      <c r="EB17" s="85">
        <f>0.25*COUNTA($O$10:$O$16)+3.5</f>
        <v>5.25</v>
      </c>
      <c r="EC17" s="108" t="s">
        <v>327</v>
      </c>
      <c r="ED17" s="108" t="s">
        <v>328</v>
      </c>
      <c r="EE17" s="108" t="s">
        <v>329</v>
      </c>
    </row>
    <row r="18" spans="1:135">
      <c r="A18" s="87" t="s">
        <v>330</v>
      </c>
      <c r="B18" s="88"/>
      <c r="C18" s="89"/>
      <c r="D18" s="90"/>
      <c r="E18" s="103"/>
      <c r="J18" s="90" t="s">
        <v>273</v>
      </c>
      <c r="K18" s="96">
        <v>0.45</v>
      </c>
      <c r="N18" s="55" t="s">
        <v>331</v>
      </c>
      <c r="O18" s="93">
        <f>'Advanced Setup Planner'!B20</f>
        <v>0</v>
      </c>
      <c r="S18" s="55" t="s">
        <v>332</v>
      </c>
      <c r="T18" s="93">
        <f>'Advanced Setup Planner'!E8</f>
        <v>0</v>
      </c>
      <c r="X18" s="117">
        <v>2</v>
      </c>
      <c r="Y18" s="117" t="s">
        <v>333</v>
      </c>
      <c r="Z18" s="120">
        <f>MIN(Q25,Q24)</f>
        <v>1.1538199999999998</v>
      </c>
      <c r="AA18" s="120">
        <f>MAX(Q25,Q24)</f>
        <v>1.1549999999999998</v>
      </c>
      <c r="AC18" s="108"/>
      <c r="AD18" s="129"/>
      <c r="AE18" s="108"/>
      <c r="AF18" s="108"/>
      <c r="AG18" s="130"/>
      <c r="AH18" s="131"/>
      <c r="AI18" s="132"/>
      <c r="AJ18" s="133"/>
      <c r="AK18" s="133"/>
      <c r="AL18" s="130"/>
      <c r="AM18" s="134"/>
      <c r="EA18" s="55" t="s">
        <v>334</v>
      </c>
      <c r="EB18" s="135">
        <f ca="1">IFERROR(IF(EB17=0,"",EB15/EB17),"")</f>
        <v>0.66666666666666663</v>
      </c>
      <c r="EC18" s="136">
        <f ca="1">IF($Y$1&lt;&gt;"LONG","",MIN(0.8,0.4+0.4*IFERROR(EB18,0)+0.1*IFERROR(EB42,0)))</f>
        <v>0.66666666666666674</v>
      </c>
      <c r="ED18" s="134">
        <f ca="1">IF($Y$1="","",IF($Y$1="LONG",IF(OR(EC18="",EB20=""),"",EC18*EB20-(1-EC18)*1),IF(OR(EC19="",EB20=""),"",EC19*EB20-(1-EC19)*1)))</f>
        <v>7592.914164456146</v>
      </c>
      <c r="EE18" s="133">
        <f ca="1">IF(ED18="","",ED18*$Y$2)</f>
        <v>3796457.0822280729</v>
      </c>
    </row>
    <row r="19" spans="1:135">
      <c r="A19" s="87" t="s">
        <v>322</v>
      </c>
      <c r="B19" s="88"/>
      <c r="C19" s="89"/>
      <c r="D19" s="89"/>
      <c r="J19" s="90" t="s">
        <v>286</v>
      </c>
      <c r="K19" s="105">
        <v>0</v>
      </c>
      <c r="N19" s="55" t="s">
        <v>335</v>
      </c>
      <c r="O19" s="93">
        <f>'Advanced Setup Planner'!B21</f>
        <v>0</v>
      </c>
      <c r="S19" s="55" t="s">
        <v>336</v>
      </c>
      <c r="T19" s="71">
        <f>'Advanced Setup Planner'!E9</f>
        <v>0</v>
      </c>
      <c r="X19" s="117">
        <v>3</v>
      </c>
      <c r="Y19" s="117" t="s">
        <v>337</v>
      </c>
      <c r="Z19" s="120">
        <f>MIN(Q31,Q29)</f>
        <v>0</v>
      </c>
      <c r="AA19" s="120">
        <f>MAX(Q31,Q29)</f>
        <v>0</v>
      </c>
      <c r="AC19" s="55" t="s">
        <v>253</v>
      </c>
      <c r="AD19" s="97">
        <f>IF(SUM(AL15:AL17)=0,0,SUMPRODUCT(AN14:AN16,AL15:AL17)/SUM(AL15:AL17))</f>
        <v>8</v>
      </c>
      <c r="EA19" s="55" t="s">
        <v>338</v>
      </c>
      <c r="EB19" s="135">
        <f ca="1">IFERROR(IF(EB17=0,"",EB16/EB17),"")</f>
        <v>0</v>
      </c>
      <c r="EC19" s="137" t="s">
        <v>339</v>
      </c>
      <c r="ED19" s="55">
        <f>MAX(ED14,ROUNDUP(ED6*ED5,0))</f>
        <v>12</v>
      </c>
    </row>
    <row r="20" spans="1:135">
      <c r="A20" s="87" t="s">
        <v>331</v>
      </c>
      <c r="B20" s="88"/>
      <c r="C20" s="89"/>
      <c r="D20" s="89"/>
      <c r="J20" s="90" t="s">
        <v>291</v>
      </c>
      <c r="K20" s="105">
        <v>3</v>
      </c>
      <c r="N20" s="55" t="s">
        <v>321</v>
      </c>
      <c r="O20" s="119">
        <f>'Advanced Setup Planner'!B16</f>
        <v>0</v>
      </c>
      <c r="S20" s="55" t="s">
        <v>340</v>
      </c>
      <c r="T20" s="71">
        <f>'Advanced Setup Planner'!E10</f>
        <v>0</v>
      </c>
      <c r="W20" s="55" t="s">
        <v>307</v>
      </c>
      <c r="X20" s="117">
        <f>'Advanced Setup Planner'!K15</f>
        <v>2.0000000000000001E-4</v>
      </c>
      <c r="AC20" s="55" t="s">
        <v>259</v>
      </c>
      <c r="AD20" s="97">
        <f>SUM(AL15:AL17)</f>
        <v>625000</v>
      </c>
      <c r="EB20" s="94">
        <f>IF(OR($EB$55=0,$AD$7&lt;=0,$AD$12=""),"",$AD$12)</f>
        <v>11389.871246684217</v>
      </c>
      <c r="EC20" s="55" t="s">
        <v>341</v>
      </c>
      <c r="ED20" s="55">
        <f>MAX(ED15,ROUNDUP(ED6*ED5,0))</f>
        <v>8</v>
      </c>
    </row>
    <row r="21" spans="1:135">
      <c r="A21" s="87" t="s">
        <v>335</v>
      </c>
      <c r="B21" s="88"/>
      <c r="C21" s="89"/>
      <c r="D21" s="89"/>
      <c r="N21" s="55" t="s">
        <v>330</v>
      </c>
      <c r="O21" s="119">
        <f>'Advanced Setup Planner'!B18</f>
        <v>0</v>
      </c>
      <c r="S21" s="55" t="s">
        <v>342</v>
      </c>
      <c r="T21" s="71">
        <f>'Advanced Setup Planner'!E11</f>
        <v>0</v>
      </c>
      <c r="X21" s="55" t="s">
        <v>343</v>
      </c>
      <c r="AC21" s="55" t="s">
        <v>267</v>
      </c>
      <c r="AD21" s="60">
        <f>IF(AD20=0,"",SUMPRODUCT(AD15:AD17,AL15:AL17)/AD20)</f>
        <v>1E-4</v>
      </c>
      <c r="EA21" s="55" t="s">
        <v>344</v>
      </c>
      <c r="EB21" s="85" t="str">
        <f>IF($Y$1="","No bias",IF($Y$1="LONG",IF($T$8,"Trend-aligned","Counter-trend"),IF($Y$1="SHORT",IF($T$9,"Trend-aligned","Counter-trend"),"No bias")))</f>
        <v>Trend-aligned</v>
      </c>
      <c r="EC21" s="55" t="s">
        <v>345</v>
      </c>
      <c r="ED21" s="55">
        <f>MAX(ED16,ROUNDUP(ED6*ED5,0))</f>
        <v>8</v>
      </c>
    </row>
    <row r="22" spans="1:135">
      <c r="A22" s="254" t="s">
        <v>346</v>
      </c>
      <c r="B22" s="219"/>
      <c r="N22" s="55" t="s">
        <v>347</v>
      </c>
      <c r="Q22" s="55" t="s">
        <v>348</v>
      </c>
      <c r="S22" s="55" t="s">
        <v>349</v>
      </c>
      <c r="T22" s="71">
        <f>'Advanced Setup Planner'!E12</f>
        <v>0</v>
      </c>
      <c r="X22" s="55" t="s">
        <v>350</v>
      </c>
      <c r="Y22" s="60">
        <f>IF($Y$1="LONG",$EB$30,"")</f>
        <v>1.1538199999999998</v>
      </c>
      <c r="AC22" s="55" t="s">
        <v>208</v>
      </c>
      <c r="AD22" s="97">
        <f>IF(OR(AD21="",$Y$3=""),"",ABS(($Y$3-AD21)*10000))</f>
        <v>9999999999</v>
      </c>
      <c r="EA22" s="55" t="s">
        <v>351</v>
      </c>
      <c r="EB22" s="85" t="str">
        <f>IF(AND(T3="Bull",T4="Bull",T5="Bear",T6="Bear"),"Trend Pullback","Mixed")</f>
        <v>Mixed</v>
      </c>
      <c r="EC22" s="55" t="s">
        <v>352</v>
      </c>
      <c r="ED22" s="55">
        <f>SUMPRODUCT(($AD$28:$AD$30&lt;&gt;"")*($AI$28:$AI$30))</f>
        <v>1</v>
      </c>
    </row>
    <row r="23" spans="1:135" ht="29" customHeight="1">
      <c r="A23" s="40" t="s">
        <v>218</v>
      </c>
      <c r="B23" s="40" t="s">
        <v>353</v>
      </c>
      <c r="C23" s="40" t="s">
        <v>354</v>
      </c>
      <c r="D23" s="40" t="s">
        <v>355</v>
      </c>
      <c r="N23" s="55" t="s">
        <v>356</v>
      </c>
      <c r="O23" s="71">
        <f>'Advanced Setup Planner'!E13</f>
        <v>1.1499999999999999</v>
      </c>
      <c r="P23" s="55" t="s">
        <v>357</v>
      </c>
      <c r="Q23" s="60">
        <f>IF($Y$1="SHORT",$O$23+($O$24-$O$23)*0.382,$O$24-($O$24-$O$23)*0.382)</f>
        <v>1.15618</v>
      </c>
      <c r="S23" s="55" t="s">
        <v>358</v>
      </c>
      <c r="X23" s="55" t="s">
        <v>359</v>
      </c>
      <c r="Y23" s="60" t="str">
        <f>IF($Y$1="SHORT",$EB$31,"")</f>
        <v/>
      </c>
      <c r="AC23" s="55" t="s">
        <v>279</v>
      </c>
      <c r="AD23" s="62">
        <f>IF(OR(AD20=0,AD21="",$Y$3=""),"",ABS(($Y$3-AD21)*AD20))</f>
        <v>624999999937.5</v>
      </c>
      <c r="EA23" s="55" t="s">
        <v>360</v>
      </c>
      <c r="EB23" s="85" t="str">
        <f ca="1">IFERROR(IF(EE52,"CoreLong",IF(EE53,"CTshort","Avoid")),"")</f>
        <v>CoreLong</v>
      </c>
      <c r="EC23" s="55" t="s">
        <v>361</v>
      </c>
      <c r="ED23" s="55">
        <v>1.5</v>
      </c>
    </row>
    <row r="24" spans="1:135">
      <c r="A24" s="138" t="s">
        <v>228</v>
      </c>
      <c r="B24" s="138" t="str">
        <f>'Advanced Setup Planner'!T3</f>
        <v>Bull</v>
      </c>
      <c r="C24" s="139"/>
      <c r="D24" s="139"/>
      <c r="N24" s="55" t="s">
        <v>362</v>
      </c>
      <c r="O24" s="71">
        <f>'Advanced Setup Planner'!E14</f>
        <v>1.1599999999999999</v>
      </c>
      <c r="P24" s="55" t="s">
        <v>363</v>
      </c>
      <c r="Q24" s="60">
        <f>IF($Y$1="SHORT",$O$23+($O$24-$O$23)*0.5,$O$24-($O$24-$O$23)*0.5)</f>
        <v>1.1549999999999998</v>
      </c>
      <c r="S24" s="55" t="s">
        <v>364</v>
      </c>
      <c r="T24" s="55">
        <f>MIN(IF(T15&gt;$O$3,ABS((T15-$O$3)*10000),1000000000),IF(T17&gt;$O$3,ABS((T17-$O$3)*10000),1000000000),IF(T19&gt;$O$3,ABS((T19-$O$3)*10000),1000000000),IF(T21&gt;$O$3,ABS((T21-$O$3)*10000),1000000000))</f>
        <v>1000000000</v>
      </c>
      <c r="AC24" s="55" t="s">
        <v>287</v>
      </c>
      <c r="AD24" s="97">
        <f>IF(SUM($AJ$15:$AJ$17)=0,"",SUM($AK$15:$AK$17)/SUM($AJ$15:$AJ$17))</f>
        <v>1250000000</v>
      </c>
      <c r="EA24" s="55" t="s">
        <v>365</v>
      </c>
      <c r="EB24" s="85" t="str">
        <f ca="1">IF($Y$1="","N/A",IF($EB$25,"B",IF(EB34&lt;0.4,"B",IF(EB18&gt;=0.7,"A+",IF(EB18&gt;=0.4,"B","C")))))</f>
        <v>B</v>
      </c>
      <c r="EC24" s="55" t="s">
        <v>366</v>
      </c>
      <c r="ED24" s="55">
        <f>MAX(6,ROUND($O$18*10000*$ED$23,0))</f>
        <v>6</v>
      </c>
    </row>
    <row r="25" spans="1:135">
      <c r="A25" s="138" t="s">
        <v>237</v>
      </c>
      <c r="B25" s="138" t="str">
        <f>'Advanced Setup Planner'!T4</f>
        <v>Bull</v>
      </c>
      <c r="C25" s="139"/>
      <c r="D25" s="139"/>
      <c r="P25" s="55" t="s">
        <v>367</v>
      </c>
      <c r="Q25" s="60">
        <f>IF($Y$1="SHORT",$O$23+($O$24-$O$23)*0.618,$O$24-($O$24-$O$23)*0.618)</f>
        <v>1.1538199999999998</v>
      </c>
      <c r="S25" s="55" t="s">
        <v>368</v>
      </c>
      <c r="T25" s="55">
        <f>MIN(IF(T16&lt;$O$3,ABS((T16-$O$3)*10000),1000000000),IF(T18&lt;$O$3,ABS((T18-$O$3)*10000),1000000000),IF(T20&lt;$O$3,ABS((T20-$O$3)*10000),1000000000),IF(T22&lt;$O$3,ABS((T22-$O$3)*10000),1000000000))</f>
        <v>11550</v>
      </c>
      <c r="AC25" s="55" t="s">
        <v>292</v>
      </c>
      <c r="AD25" s="97">
        <f>IF(SUM(AL15:AL17)=0,"",(AL15*MAX(AH15,$ED$20)+AL16*MAX(AH16,$ED$20)+AL17*MAX(AH17,$ED$20))/SUM(AL15:AL17))</f>
        <v>8</v>
      </c>
      <c r="EA25" s="55" t="s">
        <v>369</v>
      </c>
      <c r="EB25" s="85" t="b">
        <f ca="1">IFERROR(OR($Y$1="",AND(EB23="CoreLong",OR(EE48=FALSE,$AD$12="",$AD$12&lt;$Y$12)),AND(EB23="CTshort",OR(EE49=FALSE,$O$21&lt;=65)),FALSE),"")</f>
        <v>0</v>
      </c>
      <c r="ED25" s="55">
        <f>IF($Y$1="LONG",IF(OR($ED$58,$O$3&gt;$T$19),MAX($O$27,$O$24),$T$19),IF($Y$1="SHORT",IF(OR($ED$58,$O$3&lt;$T$20),MIN($O$26,$O$23),$T$20),""))</f>
        <v>1.1599999999999999</v>
      </c>
    </row>
    <row r="26" spans="1:135">
      <c r="A26" s="138" t="s">
        <v>245</v>
      </c>
      <c r="B26" s="138" t="str">
        <f>'Advanced Setup Planner'!T5</f>
        <v>Bull</v>
      </c>
      <c r="C26" s="139"/>
      <c r="D26" s="139"/>
      <c r="N26" s="55" t="s">
        <v>370</v>
      </c>
      <c r="O26" s="71">
        <f>'Advanced Setup Planner'!E15</f>
        <v>0</v>
      </c>
      <c r="P26" s="55" t="s">
        <v>371</v>
      </c>
      <c r="Q26" s="60">
        <f>IF($Y$1="SHORT",$O$26+($O$27-$O$26)*0.382,$O$27-($O$27-$O$26)*0.382)</f>
        <v>0</v>
      </c>
      <c r="AN26" s="55">
        <f>IF(AH28="","",MAX(AH28,$ED$7))</f>
        <v>13.999999999998458</v>
      </c>
      <c r="EA26" s="55" t="s">
        <v>372</v>
      </c>
      <c r="EB26" s="85" t="str">
        <f ca="1">IF($Y$1="","NO SIDE – neither core long nor CT short setup is active.",IF(EB23="CoreLong",IF(EB25,"AVOID CORE LONG – not in discount or 3R not available.","CORE LONG SETUP – buy dip in active tier. Ladder entries "&amp;TEXT($AD$2,"0.00000")&amp;"/"&amp;TEXT($AD$3,"0.00000")&amp;"/"&amp;TEXT($AD$4,"0.00000")&amp;", SL "&amp;TEXT($AF$2,"0.00000")&amp;", TP1 "&amp;TEXT($Y$3,"0.00000")&amp;"."),IF(EB23="CTshort",IF(EB25,"AVOID CT SHORT – conditions for scalp fade not met.","OPTIONAL CT SHORT – scalp fade only. Short zone near PDH/CT highs; see CT ladder for entries, SL and TPs."),"AVOID – nothing to do here. Stand aside and wait for either discount buy or CT fade zone.")))</f>
        <v>CORE LONG SETUP – buy dip in active tier. Ladder entries 1.14500/1.14000/1.13500, SL -0.00025, TP1 1000000.00000.</v>
      </c>
      <c r="ED26" s="55">
        <f>IF($Y$1="LONG",IF(MAX($O$27,$O$24)&gt;0,MAX($O$27,$O$24),$T$19),IF($Y$1="SHORT",IF(MIN($O$26,$O$23)&gt;0,MIN($O$26,$O$23),$T$20),""))</f>
        <v>1.1599999999999999</v>
      </c>
    </row>
    <row r="27" spans="1:135">
      <c r="A27" s="138" t="s">
        <v>252</v>
      </c>
      <c r="B27" s="138" t="str">
        <f>'Advanced Setup Planner'!T6</f>
        <v>Bull</v>
      </c>
      <c r="C27" s="139"/>
      <c r="D27" s="139"/>
      <c r="N27" s="55" t="s">
        <v>373</v>
      </c>
      <c r="O27" s="71">
        <f>'Advanced Setup Planner'!E16</f>
        <v>0</v>
      </c>
      <c r="P27" s="55" t="s">
        <v>374</v>
      </c>
      <c r="Q27" s="60">
        <f>IF($Y$1="SHORT",$O$26+($O$27-$O$26)*0.5,$O$27-($O$27-$O$26)*0.5)</f>
        <v>0</v>
      </c>
      <c r="S27" s="55" t="s">
        <v>375</v>
      </c>
      <c r="T27" s="55" t="b">
        <f>IF($AD$6="",FALSE,$T$24&gt;=3*$AD$6)</f>
        <v>1</v>
      </c>
      <c r="AC27" s="107" t="s">
        <v>376</v>
      </c>
      <c r="AD27" s="58" t="s">
        <v>205</v>
      </c>
      <c r="AE27" s="58" t="s">
        <v>206</v>
      </c>
      <c r="AF27" s="58" t="s">
        <v>207</v>
      </c>
      <c r="AG27" s="58" t="s">
        <v>208</v>
      </c>
      <c r="AH27" s="58" t="s">
        <v>209</v>
      </c>
      <c r="AI27" s="58" t="s">
        <v>210</v>
      </c>
      <c r="AJ27" s="58" t="s">
        <v>211</v>
      </c>
      <c r="AK27" s="58" t="s">
        <v>212</v>
      </c>
      <c r="AL27" s="58" t="s">
        <v>213</v>
      </c>
      <c r="AM27" s="59" t="s">
        <v>214</v>
      </c>
      <c r="AN27" s="55">
        <f>IF(AH29="","",MAX(AH29,$ED$7))</f>
        <v>10.999999999998789</v>
      </c>
      <c r="EA27" s="55" t="s">
        <v>377</v>
      </c>
      <c r="EB27" s="85" t="str">
        <f ca="1">IFERROR(IF(EB23="CoreLong",IF(EB25,"NO CORE LONG – wait for proper discount and 3R.","CORE LONG OK – follow MasterSignal &amp; Trade Plan."),IF(EB23="CTshort",IF(EB25,"NO CT SHORT – CT scalp conditions incomplete.","CT SHORT OK – scalp only, log as counter-trend."),"NO TRADE – neither core nor CT setup active.")),"")</f>
        <v>CORE LONG OK – follow MasterSignal &amp; Trade Plan.</v>
      </c>
      <c r="EC27" s="55" t="s">
        <v>378</v>
      </c>
      <c r="ED27" s="55">
        <f>$O$40-$ED$28</f>
        <v>-2.5000000000000001E-4</v>
      </c>
    </row>
    <row r="28" spans="1:135">
      <c r="P28" s="55" t="s">
        <v>379</v>
      </c>
      <c r="Q28" s="60">
        <f>IF($Y$1="SHORT",$O$26+($O$27-$O$26)*0.618,$O$27-($O$27-$O$26)*0.618)</f>
        <v>0</v>
      </c>
      <c r="S28" s="55" t="s">
        <v>380</v>
      </c>
      <c r="T28" s="55" t="b">
        <f>IF(AD6="",FALSE,T25&gt;=3*AD6)</f>
        <v>0</v>
      </c>
      <c r="AC28" s="109" t="s">
        <v>325</v>
      </c>
      <c r="AD28" s="110">
        <f>IF(EB48="","",EB48)</f>
        <v>1.1557999999999999</v>
      </c>
      <c r="AE28" s="110">
        <f>IF(AD28="","",IFERROR(_xlfn.AGGREGATE(14,6,CHOOSE({1,2,3,4},'Advanced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Planner'!$H$10)&lt;AD28),1)-$ED$3,AD28-($ED$24*$ED$3)))</f>
        <v>-1E-4</v>
      </c>
      <c r="AF28" s="110">
        <f>IF(AD30="","",AD30+0.0008)</f>
        <v>1.1571999999999998</v>
      </c>
      <c r="AG28" s="112">
        <f>IF(OR(AD28="",AE28=""),"",ABS((AE28-AD28)*10000))</f>
        <v>11559</v>
      </c>
      <c r="AH28" s="113">
        <f>IF(OR(AD28="",AF28=""),"",MAX(ABS((AD28-AF28)*10000),$ED$21))</f>
        <v>13.999999999998458</v>
      </c>
      <c r="AI28" s="114">
        <v>0.45</v>
      </c>
      <c r="AJ28" s="115">
        <f>IF(OR(AI28=0,$ED$22=0,AD28=""),"",$Y$2*$ED$10*AI28/$ED$22)</f>
        <v>135</v>
      </c>
      <c r="AK28" s="115">
        <f>IF(OR(AJ28="",AJ28=0,AG28=""),"",AJ28*AG28/MAX(AH28,$ED$21))</f>
        <v>111461.78571429799</v>
      </c>
      <c r="AL28" s="112">
        <f>IF(OR(AD28="",AH28="",AJ28=""),"",AJ28/(MAX(AH28,$ED$21)*$ED$3))</f>
        <v>96428.571428582043</v>
      </c>
      <c r="AM28" s="116">
        <f>IF(OR(AG28="",AH28=""),"",AG28/MAX(AH28,$ED$21))</f>
        <v>825.64285714294806</v>
      </c>
      <c r="AN28" s="55">
        <f>IF(AH30="","",MAX(AH30,$ED$7))</f>
        <v>8</v>
      </c>
      <c r="EA28" s="55" t="s">
        <v>381</v>
      </c>
      <c r="EB28" s="85" t="str">
        <f ca="1">IFERROR(IF(EB25,"Stand aside or observation-only. Location: "&amp;EE54&amp;".",IF(EB23="CoreLong","CORE LONG EXECUTION – Mode: "&amp;EB21&amp;", Grade: "&amp;EB24&amp;". Bias: LONG (trend/macro). Buy active tier with ladder "&amp;TEXT($AD$2,"0.00000")&amp;"/"&amp;TEXT($AD$3,"0.00000")&amp;"/"&amp;TEXT($AD$4,"0.00000")&amp;". SL "&amp;TEXT($AF$2,"0.00000")&amp;". TP1 "&amp;TEXT($Y$3,"0.00000")&amp;".","CT SHORT EXECUTION – Counter-trend scalp. Short near PDH/CT zone. Use CT ladder for entries with reduced risk (0.25–0.5R). Stop above 1.1725–1.1730; TP1 back into 1.1670–1.1660, TP2 into 1.1645–1.1635.")),"")</f>
        <v>CORE LONG EXECUTION – Mode: Trend-aligned, Grade: B. Bias: LONG (trend/macro). Buy active tier with ladder 1.14500/1.14000/1.13500. SL -0.00025. TP1 1000000.00000.</v>
      </c>
      <c r="EC28" s="55" t="s">
        <v>382</v>
      </c>
      <c r="ED28" s="55">
        <f>MAX(0.00025,$O$18*0.5)</f>
        <v>2.5000000000000001E-4</v>
      </c>
    </row>
    <row r="29" spans="1:135">
      <c r="N29" s="55" t="s">
        <v>383</v>
      </c>
      <c r="O29" s="71">
        <f>'Advanced Setup Planner'!E17</f>
        <v>0</v>
      </c>
      <c r="P29" s="55" t="s">
        <v>384</v>
      </c>
      <c r="Q29" s="60">
        <f>IF($Y$1="SHORT",$O$29+($O$30-$O$29)*0.382,$O$30-($O$30-$O$29)*0.382)</f>
        <v>0</v>
      </c>
      <c r="S29" s="55" t="s">
        <v>385</v>
      </c>
      <c r="T29" s="71">
        <f>'Advanced Setup Planner'!K5</f>
        <v>0</v>
      </c>
      <c r="U29" s="55" t="s">
        <v>386</v>
      </c>
      <c r="V29" s="93">
        <f>'Advanced Setup Planner'!K6</f>
        <v>0</v>
      </c>
      <c r="W29" s="55">
        <f>IF(T29="","",ABS(T29-$O$3))</f>
        <v>1.155</v>
      </c>
      <c r="AC29" s="109" t="s">
        <v>318</v>
      </c>
      <c r="AD29" s="110">
        <f>IF(EB49="","",EB49)</f>
        <v>1.1560999999999999</v>
      </c>
      <c r="AE29" s="110">
        <f>IF(AD29="","",IFERROR(_xlfn.AGGREGATE(14,6,CHOOSE({1,2,3,4},'Advanced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Planner'!$H$10)&lt;AD29),1)-$ED$3,AD29-($ED$24*$ED$3)))</f>
        <v>-1E-4</v>
      </c>
      <c r="AF29" s="110">
        <f>AF28</f>
        <v>1.1571999999999998</v>
      </c>
      <c r="AG29" s="112">
        <f>IF(OR(AD29="",AE29=""),"",ABS((AE29-AD29)*10000))</f>
        <v>11561.999999999998</v>
      </c>
      <c r="AH29" s="113">
        <f>IF(OR(AD29="",AF29=""),"",MAX(ABS((AD29-AF29)*10000),$ED$21))</f>
        <v>10.999999999998789</v>
      </c>
      <c r="AI29" s="114">
        <v>0.35</v>
      </c>
      <c r="AJ29" s="115">
        <f>IF(OR(AI29=0,$ED$22=0,AD29=""),"",$Y$2*$ED$10*AI29/$ED$22)</f>
        <v>105</v>
      </c>
      <c r="AK29" s="115">
        <f>IF(OR(AJ29="",AJ29=0,AG29=""),"",AJ29*AG29/MAX(AH29,$ED$21))</f>
        <v>110364.54545455759</v>
      </c>
      <c r="AL29" s="112">
        <f>IF(OR(AD29="",AH29="",AJ29=""),"",AJ29/(MAX(AH29,$ED$21)*$ED$3))</f>
        <v>95454.545454555962</v>
      </c>
      <c r="AM29" s="116">
        <f>IF(OR(AG29="",AH29=""),"",AG29/MAX(AH29,$ED$21))</f>
        <v>1051.0909090910247</v>
      </c>
      <c r="EA29" s="55" t="s">
        <v>387</v>
      </c>
      <c r="EB29" s="85" t="str">
        <f ca="1">IF($Y$1="","NO SETUP",IF(EB25,"NO TRADE – "&amp;EE54,IF(EB23="CoreLong","GO (CORE LONG) – trend/macro aligned.","GO (CT SCALP) – small risk only.")))</f>
        <v>GO (CORE LONG) – trend/macro aligned.</v>
      </c>
      <c r="EC29" s="55" t="s">
        <v>388</v>
      </c>
      <c r="ED29" s="55">
        <f>MAX(0.00025,$O$18*0.5)</f>
        <v>2.5000000000000001E-4</v>
      </c>
    </row>
    <row r="30" spans="1:135">
      <c r="A30" s="254" t="s">
        <v>389</v>
      </c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N30" s="55" t="s">
        <v>390</v>
      </c>
      <c r="O30" s="71">
        <f>'Advanced Setup Planner'!E18</f>
        <v>0</v>
      </c>
      <c r="P30" s="55" t="s">
        <v>391</v>
      </c>
      <c r="Q30" s="60">
        <f>IF($Y$1="SHORT",$O$29+($O$30-$O$29)*0.5,$O$30-($O$30-$O$29)*0.5)</f>
        <v>0</v>
      </c>
      <c r="S30" s="55" t="s">
        <v>392</v>
      </c>
      <c r="T30" s="71">
        <f>'Advanced Setup Planner'!K7</f>
        <v>0</v>
      </c>
      <c r="U30" s="55" t="s">
        <v>393</v>
      </c>
      <c r="V30" s="93">
        <f>'Advanced Setup Planner'!K8</f>
        <v>0</v>
      </c>
      <c r="W30" s="55">
        <f>IF(T30="","",ABS(T30-$O$3))</f>
        <v>1.155</v>
      </c>
      <c r="AC30" s="121" t="s">
        <v>394</v>
      </c>
      <c r="AD30" s="122">
        <f>IF(EB47="","",EB47)</f>
        <v>1.1563999999999999</v>
      </c>
      <c r="AE30" s="122">
        <f>IF(AD30="","",IFERROR(_xlfn.AGGREGATE(14,6,CHOOSE({1,2,3,4},'Advanced Setup Planner'!$E$12,'Advanced Setup Planner'!$E$10,'Advanced Setup Planner'!$E$15,'Advanced Setup Planner'!$H$10)/(CHOOSE({1,2,3,4},'Advanced Setup Planner'!$E$12,'Advanced Setup Planner'!$E$10,'Advanced Setup Planner'!$E$15,'Advanced Setup Planner'!$H$10)&lt;AD30),1)-$ED$3,AD30-($ED$24*$ED$3)))</f>
        <v>-1E-4</v>
      </c>
      <c r="AF30" s="122">
        <f>AF28</f>
        <v>1.1571999999999998</v>
      </c>
      <c r="AG30" s="124">
        <f>IF(OR(AD30="",AE30=""),"",ABS((AE30-AD30)*10000))</f>
        <v>11564.999999999998</v>
      </c>
      <c r="AH30" s="125">
        <f>IF(OR(AD30="",AF30=""),"",MAX(ABS((AD30-AF30)*10000),$ED$21))</f>
        <v>8</v>
      </c>
      <c r="AI30" s="126">
        <v>0.2</v>
      </c>
      <c r="AJ30" s="127">
        <f>IF(OR(AI30=0,$ED$22=0,AD30=""),"",$Y$2*$ED$10*AI30/$ED$22)</f>
        <v>60</v>
      </c>
      <c r="AK30" s="127">
        <f>IF(OR(AJ30="",AJ30=0,AG30=""),"",AJ30*AG30/MAX(AH30,$ED$21))</f>
        <v>86737.499999999985</v>
      </c>
      <c r="AL30" s="124">
        <f>IF(OR(AD30="",AH30="",AJ30=""),"",AJ30/(MAX(AH30,$ED$21)*$ED$3))</f>
        <v>75000</v>
      </c>
      <c r="AM30" s="128">
        <f>IF(OR(AG30="",AH30=""),"",AG30/MAX(AH30,$ED$21))</f>
        <v>1445.6249999999998</v>
      </c>
      <c r="EA30" s="55" t="s">
        <v>395</v>
      </c>
      <c r="EB30" s="76">
        <f>IF(OR($Q$23="",$Q$25="",$Q$29="",$Q$31=""),"",MAX(MIN($Q$23,$Q$25),MIN($Q$29,$Q$31)))</f>
        <v>1.1538199999999998</v>
      </c>
      <c r="EC30" s="55" t="s">
        <v>396</v>
      </c>
      <c r="ED30" s="97">
        <f>$O$38-$ED$29</f>
        <v>-2.5000000000000001E-4</v>
      </c>
    </row>
    <row r="31" spans="1:135" ht="18.5" customHeight="1">
      <c r="A31" s="87" t="s">
        <v>397</v>
      </c>
      <c r="B31" s="258" t="str">
        <f>'Advanced Setup Planner'!Y1</f>
        <v>LONG</v>
      </c>
      <c r="C31" s="256"/>
      <c r="D31" s="256"/>
      <c r="E31" s="256"/>
      <c r="F31" s="256"/>
      <c r="G31" s="256"/>
      <c r="H31" s="256"/>
      <c r="I31" s="256"/>
      <c r="J31" s="256"/>
      <c r="K31" s="257"/>
      <c r="P31" s="55" t="s">
        <v>398</v>
      </c>
      <c r="Q31" s="60">
        <f>IF($Y$1="SHORT",$O$29+($O$30-$O$29)*0.618,$O$30-($O$30-$O$29)*0.618)</f>
        <v>0</v>
      </c>
      <c r="S31" s="55" t="s">
        <v>399</v>
      </c>
      <c r="T31" s="71">
        <f>'Advanced Setup Planner'!K9</f>
        <v>0</v>
      </c>
      <c r="U31" s="55" t="s">
        <v>400</v>
      </c>
      <c r="V31" s="93">
        <f>'Advanced Setup Planner'!K10</f>
        <v>0</v>
      </c>
      <c r="W31" s="55">
        <f>IF(T31="","",ABS(T31-$O$3))</f>
        <v>1.155</v>
      </c>
      <c r="AC31" s="108"/>
      <c r="AD31" s="129"/>
      <c r="AE31" s="129"/>
      <c r="AF31" s="129"/>
      <c r="AG31" s="130"/>
      <c r="AH31" s="131"/>
      <c r="AI31" s="132"/>
      <c r="AJ31" s="133"/>
      <c r="AK31" s="133"/>
      <c r="AL31" s="130"/>
      <c r="AM31" s="134"/>
      <c r="EA31" s="55" t="s">
        <v>401</v>
      </c>
      <c r="EB31" s="76">
        <f>IF(OR($Q$23="",$Q$25="",$Q$29="",$Q$31=""),"",MIN(MAX($Q$23,$Q$25),MAX($Q$29,$Q$31)))</f>
        <v>0</v>
      </c>
      <c r="EC31" s="55" t="s">
        <v>402</v>
      </c>
      <c r="ED31" s="97">
        <f>IF(AD3="","",($O$3-AD3)*10000)</f>
        <v>150.00000000000125</v>
      </c>
    </row>
    <row r="32" spans="1:135">
      <c r="A32" s="87" t="s">
        <v>377</v>
      </c>
      <c r="B32" s="259" t="str">
        <f ca="1">IFERROR(IF('Advanced Setup Planner'!EB18="","",TEXT('Advanced Setup Planner'!EB18,"0%")&amp;" ("&amp;Backend!B83&amp;") — "&amp;Backend!B84),"")</f>
        <v>67% (B) — Tradable but selective: wait for confirmation / smaller size.</v>
      </c>
      <c r="C32" s="256"/>
      <c r="D32" s="256"/>
      <c r="E32" s="256"/>
      <c r="F32" s="256"/>
      <c r="G32" s="256"/>
      <c r="H32" s="256"/>
      <c r="I32" s="256"/>
      <c r="J32" s="256"/>
      <c r="K32" s="257"/>
      <c r="S32" s="55" t="s">
        <v>403</v>
      </c>
      <c r="T32" s="71"/>
      <c r="U32" s="55" t="s">
        <v>404</v>
      </c>
      <c r="V32" s="93"/>
      <c r="W32" s="55" t="str">
        <f>IF(T32="","",ABS(T32-$O$3))</f>
        <v/>
      </c>
      <c r="AC32" s="55" t="s">
        <v>253</v>
      </c>
      <c r="AD32" s="97">
        <f>IF(SUM(AL28:AL30)=0,0,SUMPRODUCT(AN26:AN28,AL28:AL30)/SUM(AL28:AL30))</f>
        <v>11.240875912407869</v>
      </c>
      <c r="EA32" s="55" t="s">
        <v>405</v>
      </c>
      <c r="EB32" s="76" t="str">
        <f>IF(OR(EB30="",EB31="",EB30&gt;EB31),"",(EB30+EB31)/2)</f>
        <v/>
      </c>
      <c r="EC32" s="55" t="s">
        <v>406</v>
      </c>
      <c r="ED32" s="97">
        <f>IF(AD4="","",($O$3-AD4)*10000)</f>
        <v>200.00000000000017</v>
      </c>
      <c r="EE32" s="55" t="str">
        <f>IF($Y$1&lt;&gt;"LONG","","Dist to entries (pips): 0.382="&amp;TEXT(ED30,"0.0")&amp;", 0.5="&amp;TEXT(ED31,"0.0")&amp;", 0.618="&amp;TEXT(ED32,"0.0"))</f>
        <v>Dist to entries (pips): 0.382=0.0, 0.5=150.0, 0.618=200.0</v>
      </c>
    </row>
    <row r="33" spans="1:135" ht="15.5" customHeight="1">
      <c r="A33" s="87" t="s">
        <v>407</v>
      </c>
      <c r="B33" s="260" t="str">
        <f ca="1">'Advanced Setup Planner'!EB23</f>
        <v>CoreLong</v>
      </c>
      <c r="C33" s="256"/>
      <c r="D33" s="256"/>
      <c r="E33" s="256"/>
      <c r="F33" s="256"/>
      <c r="G33" s="256"/>
      <c r="H33" s="256"/>
      <c r="I33" s="256"/>
      <c r="J33" s="256"/>
      <c r="K33" s="257"/>
      <c r="S33" s="55" t="s">
        <v>408</v>
      </c>
      <c r="T33" s="60">
        <f>IF(COUNTA(T29:T32)=0,"",INDEX(T29:T32,MATCH(MIN(W29:W32),W29:W32,0)))</f>
        <v>0</v>
      </c>
      <c r="AC33" s="55" t="s">
        <v>259</v>
      </c>
      <c r="AD33" s="97">
        <f>SUM(AL28:AL30)</f>
        <v>266883.11688313802</v>
      </c>
      <c r="EA33" s="55" t="s">
        <v>409</v>
      </c>
      <c r="EB33" s="85" t="b">
        <f>IF(OR(EB30="",EB31="",EB30&gt;EB31),FALSE,AND($O$3&gt;=EB30,$O$3&lt;=EB31))</f>
        <v>0</v>
      </c>
      <c r="EC33" s="137" t="s">
        <v>410</v>
      </c>
      <c r="ED33" s="140">
        <v>1</v>
      </c>
    </row>
    <row r="34" spans="1:135">
      <c r="A34" s="87" t="s">
        <v>411</v>
      </c>
      <c r="B34" s="255" t="str">
        <f ca="1">IFERROR(Backend!B338,"")</f>
        <v>Buy dips</v>
      </c>
      <c r="C34" s="256"/>
      <c r="D34" s="256"/>
      <c r="E34" s="256"/>
      <c r="F34" s="256"/>
      <c r="G34" s="256"/>
      <c r="H34" s="256"/>
      <c r="I34" s="256"/>
      <c r="J34" s="256"/>
      <c r="K34" s="257"/>
      <c r="N34" s="55" t="s">
        <v>412</v>
      </c>
      <c r="S34" s="55" t="s">
        <v>296</v>
      </c>
      <c r="T34" s="141">
        <f>'Advanced Setup Planner'!K13</f>
        <v>20</v>
      </c>
      <c r="AC34" s="55" t="s">
        <v>267</v>
      </c>
      <c r="AD34" s="60">
        <f>IF(AD33=0,"",SUMPRODUCT(AD28:AD30,AL28:AL30)/AD33)</f>
        <v>1.156075912408759</v>
      </c>
      <c r="EA34" s="55" t="s">
        <v>413</v>
      </c>
      <c r="EB34" s="94">
        <f>IF(OR(EB30="",EB31="",EB30&gt;EB31),0,IF(OR($O$3&lt;EB30,$O$3&gt;EB31),0,MAX(0,1-(ABS($O$3-EB32)/((EB31-EB30)/2)))))</f>
        <v>0</v>
      </c>
      <c r="EC34" s="137" t="s">
        <v>414</v>
      </c>
      <c r="ED34" s="97">
        <v>10</v>
      </c>
    </row>
    <row r="35" spans="1:135">
      <c r="A35" s="87" t="s">
        <v>415</v>
      </c>
      <c r="B35" s="255" t="str">
        <f>IF(Backend!B86="","",TEXT(Backend!B86,"0.00")&amp;" ("&amp;Backend!B90&amp;")")</f>
        <v>2.37 (USD advantage now)</v>
      </c>
      <c r="C35" s="256"/>
      <c r="D35" s="256"/>
      <c r="E35" s="256"/>
      <c r="F35" s="256"/>
      <c r="G35" s="256"/>
      <c r="H35" s="256"/>
      <c r="I35" s="256"/>
      <c r="J35" s="256"/>
      <c r="K35" s="257"/>
      <c r="N35" s="55" t="s">
        <v>416</v>
      </c>
      <c r="O35" s="71">
        <f>'Advanced Setup Planner'!H5</f>
        <v>0</v>
      </c>
      <c r="S35" s="55" t="s">
        <v>417</v>
      </c>
      <c r="T35" s="97">
        <f>IF(T33="","",ABS((T33-$O$3)*10000))</f>
        <v>11550</v>
      </c>
      <c r="AC35" s="55" t="s">
        <v>208</v>
      </c>
      <c r="AD35" s="97">
        <f>IF(OR(AD34="",$AE$28=""),"",ABS(($AE$28-AD34)*10000))</f>
        <v>11561.75912408759</v>
      </c>
      <c r="EA35" s="55" t="s">
        <v>418</v>
      </c>
      <c r="EB35" s="60" t="str">
        <f>IF($Y$1&lt;&gt;"SHORT","",IF(COUNT($AD$28:$AD$30)=0,"",IF(MAX(IF('Advanced Setup Planner'!$E$12&lt;$EB$46,'Advanced Setup Planner'!$E$12,0),IF('Advanced Setup Planner'!$E$10&lt;$EB$46,'Advanced Setup Planner'!$E$10,0),IF('Advanced Setup Planner'!$H$10&lt;$EB$46,'Advanced Setup Planner'!$H$10,0))=0,$EB$46-MAX($X$20,$ED$24*$ED$3),MAX(IF('Advanced Setup Planner'!$E$12&lt;$EB$46,'Advanced Setup Planner'!$E$12,0),IF('Advanced Setup Planner'!$E$10&lt;$EB$46,'Advanced Setup Planner'!$E$10,0),IF('Advanced Setup Planner'!$H$10&lt;$EB$46,'Advanced Setup Planner'!$H$10,0)))))</f>
        <v/>
      </c>
      <c r="EC35" s="137" t="s">
        <v>419</v>
      </c>
      <c r="ED35" s="97">
        <f>MAX($ED$34,ROUNDUP($ED$6*$ED$5,0))</f>
        <v>10</v>
      </c>
    </row>
    <row r="36" spans="1:135">
      <c r="A36" s="87" t="s">
        <v>420</v>
      </c>
      <c r="B36" s="255" t="str">
        <f ca="1">IF(Backend!B88="","",TEXT(Backend!B88,"0")&amp;" steps (~"&amp;TEXT(Backend!B89,"0")&amp;"bp) — "&amp;Backend!B91)</f>
        <v/>
      </c>
      <c r="C36" s="256"/>
      <c r="D36" s="256"/>
      <c r="E36" s="256"/>
      <c r="F36" s="256"/>
      <c r="G36" s="256"/>
      <c r="H36" s="256"/>
      <c r="I36" s="256"/>
      <c r="J36" s="256"/>
      <c r="K36" s="257"/>
      <c r="N36" s="55" t="s">
        <v>421</v>
      </c>
      <c r="O36" s="71">
        <f>'Advanced Setup Planner'!H6</f>
        <v>0</v>
      </c>
      <c r="S36" s="55" t="s">
        <v>422</v>
      </c>
      <c r="T36" s="97">
        <f>IF(AND(T33&lt;&gt;"",T35&lt;=T34),1,0)</f>
        <v>0</v>
      </c>
      <c r="AC36" s="55" t="s">
        <v>279</v>
      </c>
      <c r="AD36" s="62">
        <f>IF(OR(AD33=0,AD34="",$AE$28=""),"",ABS(($AE$28-AD34)*AD33))</f>
        <v>308563.83116885554</v>
      </c>
      <c r="EC36" s="137" t="s">
        <v>423</v>
      </c>
      <c r="ED36" s="60">
        <f>MAX(0.00025,$O$18*0.5,$ED$34*$ED$3)</f>
        <v>1E-3</v>
      </c>
    </row>
    <row r="37" spans="1:135">
      <c r="A37" s="87" t="s">
        <v>424</v>
      </c>
      <c r="B37" s="255" t="str">
        <f>Backend!B356</f>
        <v>US yields: 2Y 3.50% (-2bp 1d) — 2Y falling → easier Fed priced → USD headwind. Curve (2s10s): 1bp — Curve normal → growth ok</v>
      </c>
      <c r="C37" s="256"/>
      <c r="D37" s="256"/>
      <c r="E37" s="256"/>
      <c r="F37" s="256"/>
      <c r="G37" s="256"/>
      <c r="H37" s="256"/>
      <c r="I37" s="256"/>
      <c r="J37" s="256"/>
      <c r="K37" s="257"/>
      <c r="N37" s="55" t="s">
        <v>425</v>
      </c>
      <c r="O37" s="71">
        <f>'Advanced Setup Planner'!H7</f>
        <v>0</v>
      </c>
      <c r="S37" s="55" t="s">
        <v>300</v>
      </c>
      <c r="T37" s="142">
        <f>'Advanced Setup Planner'!K14</f>
        <v>0.3</v>
      </c>
      <c r="AC37" s="55" t="s">
        <v>287</v>
      </c>
      <c r="AD37" s="97">
        <f>IF(SUM($AJ$28:$AJ$30)=0,"",SUM($AK$28:$AK$30)/SUM($AJ$28:$AJ$30))</f>
        <v>1028.5461038961853</v>
      </c>
      <c r="EA37" s="55" t="s">
        <v>426</v>
      </c>
      <c r="EB37" s="85" t="str">
        <f ca="1">IFERROR(Backend!$B$338,"")</f>
        <v>Buy dips</v>
      </c>
      <c r="EC37" s="137" t="s">
        <v>427</v>
      </c>
      <c r="ED37" s="60">
        <f>$O$40-$ED$36</f>
        <v>-1E-3</v>
      </c>
    </row>
    <row r="38" spans="1:135">
      <c r="A38" s="87" t="s">
        <v>428</v>
      </c>
      <c r="B38" s="255" t="str">
        <f ca="1">IFERROR(Backend!B110,"")</f>
        <v xml:space="preserve">1) Macro bias: Buy dips. Rate gap NOW 2.37 (USD advantage now). 2) Yields: US yields: 2Y 3.50% (-2bp 1d) — 2Y falling → easier Fed priced → USD headwind. Curve (2s10s): 1bp — Curve normal → growth ok. 3) Speakers: Fed neutral (daily -0.08), ; ECB hawkish (daily 0.25), . </v>
      </c>
      <c r="C38" s="256"/>
      <c r="D38" s="256"/>
      <c r="E38" s="256"/>
      <c r="F38" s="256"/>
      <c r="G38" s="256"/>
      <c r="H38" s="256"/>
      <c r="I38" s="256"/>
      <c r="J38" s="256"/>
      <c r="K38" s="257"/>
      <c r="N38" s="55" t="s">
        <v>429</v>
      </c>
      <c r="O38" s="71">
        <f>'Advanced Setup Planner'!H8</f>
        <v>0</v>
      </c>
      <c r="AC38" s="55" t="s">
        <v>292</v>
      </c>
      <c r="AD38" s="97">
        <f>IF(SUM(AL28:AL30)=0,"",(AL28*MAX(AH28,$ED$21)+AL29*MAX(AH29,$ED$21)+AL30*MAX(AH30,$ED$21))/SUM(AL28:AL30))</f>
        <v>11.240875912407869</v>
      </c>
      <c r="EA38" s="55" t="s">
        <v>430</v>
      </c>
      <c r="EB38" s="102">
        <f ca="1">IFERROR(IF(EB37="Buy dips",1,IF(EB37="Sell rallies",-1,0)),"")</f>
        <v>1</v>
      </c>
      <c r="EC38" s="137" t="s">
        <v>431</v>
      </c>
      <c r="ED38" s="140">
        <f>SUM($AI$42:$AI$44)</f>
        <v>1</v>
      </c>
    </row>
    <row r="39" spans="1:135">
      <c r="A39" s="49" t="s">
        <v>432</v>
      </c>
      <c r="B39" s="251" t="str">
        <f ca="1">Backend!B112</f>
        <v>Misaligned: macro Buy dips vs technical 1.155 — Action: prefer LONG pullbacks into support (Primary/Value). Avoid chasing highs.  Reduce size; demand stronger confirmation (e.g., BOS/CHOCH + rejection/acceptance).</v>
      </c>
      <c r="C39" s="252"/>
      <c r="D39" s="252"/>
      <c r="E39" s="252"/>
      <c r="F39" s="252"/>
      <c r="G39" s="252"/>
      <c r="H39" s="252"/>
      <c r="I39" s="252"/>
      <c r="J39" s="252"/>
      <c r="K39" s="252"/>
      <c r="N39" s="55" t="s">
        <v>433</v>
      </c>
      <c r="O39" s="71">
        <f>'Advanced Setup Planner'!H9</f>
        <v>0</v>
      </c>
      <c r="EA39" s="55" t="s">
        <v>434</v>
      </c>
      <c r="EB39" s="102">
        <f ca="1">IF(Backend!$B$350&gt;0.3,-0.5,IF(Backend!$B$350&lt;-0.3,0.5,0))</f>
        <v>-0.5</v>
      </c>
      <c r="ED39" s="55">
        <v>8</v>
      </c>
    </row>
    <row r="40" spans="1:135">
      <c r="A40" s="143" t="s">
        <v>169</v>
      </c>
      <c r="B40" s="253" t="str">
        <f>Backend!B114</f>
        <v>Steps = 25bp moves (quarter‑point). Example: -4 steps ≈ -100bp of USD-vs-EUR advantage compressing over ~6 months.</v>
      </c>
      <c r="C40" s="219"/>
      <c r="D40" s="219"/>
      <c r="E40" s="219"/>
      <c r="F40" s="219"/>
      <c r="G40" s="219"/>
      <c r="H40" s="219"/>
      <c r="I40" s="219"/>
      <c r="J40" s="219"/>
      <c r="K40" s="219"/>
      <c r="N40" s="55" t="s">
        <v>435</v>
      </c>
      <c r="O40" s="93">
        <f>'Advanced Setup Planner'!H10</f>
        <v>0</v>
      </c>
      <c r="EA40" s="55" t="s">
        <v>436</v>
      </c>
      <c r="EB40" s="85">
        <f ca="1">IF(Backend!$B$347&lt;=-2,0.5,IF(Backend!$B$347&gt;=2,-0.5,0))</f>
        <v>-0.5</v>
      </c>
      <c r="ED40" s="55">
        <f>MAX($O$27,$T$19,$T$17)+$ED$39*$ED$3</f>
        <v>8.0000000000000004E-4</v>
      </c>
    </row>
    <row r="41" spans="1:135">
      <c r="A41" s="143" t="s">
        <v>437</v>
      </c>
      <c r="B41" s="253" t="str">
        <f>IF(B40="","",IF(B40="Aligned","Trade direction matches macro bias.","Macro bias disagrees — reduce size or demand stronger technical confirmation."))</f>
        <v>Macro bias disagrees — reduce size or demand stronger technical confirmation.</v>
      </c>
      <c r="C41" s="219"/>
      <c r="D41" s="219"/>
      <c r="E41" s="219"/>
      <c r="F41" s="219"/>
      <c r="G41" s="219"/>
      <c r="H41" s="219"/>
      <c r="I41" s="219"/>
      <c r="J41" s="219"/>
      <c r="K41" s="219"/>
      <c r="AC41" s="57" t="s">
        <v>438</v>
      </c>
      <c r="AD41" s="58" t="s">
        <v>205</v>
      </c>
      <c r="AE41" s="58" t="s">
        <v>206</v>
      </c>
      <c r="AF41" s="58" t="s">
        <v>207</v>
      </c>
      <c r="AG41" s="58" t="s">
        <v>208</v>
      </c>
      <c r="AH41" s="58" t="s">
        <v>209</v>
      </c>
      <c r="AI41" s="58" t="s">
        <v>210</v>
      </c>
      <c r="AJ41" s="58" t="s">
        <v>211</v>
      </c>
      <c r="AK41" s="58" t="s">
        <v>212</v>
      </c>
      <c r="AL41" s="58" t="s">
        <v>213</v>
      </c>
      <c r="AM41" s="59" t="s">
        <v>214</v>
      </c>
      <c r="AN41" s="55">
        <f>IF(AH42="","",MAX(AH42,$ED$7))</f>
        <v>11409.999999999998</v>
      </c>
      <c r="EA41" s="55" t="s">
        <v>439</v>
      </c>
      <c r="EB41" s="94">
        <f ca="1">MAX(-1,MIN(1,EB38+EB39+EB40))</f>
        <v>0</v>
      </c>
      <c r="ED41" s="55">
        <f>IF($Y$1&lt;&gt;"LONG","",MIN(IF($T$17&gt;$O$3,$T$17,10^6),IF($T$19&gt;$O$3,$T$19,10^6),IF($O$27&gt;$O$3,$O$27,10^6)))</f>
        <v>1000000</v>
      </c>
    </row>
    <row r="42" spans="1:135">
      <c r="A42" s="254" t="s">
        <v>440</v>
      </c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AC42" s="63" t="s">
        <v>441</v>
      </c>
      <c r="AD42" s="64">
        <f>IF($Y$1&lt;&gt;"LONG","",IF($O$8&lt;=$O$3,$O$8,""))</f>
        <v>1.1399999999999999</v>
      </c>
      <c r="AE42" s="64">
        <f>IF(AD42="","",$ED$41)</f>
        <v>1000000</v>
      </c>
      <c r="AF42" s="64">
        <f>IF(AD42="","",$ED$37)</f>
        <v>-1E-3</v>
      </c>
      <c r="AG42" s="65">
        <f>IF(OR(AD42="",AE42=""),"",ABS((AE42-AD42)*10000))</f>
        <v>9999988600</v>
      </c>
      <c r="AH42" s="65">
        <f>IF(OR(AD42="",AF42=""),"",MAX(ABS((AD42-AF42)*10000),$ED$35))</f>
        <v>11409.999999999998</v>
      </c>
      <c r="AI42" s="66">
        <v>0.35</v>
      </c>
      <c r="AJ42" s="67">
        <f>IF(OR(AI42=0,$ED$38=0,AD42=""),"",$Y$2*$ED$33*AI42/$ED$38)</f>
        <v>175</v>
      </c>
      <c r="AK42" s="67">
        <f>IF(OR(AJ42="",AJ42=0,AG42=""),"",AJ42*AG42/MAX(AH42,$ED$35))</f>
        <v>153374058.28220862</v>
      </c>
      <c r="AL42" s="68">
        <f>IF(OR(AD42="",AH42="",AJ42=""),"",AJ42/(MAX(AH42,$ED$35)*$ED$3))</f>
        <v>153.37423312883439</v>
      </c>
      <c r="AM42" s="69">
        <f>IF(OR(AG42="",AH42=""),"",AG42/MAX(AH42,$ED$35))</f>
        <v>876423.19018404919</v>
      </c>
      <c r="AN42" s="55">
        <f>IF(AH43="","",MAX(AH43,$ED$7))</f>
        <v>11359.999999999998</v>
      </c>
      <c r="EA42" s="55" t="s">
        <v>426</v>
      </c>
      <c r="EB42" s="85">
        <f ca="1">0.5*EB41</f>
        <v>0</v>
      </c>
    </row>
    <row r="43" spans="1:135">
      <c r="A43" s="250" t="s">
        <v>442</v>
      </c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U43" s="60"/>
      <c r="V43" s="60"/>
      <c r="AC43" s="63" t="s">
        <v>443</v>
      </c>
      <c r="AD43" s="64">
        <f>IF($Y$1&lt;&gt;"LONG","",IF($O$10&lt;=$O$3,$O$10,""))</f>
        <v>1.135</v>
      </c>
      <c r="AE43" s="64">
        <f>IF(AD43="","",$ED$41)</f>
        <v>1000000</v>
      </c>
      <c r="AF43" s="64">
        <f>IF(AD43="","",$ED$37)</f>
        <v>-1E-3</v>
      </c>
      <c r="AG43" s="65">
        <f>IF(OR(AD43="",AE43=""),"",ABS((AE43-AD43)*10000))</f>
        <v>9999988650</v>
      </c>
      <c r="AH43" s="65">
        <f>IF(OR(AD43="",AF43=""),"",MAX(ABS((AD43-AF43)*10000),$ED$35))</f>
        <v>11359.999999999998</v>
      </c>
      <c r="AI43" s="66">
        <v>0.4</v>
      </c>
      <c r="AJ43" s="67">
        <f>IF(OR(AI43=0,$ED$38=0,AD43=""),"",$Y$2*$ED$33*AI43/$ED$38)</f>
        <v>200</v>
      </c>
      <c r="AK43" s="67">
        <f>IF(OR(AJ43="",AJ43=0,AG43=""),"",AJ43*AG43/MAX(AH43,$ED$35))</f>
        <v>176056138.20422539</v>
      </c>
      <c r="AL43" s="68">
        <f>IF(OR(AD43="",AH43="",AJ43=""),"",AJ43/(MAX(AH43,$ED$35)*$ED$3))</f>
        <v>176.05633802816902</v>
      </c>
      <c r="AM43" s="69">
        <f>IF(OR(AG43="",AH43=""),"",AG43/MAX(AH43,$ED$35))</f>
        <v>880280.69102112693</v>
      </c>
      <c r="AN43" s="55">
        <f>IF(AH44="","",MAX(AH44,$ED$7))</f>
        <v>10</v>
      </c>
    </row>
    <row r="44" spans="1:135">
      <c r="A44" s="144" t="s">
        <v>444</v>
      </c>
      <c r="B44" s="145" t="s">
        <v>205</v>
      </c>
      <c r="C44" s="145" t="s">
        <v>206</v>
      </c>
      <c r="D44" s="145" t="s">
        <v>207</v>
      </c>
      <c r="E44" s="145" t="s">
        <v>445</v>
      </c>
      <c r="F44" s="145" t="s">
        <v>446</v>
      </c>
      <c r="G44" s="146" t="s">
        <v>213</v>
      </c>
      <c r="H44" s="146" t="s">
        <v>211</v>
      </c>
      <c r="I44" s="146" t="s">
        <v>212</v>
      </c>
      <c r="J44" s="146" t="s">
        <v>447</v>
      </c>
      <c r="K44" s="147" t="s">
        <v>448</v>
      </c>
      <c r="V44" s="60"/>
      <c r="AC44" s="63" t="s">
        <v>449</v>
      </c>
      <c r="AD44" s="64">
        <f>IF($Y$1&lt;&gt;"LONG","",IF($O$40&lt;=$O$3,$O$40,""))</f>
        <v>0</v>
      </c>
      <c r="AE44" s="64">
        <f>IF(AD44="","",$ED$41)</f>
        <v>1000000</v>
      </c>
      <c r="AF44" s="64">
        <f>IF(AD44="","",$ED$37)</f>
        <v>-1E-3</v>
      </c>
      <c r="AG44" s="65">
        <f>IF(OR(AD44="",AE44=""),"",ABS((AE44-AD44)*10000))</f>
        <v>10000000000</v>
      </c>
      <c r="AH44" s="65">
        <f>IF(OR(AD44="",AF44=""),"",MAX(ABS((AD44-AF44)*10000),$ED$35))</f>
        <v>10</v>
      </c>
      <c r="AI44" s="66">
        <v>0.25</v>
      </c>
      <c r="AJ44" s="67">
        <f>IF(OR(AI44=0,$ED$38=0,AD44=""),"",$Y$2*$ED$33*AI44/$ED$38)</f>
        <v>125</v>
      </c>
      <c r="AK44" s="67">
        <f>IF(OR(AJ44="",AJ44=0,AG44=""),"",AJ44*AG44/MAX(AH44,$ED$35))</f>
        <v>125000000000</v>
      </c>
      <c r="AL44" s="68">
        <f>IF(OR(AD44="",AH44="",AJ44=""),"",AJ44/(MAX(AH44,$ED$35)*$ED$3))</f>
        <v>125000</v>
      </c>
      <c r="AM44" s="69">
        <f>IF(OR(AG44="",AH44=""),"",AG44/MAX(AH44,$ED$35))</f>
        <v>1000000000</v>
      </c>
    </row>
    <row r="45" spans="1:135">
      <c r="A45" s="148" t="s">
        <v>324</v>
      </c>
      <c r="B45" s="149">
        <f>'Advanced Setup Planner'!AD2</f>
        <v>1.145</v>
      </c>
      <c r="C45" s="149">
        <f>'Advanced Setup Planner'!AE2</f>
        <v>8.0000000000000004E-4</v>
      </c>
      <c r="D45" s="149">
        <f>'Advanced Setup Planner'!AF2</f>
        <v>-2.5000000000000001E-4</v>
      </c>
      <c r="E45" s="150">
        <f>'Advanced Setup Planner'!AG2</f>
        <v>11442.000000000002</v>
      </c>
      <c r="F45" s="150">
        <f>'Advanced Setup Planner'!AH2</f>
        <v>11452.500000000002</v>
      </c>
      <c r="G45" s="151">
        <f>'Advanced Setup Planner'!AL2</f>
        <v>87.317179655097121</v>
      </c>
      <c r="H45" s="152">
        <f>'Advanced Setup Planner'!AJ2</f>
        <v>100</v>
      </c>
      <c r="I45" s="152">
        <f>'Advanced Setup Planner'!AK2</f>
        <v>99.908316961362146</v>
      </c>
      <c r="J45" s="153">
        <f>'Advanced Setup Planner'!AM2</f>
        <v>0.99908316961362154</v>
      </c>
      <c r="K45" s="154">
        <f>'Advanced Setup Planner'!AM2</f>
        <v>0.99908316961362154</v>
      </c>
      <c r="V45" s="60"/>
      <c r="ED45" s="55" t="s">
        <v>450</v>
      </c>
      <c r="EE45" s="55" t="b">
        <f>AND($O$3&gt;=EB51,$O$3&lt;=EC51)</f>
        <v>1</v>
      </c>
    </row>
    <row r="46" spans="1:135">
      <c r="A46" s="148" t="s">
        <v>451</v>
      </c>
      <c r="B46" s="149">
        <f>'Advanced Setup Planner'!AD3</f>
        <v>1.1399999999999999</v>
      </c>
      <c r="C46" s="149">
        <f>'Advanced Setup Planner'!AE3</f>
        <v>8.0000000000000004E-4</v>
      </c>
      <c r="D46" s="149">
        <f>'Advanced Setup Planner'!AF3</f>
        <v>-2.5000000000000001E-4</v>
      </c>
      <c r="E46" s="150">
        <f>'Advanced Setup Planner'!AG3</f>
        <v>11392</v>
      </c>
      <c r="F46" s="150">
        <f>'Advanced Setup Planner'!AH3</f>
        <v>11402.5</v>
      </c>
      <c r="G46" s="151">
        <f>'Advanced Setup Planner'!AL3</f>
        <v>153.47511510633632</v>
      </c>
      <c r="H46" s="152">
        <f>'Advanced Setup Planner'!AJ3</f>
        <v>175</v>
      </c>
      <c r="I46" s="152">
        <f>'Advanced Setup Planner'!AK3</f>
        <v>174.83885112913833</v>
      </c>
      <c r="J46" s="153">
        <f>'Advanced Setup Planner'!AM3</f>
        <v>0.99907914930936204</v>
      </c>
      <c r="K46" s="154">
        <f>'Advanced Setup Planner'!AM3</f>
        <v>0.99907914930936204</v>
      </c>
      <c r="V46" s="60"/>
      <c r="AC46" s="55" t="s">
        <v>253</v>
      </c>
      <c r="AD46" s="97">
        <f>IF(SUM(AL42:AL44)=0,0,SUMPRODUCT(AN41:AN43,AL42:AL44)/SUM(AL42:AL44))</f>
        <v>39.894859309691043</v>
      </c>
      <c r="EA46" s="49" t="s">
        <v>452</v>
      </c>
      <c r="EB46" s="60">
        <f>MIN(IF($AD$28="",1000000000,$AD$28),IF($AD$29="",1000000000,$AD$29),IF($AD$30="",1000000000,$AD$30))</f>
        <v>1.1557999999999999</v>
      </c>
      <c r="ED46" s="55" t="s">
        <v>453</v>
      </c>
      <c r="EE46" s="55" t="b">
        <f>AND($O$3&gt;=EB52,$O$3&lt;=EC52)</f>
        <v>0</v>
      </c>
    </row>
    <row r="47" spans="1:135">
      <c r="A47" s="148" t="s">
        <v>454</v>
      </c>
      <c r="B47" s="149">
        <f>'Advanced Setup Planner'!AD4</f>
        <v>1.135</v>
      </c>
      <c r="C47" s="149">
        <f>'Advanced Setup Planner'!AE4</f>
        <v>8.0000000000000004E-4</v>
      </c>
      <c r="D47" s="149">
        <f>'Advanced Setup Planner'!AF4</f>
        <v>-2.5000000000000001E-4</v>
      </c>
      <c r="E47" s="150">
        <f>'Advanced Setup Planner'!AG4</f>
        <v>11342.000000000002</v>
      </c>
      <c r="F47" s="150">
        <f>'Advanced Setup Planner'!AH4</f>
        <v>11352.500000000002</v>
      </c>
      <c r="G47" s="151">
        <f>'Advanced Setup Planner'!AL4</f>
        <v>198.19423034573876</v>
      </c>
      <c r="H47" s="152">
        <f>'Advanced Setup Planner'!AJ4</f>
        <v>225</v>
      </c>
      <c r="I47" s="152">
        <f>'Advanced Setup Planner'!AK4</f>
        <v>224.79189605813698</v>
      </c>
      <c r="J47" s="153">
        <f>'Advanced Setup Planner'!AM4</f>
        <v>0.99907509359171986</v>
      </c>
      <c r="K47" s="154">
        <f>'Advanced Setup Planner'!AM4</f>
        <v>0.99907509359171986</v>
      </c>
      <c r="V47" s="60"/>
      <c r="AC47" s="55" t="s">
        <v>259</v>
      </c>
      <c r="AD47" s="98">
        <f>SUM(AL42:AL44)</f>
        <v>125329.43057115701</v>
      </c>
      <c r="EA47" s="55" t="s">
        <v>455</v>
      </c>
      <c r="EB47" s="76">
        <f>IF(EB48="","",EB48+($ED$24*$ED$3))</f>
        <v>1.1563999999999999</v>
      </c>
      <c r="ED47" s="55" t="s">
        <v>456</v>
      </c>
      <c r="EE47" s="55" t="str">
        <f>IF('Advanced Setup Planner'!$E$7&gt;$O$3,'Advanced Setup Planner'!$E$7,"")</f>
        <v/>
      </c>
    </row>
    <row r="48" spans="1:135">
      <c r="A48" s="155" t="s">
        <v>457</v>
      </c>
      <c r="B48" s="156">
        <f>IFERROR(SUBTOTAL(101,Table16[Entry]),"")</f>
        <v>1.1399999999999999</v>
      </c>
      <c r="C48" s="156">
        <f>IFERROR(SUBTOTAL(101,Table16[TP]),"")</f>
        <v>8.0000000000000004E-4</v>
      </c>
      <c r="D48" s="156">
        <f>IFERROR(SUBTOTAL(101,Table16[SL]),"")</f>
        <v>-2.5000000000000001E-4</v>
      </c>
      <c r="E48" s="157">
        <f>IFERROR(SUBTOTAL(101,Table16[Pips→TP]),"")</f>
        <v>11392</v>
      </c>
      <c r="F48" s="157">
        <f>IFERROR(SUBTOTAL(101,Table16[EffPips→SL]),"")</f>
        <v>11402.5</v>
      </c>
      <c r="G48" s="158">
        <f>SUBTOTAL(109,Table16[Units])</f>
        <v>438.98652510717216</v>
      </c>
      <c r="H48" s="159">
        <f>SUBTOTAL(109,Table16[Risk $])</f>
        <v>500</v>
      </c>
      <c r="I48" s="159">
        <f>SUBTOTAL(109,Table16[Reward $])</f>
        <v>499.53906414863752</v>
      </c>
      <c r="J48" s="160">
        <f>IFERROR(Table16[[#Totals],[Reward $]]/Table16[[#Totals],[Risk $]],"")</f>
        <v>0.99907812829727505</v>
      </c>
      <c r="K48" s="161"/>
      <c r="V48" s="60"/>
      <c r="AC48" s="55" t="s">
        <v>267</v>
      </c>
      <c r="AD48" s="60">
        <f>IF(AD47=0,"",SUMPRODUCT(AD42:AD44,AL42:AL44)/AD47)</f>
        <v>2.9894859309691044E-3</v>
      </c>
      <c r="EA48" s="55" t="s">
        <v>458</v>
      </c>
      <c r="EB48" s="76">
        <f>IF(EE51="","",EE51+$X$20)</f>
        <v>1.1557999999999999</v>
      </c>
      <c r="ED48" s="55" t="s">
        <v>459</v>
      </c>
      <c r="EE48" s="55" t="str">
        <f>IF('Advanced Setup Planner'!$E$9&gt;$O$3,'Advanced Setup Planner'!$E$9,"")</f>
        <v/>
      </c>
    </row>
    <row r="49" spans="1:135">
      <c r="A49" s="40"/>
      <c r="B49" s="152"/>
      <c r="C49" s="152"/>
      <c r="D49" s="151"/>
      <c r="E49" s="162"/>
      <c r="F49" s="162"/>
      <c r="G49" s="151"/>
      <c r="H49" s="152"/>
      <c r="I49" s="152"/>
      <c r="J49" s="153"/>
      <c r="V49" s="60"/>
      <c r="AC49" s="55" t="s">
        <v>208</v>
      </c>
      <c r="AD49" s="97">
        <f>IF(OR(AD48="",$Y$3=""),"",ABS(($Y$3-AD48)*10000))</f>
        <v>9999999970.1051407</v>
      </c>
      <c r="EA49" s="55" t="s">
        <v>460</v>
      </c>
      <c r="EB49" s="76">
        <f>IF(EB48="","",EB48+((($ED$24/2)*$ED$3)))</f>
        <v>1.1560999999999999</v>
      </c>
      <c r="ED49" s="55" t="s">
        <v>461</v>
      </c>
      <c r="EE49" s="55" t="str">
        <f>IF('Advanced Setup Planner'!$E$16&gt;$O$3,'Advanced Setup Planner'!$E$16,"")</f>
        <v/>
      </c>
    </row>
    <row r="50" spans="1:135">
      <c r="A50" s="250" t="s">
        <v>462</v>
      </c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AC50" s="55" t="s">
        <v>279</v>
      </c>
      <c r="AD50" s="62">
        <f>IF(OR(AD47=0,AD48="",$Y$3=""),"",ABS(($Y$3-AD48)*AD47))</f>
        <v>125329430196.48643</v>
      </c>
      <c r="AN50" s="129">
        <f>O3</f>
        <v>1.155</v>
      </c>
      <c r="EA50" s="108" t="s">
        <v>463</v>
      </c>
      <c r="EB50" s="85">
        <f>IF($Y$1&lt;&gt;"LONG","",MAX($O$3,IF(AND($T$21&lt;&gt;"",ABS($T$21-IF($O$27&lt;&gt;"",$O$27,$T$17))&lt;=0.0025),$T$21,IF($O$27&lt;&gt;"",$O$27,$T$17))))</f>
        <v>1.155</v>
      </c>
      <c r="EC50" s="108" t="s">
        <v>317</v>
      </c>
      <c r="ED50" s="55" t="s">
        <v>464</v>
      </c>
      <c r="EE50" s="55" t="str">
        <f>IF(AND('Advanced Setup Planner'!$E$11&gt;$O$3,('Advanced Setup Planner'!$E$11-$O$3)*10000&lt;=40),'Advanced Setup Planner'!$E$11,"")</f>
        <v/>
      </c>
    </row>
    <row r="51" spans="1:135">
      <c r="A51" s="144" t="s">
        <v>444</v>
      </c>
      <c r="B51" s="145" t="s">
        <v>205</v>
      </c>
      <c r="C51" s="145" t="s">
        <v>206</v>
      </c>
      <c r="D51" s="145" t="s">
        <v>207</v>
      </c>
      <c r="E51" s="145" t="s">
        <v>445</v>
      </c>
      <c r="F51" s="145" t="s">
        <v>446</v>
      </c>
      <c r="G51" s="146" t="s">
        <v>213</v>
      </c>
      <c r="H51" s="146" t="s">
        <v>211</v>
      </c>
      <c r="I51" s="146" t="s">
        <v>212</v>
      </c>
      <c r="J51" s="146" t="s">
        <v>447</v>
      </c>
      <c r="K51" s="147" t="s">
        <v>448</v>
      </c>
      <c r="AC51" s="55" t="s">
        <v>287</v>
      </c>
      <c r="AD51" s="97">
        <f>IF(SUM($AJ$42:$AJ$44)=0,"",SUM($AK$42:$AK$44)/SUM($AJ$42:$AJ$44))</f>
        <v>250658860.39297286</v>
      </c>
      <c r="AN51" s="108" t="s">
        <v>465</v>
      </c>
      <c r="EA51" s="55" t="s">
        <v>466</v>
      </c>
      <c r="EB51" s="76">
        <f>MIN($Q$23,$Q$25)</f>
        <v>1.1538199999999998</v>
      </c>
      <c r="EC51" s="129">
        <f>MAX($Q$23,$Q$25)</f>
        <v>1.15618</v>
      </c>
      <c r="EE51" s="55">
        <f>IFERROR(_xlfn.AGGREGATE(15,6,EE47:EE50/(EE47:EE50&lt;&gt;""),1),$O$3+($ED$24*$ED$3))</f>
        <v>1.1556</v>
      </c>
    </row>
    <row r="52" spans="1:135">
      <c r="A52" s="148" t="s">
        <v>324</v>
      </c>
      <c r="B52" s="149">
        <f>'Advanced Setup Planner'!AD42</f>
        <v>1.1399999999999999</v>
      </c>
      <c r="C52" s="149">
        <f>'Advanced Setup Planner'!AE42</f>
        <v>1000000</v>
      </c>
      <c r="D52" s="149">
        <f>'Advanced Setup Planner'!AF42</f>
        <v>-1E-3</v>
      </c>
      <c r="E52" s="150">
        <f>'Advanced Setup Planner'!AG42</f>
        <v>9999988600</v>
      </c>
      <c r="F52" s="150">
        <f>'Advanced Setup Planner'!AH42</f>
        <v>11409.999999999998</v>
      </c>
      <c r="G52" s="151">
        <f>'Advanced Setup Planner'!AL42</f>
        <v>153.37423312883439</v>
      </c>
      <c r="H52" s="152">
        <f>'Advanced Setup Planner'!AJ42</f>
        <v>175</v>
      </c>
      <c r="I52" s="152">
        <f>'Advanced Setup Planner'!AK42</f>
        <v>153374058.28220862</v>
      </c>
      <c r="J52" s="153">
        <f>'Advanced Setup Planner'!AM42</f>
        <v>876423.19018404919</v>
      </c>
      <c r="K52" s="154">
        <f>'Advanced Setup Planner'!AM42</f>
        <v>876423.19018404919</v>
      </c>
      <c r="AC52" s="55" t="s">
        <v>292</v>
      </c>
      <c r="AD52" s="97">
        <f>IF(SUM(AL42:AL44)=0,"",(AL42*MAX(AH42,$ED$35)+AL43*MAX(AH43,$ED$35)+AL44*MAX(AH44,$ED$35))/SUM(AL42:AL44))</f>
        <v>39.894859309691043</v>
      </c>
      <c r="AN52" s="108" t="s">
        <v>467</v>
      </c>
      <c r="EA52" s="108">
        <v>2</v>
      </c>
      <c r="EB52" s="85">
        <f>O36</f>
        <v>0</v>
      </c>
      <c r="EC52" s="108">
        <f>O35</f>
        <v>0</v>
      </c>
      <c r="ED52" s="55" t="s">
        <v>468</v>
      </c>
      <c r="EE52" s="55" t="b">
        <f ca="1">AND($EB$38&gt;=0,T8=TRUE,NOT(T9),EE48)</f>
        <v>1</v>
      </c>
    </row>
    <row r="53" spans="1:135">
      <c r="A53" s="148" t="s">
        <v>451</v>
      </c>
      <c r="B53" s="149">
        <f>'Advanced Setup Planner'!AD43</f>
        <v>1.135</v>
      </c>
      <c r="C53" s="149">
        <f>'Advanced Setup Planner'!AE43</f>
        <v>1000000</v>
      </c>
      <c r="D53" s="149">
        <f>'Advanced Setup Planner'!AF43</f>
        <v>-1E-3</v>
      </c>
      <c r="E53" s="150">
        <f>'Advanced Setup Planner'!AG43</f>
        <v>9999988650</v>
      </c>
      <c r="F53" s="150">
        <f>'Advanced Setup Planner'!AH43</f>
        <v>11359.999999999998</v>
      </c>
      <c r="G53" s="151">
        <f>'Advanced Setup Planner'!AL43</f>
        <v>176.05633802816902</v>
      </c>
      <c r="H53" s="152">
        <f>'Advanced Setup Planner'!AJ43</f>
        <v>200</v>
      </c>
      <c r="I53" s="152">
        <f>'Advanced Setup Planner'!AK43</f>
        <v>176056138.20422539</v>
      </c>
      <c r="J53" s="153">
        <f>'Advanced Setup Planner'!AM43</f>
        <v>880280.69102112693</v>
      </c>
      <c r="K53" s="154">
        <f>'Advanced Setup Planner'!AM43</f>
        <v>880280.69102112693</v>
      </c>
      <c r="AN53" s="108" t="s">
        <v>469</v>
      </c>
      <c r="EA53" s="108">
        <v>3</v>
      </c>
      <c r="EB53" s="85">
        <f>O13</f>
        <v>1.1200000000000001</v>
      </c>
      <c r="EC53" s="108">
        <f>O12</f>
        <v>1.125</v>
      </c>
      <c r="ED53" s="60" t="s">
        <v>470</v>
      </c>
      <c r="EE53" s="55" t="b">
        <f ca="1">AND(N($EB$38)&lt;=0,T8=TRUE,T11=TRUE,EE49=TRUE,$O$21&gt;70,$O$20&gt;65)</f>
        <v>0</v>
      </c>
    </row>
    <row r="54" spans="1:135">
      <c r="A54" s="148" t="s">
        <v>454</v>
      </c>
      <c r="B54" s="149">
        <f>'Advanced Setup Planner'!AD44</f>
        <v>0</v>
      </c>
      <c r="C54" s="149">
        <f>'Advanced Setup Planner'!AE44</f>
        <v>1000000</v>
      </c>
      <c r="D54" s="149">
        <f>'Advanced Setup Planner'!AF44</f>
        <v>-1E-3</v>
      </c>
      <c r="E54" s="150">
        <f>'Advanced Setup Planner'!AG44</f>
        <v>10000000000</v>
      </c>
      <c r="F54" s="150">
        <f>'Advanced Setup Planner'!AH44</f>
        <v>10</v>
      </c>
      <c r="G54" s="151">
        <f>'Advanced Setup Planner'!AL44</f>
        <v>125000</v>
      </c>
      <c r="H54" s="152">
        <f>'Advanced Setup Planner'!AJ44</f>
        <v>125</v>
      </c>
      <c r="I54" s="152">
        <f>'Advanced Setup Planner'!AK44</f>
        <v>125000000000</v>
      </c>
      <c r="J54" s="153">
        <f>'Advanced Setup Planner'!AM44</f>
        <v>1000000000</v>
      </c>
      <c r="K54" s="154">
        <f>'Advanced Setup Planner'!AM44</f>
        <v>1000000000</v>
      </c>
      <c r="EA54" s="108"/>
      <c r="EC54" s="108"/>
      <c r="ED54" s="55" t="s">
        <v>471</v>
      </c>
      <c r="EE54" s="108" t="e">
        <f>IF(EE48,"DISCOUNT",IF(EE49,"CT_ZONE",IF(EE50,"PREMIUM","MID")))</f>
        <v>#VALUE!</v>
      </c>
    </row>
    <row r="55" spans="1:135">
      <c r="A55" s="155" t="s">
        <v>457</v>
      </c>
      <c r="B55" s="156">
        <f>IFERROR(SUBTOTAL(101,Table17[Entry]),"")</f>
        <v>0.7583333333333333</v>
      </c>
      <c r="C55" s="156">
        <f>IFERROR(SUBTOTAL(101,Table17[TP]),"")</f>
        <v>1000000</v>
      </c>
      <c r="D55" s="156">
        <f>IFERROR(SUBTOTAL(101,Table17[SL]),"")</f>
        <v>-1E-3</v>
      </c>
      <c r="E55" s="157">
        <f>IFERROR(SUBTOTAL(101,Table17[Pips→TP]),"")</f>
        <v>9999992416.666666</v>
      </c>
      <c r="F55" s="157">
        <f>IFERROR(SUBTOTAL(101,Table17[EffPips→SL]),"")</f>
        <v>7593.3333333333321</v>
      </c>
      <c r="G55" s="158">
        <f>SUBTOTAL(109,Table17[Units])</f>
        <v>125329.43057115701</v>
      </c>
      <c r="H55" s="159">
        <f>SUBTOTAL(109,Table17[Risk $])</f>
        <v>500</v>
      </c>
      <c r="I55" s="159">
        <f>SUBTOTAL(109,Table17[Reward $])</f>
        <v>125329430196.48643</v>
      </c>
      <c r="J55" s="160">
        <f>IFERROR(Table17[[#Totals],[Reward $]]/Table17[[#Totals],[Risk $]],"")</f>
        <v>250658860.39297286</v>
      </c>
      <c r="K55" s="161"/>
      <c r="EA55" s="55" t="s">
        <v>472</v>
      </c>
      <c r="EB55" s="85">
        <f>IF(AND($O$3&gt;=EB51,$O$3&lt;=EC51),1,IF(AND($O$3&gt;=EB52,$O$3&lt;=EC52),2,IF(AND($O$3&gt;=EB53,$O$3&lt;=EC53),3,0)))</f>
        <v>1</v>
      </c>
    </row>
    <row r="56" spans="1:135">
      <c r="A56" s="40"/>
      <c r="B56" s="152"/>
      <c r="C56" s="152"/>
      <c r="D56" s="151"/>
      <c r="E56" s="162"/>
      <c r="F56" s="162"/>
      <c r="G56" s="151"/>
      <c r="H56" s="152"/>
      <c r="I56" s="152"/>
      <c r="J56" s="153"/>
      <c r="EB56" s="55">
        <f>EB55</f>
        <v>1</v>
      </c>
    </row>
    <row r="57" spans="1:135">
      <c r="A57" s="250" t="s">
        <v>473</v>
      </c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EA57" s="55" t="s">
        <v>474</v>
      </c>
      <c r="EC57" s="55" t="s">
        <v>475</v>
      </c>
      <c r="ED57" s="55">
        <f>IF($EB$57&lt;&gt;"",$EB$57,IF($EB$55=0,1,$EB$55))</f>
        <v>1</v>
      </c>
    </row>
    <row r="58" spans="1:135">
      <c r="A58" s="144" t="s">
        <v>444</v>
      </c>
      <c r="B58" s="145" t="s">
        <v>205</v>
      </c>
      <c r="C58" s="145" t="s">
        <v>206</v>
      </c>
      <c r="D58" s="145" t="s">
        <v>207</v>
      </c>
      <c r="E58" s="145" t="s">
        <v>445</v>
      </c>
      <c r="F58" s="145" t="s">
        <v>446</v>
      </c>
      <c r="G58" s="146" t="s">
        <v>213</v>
      </c>
      <c r="H58" s="146" t="s">
        <v>211</v>
      </c>
      <c r="I58" s="146" t="s">
        <v>212</v>
      </c>
      <c r="J58" s="146" t="s">
        <v>447</v>
      </c>
      <c r="K58" s="147" t="s">
        <v>448</v>
      </c>
    </row>
    <row r="59" spans="1:135">
      <c r="A59" s="148" t="s">
        <v>324</v>
      </c>
      <c r="B59" s="149">
        <f>'Advanced Setup Planner'!AD15</f>
        <v>0</v>
      </c>
      <c r="C59" s="149">
        <f>'Advanced Setup Planner'!AE15</f>
        <v>1000000</v>
      </c>
      <c r="D59" s="149">
        <f>'Advanced Setup Planner'!AF15</f>
        <v>-2.5000000000000001E-4</v>
      </c>
      <c r="E59" s="150">
        <f>'Advanced Setup Planner'!AG15</f>
        <v>10000000000</v>
      </c>
      <c r="F59" s="150">
        <f>'Advanced Setup Planner'!AH15</f>
        <v>8</v>
      </c>
      <c r="G59" s="151">
        <f>'Advanced Setup Planner'!AL15</f>
        <v>166666.66666666666</v>
      </c>
      <c r="H59" s="152">
        <f>'Advanced Setup Planner'!AJ15</f>
        <v>133.33333333333334</v>
      </c>
      <c r="I59" s="152">
        <f>'Advanced Setup Planner'!AK15</f>
        <v>166666666666.66669</v>
      </c>
      <c r="J59" s="153">
        <f>'Advanced Setup Planner'!AM15</f>
        <v>1250000000</v>
      </c>
      <c r="K59" s="154">
        <f>'Advanced Setup Planner'!AM15</f>
        <v>1250000000</v>
      </c>
      <c r="AM59" s="129"/>
    </row>
    <row r="60" spans="1:135">
      <c r="A60" s="148" t="s">
        <v>451</v>
      </c>
      <c r="B60" s="149">
        <f>'Advanced Setup Planner'!AD16</f>
        <v>0</v>
      </c>
      <c r="C60" s="149">
        <f>'Advanced Setup Planner'!AE16</f>
        <v>1000000</v>
      </c>
      <c r="D60" s="149">
        <f>'Advanced Setup Planner'!AF16</f>
        <v>-2.5000000000000001E-4</v>
      </c>
      <c r="E60" s="150">
        <f>'Advanced Setup Planner'!AG16</f>
        <v>10000000000</v>
      </c>
      <c r="F60" s="150">
        <f>'Advanced Setup Planner'!AH16</f>
        <v>8</v>
      </c>
      <c r="G60" s="151">
        <f>'Advanced Setup Planner'!AL16</f>
        <v>208333.33333333331</v>
      </c>
      <c r="H60" s="152">
        <f>'Advanced Setup Planner'!AJ16</f>
        <v>166.66666666666666</v>
      </c>
      <c r="I60" s="152">
        <f>'Advanced Setup Planner'!AK16</f>
        <v>208333333333.33331</v>
      </c>
      <c r="J60" s="153">
        <f>'Advanced Setup Planner'!AM16</f>
        <v>1250000000</v>
      </c>
      <c r="K60" s="154">
        <f>'Advanced Setup Planner'!AM16</f>
        <v>1250000000</v>
      </c>
      <c r="AM60" s="108"/>
    </row>
    <row r="61" spans="1:135">
      <c r="A61" s="148" t="s">
        <v>454</v>
      </c>
      <c r="B61" s="149">
        <f>'Advanced Setup Planner'!AD17</f>
        <v>2.5000000000000001E-4</v>
      </c>
      <c r="C61" s="149">
        <f>'Advanced Setup Planner'!AE17</f>
        <v>1000000</v>
      </c>
      <c r="D61" s="149">
        <f>'Advanced Setup Planner'!AF17</f>
        <v>-2.5000000000000001E-4</v>
      </c>
      <c r="E61" s="150">
        <f>'Advanced Setup Planner'!AG17</f>
        <v>10000000000</v>
      </c>
      <c r="F61" s="150">
        <f>'Advanced Setup Planner'!AH17</f>
        <v>8</v>
      </c>
      <c r="G61" s="151">
        <f>'Advanced Setup Planner'!AL17</f>
        <v>250000</v>
      </c>
      <c r="H61" s="152">
        <f>'Advanced Setup Planner'!AJ17</f>
        <v>200</v>
      </c>
      <c r="I61" s="152">
        <f>'Advanced Setup Planner'!AK17</f>
        <v>250000000000</v>
      </c>
      <c r="J61" s="153">
        <f>'Advanced Setup Planner'!AM17</f>
        <v>1250000000</v>
      </c>
      <c r="K61" s="154">
        <f>'Advanced Setup Planner'!AM17</f>
        <v>1250000000</v>
      </c>
      <c r="AM61" s="108"/>
    </row>
    <row r="62" spans="1:135">
      <c r="A62" s="155" t="s">
        <v>457</v>
      </c>
      <c r="B62" s="156">
        <f>IFERROR(SUBTOTAL(101,Table18[Entry]),"")</f>
        <v>8.3333333333333331E-5</v>
      </c>
      <c r="C62" s="156">
        <f>IFERROR(SUBTOTAL(101,Table18[TP]),"")</f>
        <v>1000000</v>
      </c>
      <c r="D62" s="156">
        <f>IFERROR(SUBTOTAL(101,Table18[SL]),"")</f>
        <v>-2.5000000000000001E-4</v>
      </c>
      <c r="E62" s="157">
        <f>IFERROR(SUBTOTAL(101,Table18[Pips→TP]),"")</f>
        <v>10000000000</v>
      </c>
      <c r="F62" s="157">
        <f>IFERROR(SUBTOTAL(101,Table18[EffPips→SL]),"")</f>
        <v>8</v>
      </c>
      <c r="G62" s="158">
        <f>SUBTOTAL(109,Table18[Units])</f>
        <v>625000</v>
      </c>
      <c r="H62" s="159">
        <f>SUBTOTAL(109,Table18[Risk $])</f>
        <v>500</v>
      </c>
      <c r="I62" s="159">
        <f>SUBTOTAL(109,Table18[Reward $])</f>
        <v>625000000000</v>
      </c>
      <c r="J62" s="160">
        <f>IFERROR(Table18[[#Totals],[Reward $]]/Table18[[#Totals],[Risk $]],"")</f>
        <v>1250000000</v>
      </c>
      <c r="K62" s="161"/>
      <c r="AM62" s="108"/>
    </row>
    <row r="63" spans="1:135">
      <c r="A63" s="40"/>
      <c r="B63" s="152"/>
      <c r="C63" s="152"/>
      <c r="D63" s="151"/>
      <c r="E63" s="162"/>
      <c r="F63" s="162"/>
      <c r="G63" s="151"/>
      <c r="H63" s="152"/>
      <c r="I63" s="152"/>
      <c r="J63" s="153"/>
    </row>
    <row r="64" spans="1:135">
      <c r="A64" s="250" t="s">
        <v>476</v>
      </c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55" t="str">
        <f>IF('Advanced Setup Planner'!Y1&lt;&gt;"SHORT","CT inactive (Side is "&amp;'Advanced Setup Planner'!Y1&amp;"). Switch Side to SHORT to use CT.","")</f>
        <v>CT inactive (Side is LONG). Switch Side to SHORT to use CT.</v>
      </c>
    </row>
    <row r="65" spans="1:11">
      <c r="A65" s="144" t="s">
        <v>444</v>
      </c>
      <c r="B65" s="145" t="s">
        <v>205</v>
      </c>
      <c r="C65" s="145" t="s">
        <v>206</v>
      </c>
      <c r="D65" s="145" t="s">
        <v>207</v>
      </c>
      <c r="E65" s="145" t="s">
        <v>445</v>
      </c>
      <c r="F65" s="145" t="s">
        <v>446</v>
      </c>
      <c r="G65" s="146" t="s">
        <v>213</v>
      </c>
      <c r="H65" s="146" t="s">
        <v>211</v>
      </c>
      <c r="I65" s="146" t="s">
        <v>212</v>
      </c>
      <c r="J65" s="146" t="s">
        <v>447</v>
      </c>
      <c r="K65" s="147" t="s">
        <v>477</v>
      </c>
    </row>
    <row r="66" spans="1:11">
      <c r="A66" s="148" t="s">
        <v>324</v>
      </c>
      <c r="B66" s="149">
        <f>'Advanced Setup Planner'!AD28</f>
        <v>1.1557999999999999</v>
      </c>
      <c r="C66" s="149">
        <f>'Advanced Setup Planner'!AE28</f>
        <v>-1E-4</v>
      </c>
      <c r="D66" s="149">
        <f>'Advanced Setup Planner'!AF28</f>
        <v>1.1571999999999998</v>
      </c>
      <c r="E66" s="150">
        <f>'Advanced Setup Planner'!AG28</f>
        <v>11559</v>
      </c>
      <c r="F66" s="150">
        <f>'Advanced Setup Planner'!AH28</f>
        <v>13.999999999998458</v>
      </c>
      <c r="G66" s="151">
        <f>'Advanced Setup Planner'!AL28</f>
        <v>96428.571428582043</v>
      </c>
      <c r="H66" s="152">
        <f>'Advanced Setup Planner'!AJ28</f>
        <v>135</v>
      </c>
      <c r="I66" s="152">
        <f>'Advanced Setup Planner'!AK28</f>
        <v>111461.78571429799</v>
      </c>
      <c r="J66" s="153">
        <f>'Advanced Setup Planner'!AM28</f>
        <v>825.64285714294806</v>
      </c>
      <c r="K66" s="154"/>
    </row>
    <row r="67" spans="1:11">
      <c r="A67" s="148" t="s">
        <v>451</v>
      </c>
      <c r="B67" s="149">
        <f>'Advanced Setup Planner'!AD29</f>
        <v>1.1560999999999999</v>
      </c>
      <c r="C67" s="149">
        <f>'Advanced Setup Planner'!AE29</f>
        <v>-1E-4</v>
      </c>
      <c r="D67" s="149">
        <f>'Advanced Setup Planner'!AF29</f>
        <v>1.1571999999999998</v>
      </c>
      <c r="E67" s="150">
        <f>'Advanced Setup Planner'!AG29</f>
        <v>11561.999999999998</v>
      </c>
      <c r="F67" s="150">
        <f>'Advanced Setup Planner'!AH29</f>
        <v>10.999999999998789</v>
      </c>
      <c r="G67" s="151">
        <f>'Advanced Setup Planner'!AL29</f>
        <v>95454.545454555962</v>
      </c>
      <c r="H67" s="152">
        <f>'Advanced Setup Planner'!AJ29</f>
        <v>105</v>
      </c>
      <c r="I67" s="152">
        <f>'Advanced Setup Planner'!AK29</f>
        <v>110364.54545455759</v>
      </c>
      <c r="J67" s="153">
        <f>'Advanced Setup Planner'!AM29</f>
        <v>1051.0909090910247</v>
      </c>
      <c r="K67" s="154"/>
    </row>
    <row r="68" spans="1:11">
      <c r="A68" s="148" t="s">
        <v>454</v>
      </c>
      <c r="B68" s="149">
        <f>'Advanced Setup Planner'!AD30</f>
        <v>1.1563999999999999</v>
      </c>
      <c r="C68" s="149">
        <f>'Advanced Setup Planner'!AE30</f>
        <v>-1E-4</v>
      </c>
      <c r="D68" s="149">
        <f>'Advanced Setup Planner'!AF30</f>
        <v>1.1571999999999998</v>
      </c>
      <c r="E68" s="150">
        <f>'Advanced Setup Planner'!AG30</f>
        <v>11564.999999999998</v>
      </c>
      <c r="F68" s="150">
        <f>'Advanced Setup Planner'!AH30</f>
        <v>8</v>
      </c>
      <c r="G68" s="151">
        <f>'Advanced Setup Planner'!AL30</f>
        <v>75000</v>
      </c>
      <c r="H68" s="152">
        <f>'Advanced Setup Planner'!AJ30</f>
        <v>60</v>
      </c>
      <c r="I68" s="152">
        <f>'Advanced Setup Planner'!AK30</f>
        <v>86737.499999999985</v>
      </c>
      <c r="J68" s="153">
        <f>'Advanced Setup Planner'!AM30</f>
        <v>1445.6249999999998</v>
      </c>
      <c r="K68" s="154"/>
    </row>
    <row r="69" spans="1:11">
      <c r="A69" s="155" t="s">
        <v>457</v>
      </c>
      <c r="B69" s="156">
        <f>IFERROR(SUBTOTAL(101,Table19[Entry]),"")</f>
        <v>1.1560999999999997</v>
      </c>
      <c r="C69" s="156">
        <f>IFERROR(SUBTOTAL(101,Table19[TP]),"")</f>
        <v>-1E-4</v>
      </c>
      <c r="D69" s="156">
        <f>IFERROR(SUBTOTAL(101,Table19[SL]),"")</f>
        <v>1.1571999999999998</v>
      </c>
      <c r="E69" s="157">
        <f>IFERROR(SUBTOTAL(101,Table19[Pips→TP]),"")</f>
        <v>11562</v>
      </c>
      <c r="F69" s="157">
        <f>IFERROR(SUBTOTAL(101,Table19[EffPips→SL]),"")</f>
        <v>10.999999999999082</v>
      </c>
      <c r="G69" s="158">
        <f>SUBTOTAL(109,Table19[Units])</f>
        <v>266883.11688313802</v>
      </c>
      <c r="H69" s="159">
        <f>SUBTOTAL(109,Table19[Risk $])</f>
        <v>300</v>
      </c>
      <c r="I69" s="159">
        <f>SUBTOTAL(109,Table19[Reward $])</f>
        <v>308563.8311688556</v>
      </c>
      <c r="J69" s="160">
        <f>IFERROR(Table19[[#Totals],[Reward $]]/Table19[[#Totals],[Risk $]],"")</f>
        <v>1028.5461038961853</v>
      </c>
      <c r="K69" s="163"/>
    </row>
  </sheetData>
  <sheetProtection algorithmName="SHA-512" hashValue="QMs3D57uIYWluUYuE3VcUhag2iRyxzycJUIFAleqktsZPJuV+2NoMwG5bhAEu4ueLvYu2VeExi/mCpS2W/UfVQ==" saltValue="NXt/xcU+FJCANbuoIHCCaA==" spinCount="100000" sheet="1" scenarios="1"/>
  <mergeCells count="25">
    <mergeCell ref="A1:M1"/>
    <mergeCell ref="N1:Q1"/>
    <mergeCell ref="A2:K2"/>
    <mergeCell ref="A4:B4"/>
    <mergeCell ref="D4:E4"/>
    <mergeCell ref="G4:H4"/>
    <mergeCell ref="J4:K4"/>
    <mergeCell ref="A22:B22"/>
    <mergeCell ref="A30:K30"/>
    <mergeCell ref="B31:K31"/>
    <mergeCell ref="B32:K32"/>
    <mergeCell ref="B33:K33"/>
    <mergeCell ref="B34:K34"/>
    <mergeCell ref="B35:K35"/>
    <mergeCell ref="B36:K36"/>
    <mergeCell ref="B37:K37"/>
    <mergeCell ref="B38:K38"/>
    <mergeCell ref="A50:K50"/>
    <mergeCell ref="A57:K57"/>
    <mergeCell ref="A64:K64"/>
    <mergeCell ref="B39:K39"/>
    <mergeCell ref="B40:K40"/>
    <mergeCell ref="B41:K41"/>
    <mergeCell ref="A42:K42"/>
    <mergeCell ref="A43:K43"/>
  </mergeCells>
  <conditionalFormatting sqref="B31">
    <cfRule type="cellIs" dxfId="11" priority="1" stopIfTrue="1" operator="equal">
      <formula>"""LONG"""</formula>
    </cfRule>
    <cfRule type="cellIs" dxfId="10" priority="2" stopIfTrue="1" operator="equal">
      <formula>"""SHORT"""</formula>
    </cfRule>
    <cfRule type="cellIs" dxfId="9" priority="7" operator="equal">
      <formula>"LONG"</formula>
    </cfRule>
    <cfRule type="cellIs" dxfId="8" priority="8" operator="equal">
      <formula>"SHORT"</formula>
    </cfRule>
  </conditionalFormatting>
  <conditionalFormatting sqref="B33">
    <cfRule type="cellIs" dxfId="7" priority="3" stopIfTrue="1" operator="equal">
      <formula>"""CoreLong"""</formula>
    </cfRule>
    <cfRule type="cellIs" dxfId="6" priority="4" stopIfTrue="1" operator="equal">
      <formula>"""A+Long"""</formula>
    </cfRule>
    <cfRule type="cellIs" dxfId="5" priority="5" stopIfTrue="1" operator="equal">
      <formula>"""CTshort"""</formula>
    </cfRule>
    <cfRule type="cellIs" dxfId="4" priority="6" stopIfTrue="1" operator="equal">
      <formula>"""Avoid"""</formula>
    </cfRule>
    <cfRule type="cellIs" dxfId="3" priority="9" operator="equal">
      <formula>"CoreLong"</formula>
    </cfRule>
    <cfRule type="cellIs" dxfId="2" priority="10" operator="equal">
      <formula>"A+Long"</formula>
    </cfRule>
    <cfRule type="cellIs" dxfId="1" priority="11" operator="equal">
      <formula>"CTshort"</formula>
    </cfRule>
    <cfRule type="cellIs" dxfId="0" priority="12" operator="equal">
      <formula>"Avoid"</formula>
    </cfRule>
  </conditionalFormatting>
  <dataValidations count="1">
    <dataValidation type="list" allowBlank="1" showInputMessage="1" showErrorMessage="1" sqref="C24:D27 U3:V6" xr:uid="{00000000-0002-0000-0400-000000000000}">
      <formula1>LT_TrendBull</formula1>
    </dataValidation>
  </dataValidations>
  <pageMargins left="0.7" right="0.7" top="0.75" bottom="0.75" header="0.3" footer="0.3"/>
  <pageSetup orientation="portrait"/>
  <legacy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61"/>
  <sheetViews>
    <sheetView topLeftCell="A172" workbookViewId="0">
      <selection activeCell="A320" sqref="A320:T361"/>
    </sheetView>
  </sheetViews>
  <sheetFormatPr defaultColWidth="8.7265625" defaultRowHeight="14.5"/>
  <cols>
    <col min="1" max="1" width="13.7265625" customWidth="1"/>
    <col min="14" max="14" width="11.453125" customWidth="1"/>
  </cols>
  <sheetData>
    <row r="1" spans="1:1">
      <c r="A1" s="1" t="s">
        <v>478</v>
      </c>
    </row>
    <row r="2" spans="1:1">
      <c r="A2" s="1" t="s">
        <v>479</v>
      </c>
    </row>
    <row r="3" spans="1:1">
      <c r="A3" s="1" t="s">
        <v>480</v>
      </c>
    </row>
    <row r="4" spans="1:1">
      <c r="A4" s="1" t="s">
        <v>481</v>
      </c>
    </row>
    <row r="5" spans="1:1">
      <c r="A5" s="1" t="s">
        <v>482</v>
      </c>
    </row>
    <row r="6" spans="1:1">
      <c r="A6" s="1" t="s">
        <v>483</v>
      </c>
    </row>
    <row r="7" spans="1:1">
      <c r="A7" s="1" t="s">
        <v>484</v>
      </c>
    </row>
    <row r="8" spans="1:1">
      <c r="A8" s="1">
        <v>1</v>
      </c>
    </row>
    <row r="9" spans="1:1">
      <c r="A9" s="1">
        <v>2</v>
      </c>
    </row>
    <row r="10" spans="1:1">
      <c r="A10" s="1">
        <v>3</v>
      </c>
    </row>
    <row r="11" spans="1:1">
      <c r="A11" s="1" t="s">
        <v>485</v>
      </c>
    </row>
    <row r="12" spans="1:1">
      <c r="A12" s="1" t="s">
        <v>486</v>
      </c>
    </row>
    <row r="13" spans="1:1">
      <c r="A13" s="1" t="s">
        <v>487</v>
      </c>
    </row>
    <row r="14" spans="1:1">
      <c r="A14" s="1" t="s">
        <v>488</v>
      </c>
    </row>
    <row r="15" spans="1:1">
      <c r="A15" s="1" t="s">
        <v>489</v>
      </c>
    </row>
    <row r="16" spans="1:1">
      <c r="A16" s="1" t="s">
        <v>490</v>
      </c>
    </row>
    <row r="17" spans="1:1">
      <c r="A17" s="1" t="s">
        <v>491</v>
      </c>
    </row>
    <row r="18" spans="1:1">
      <c r="A18" s="1" t="s">
        <v>492</v>
      </c>
    </row>
    <row r="19" spans="1:1">
      <c r="A19" s="1" t="s">
        <v>493</v>
      </c>
    </row>
    <row r="20" spans="1:1">
      <c r="A20" s="1" t="s">
        <v>494</v>
      </c>
    </row>
    <row r="21" spans="1:1">
      <c r="A21" s="1" t="s">
        <v>495</v>
      </c>
    </row>
    <row r="22" spans="1:1">
      <c r="A22" s="1" t="s">
        <v>496</v>
      </c>
    </row>
    <row r="23" spans="1:1">
      <c r="A23" s="1" t="s">
        <v>497</v>
      </c>
    </row>
    <row r="24" spans="1:1">
      <c r="A24" s="1" t="s">
        <v>489</v>
      </c>
    </row>
    <row r="25" spans="1:1">
      <c r="A25" s="1" t="s">
        <v>498</v>
      </c>
    </row>
    <row r="26" spans="1:1">
      <c r="A26" s="1" t="s">
        <v>499</v>
      </c>
    </row>
    <row r="27" spans="1:1">
      <c r="A27" s="1" t="s">
        <v>500</v>
      </c>
    </row>
    <row r="28" spans="1:1">
      <c r="A28" s="1" t="s">
        <v>501</v>
      </c>
    </row>
    <row r="29" spans="1:1">
      <c r="A29" s="1" t="s">
        <v>502</v>
      </c>
    </row>
    <row r="30" spans="1:1">
      <c r="A30" s="1" t="s">
        <v>503</v>
      </c>
    </row>
    <row r="31" spans="1:1">
      <c r="A31" s="1" t="s">
        <v>504</v>
      </c>
    </row>
    <row r="32" spans="1:1">
      <c r="A32" s="1" t="s">
        <v>505</v>
      </c>
    </row>
    <row r="33" spans="1:1">
      <c r="A33" s="1" t="s">
        <v>506</v>
      </c>
    </row>
    <row r="34" spans="1:1">
      <c r="A34" s="1" t="s">
        <v>507</v>
      </c>
    </row>
    <row r="35" spans="1:1">
      <c r="A35" s="1" t="s">
        <v>508</v>
      </c>
    </row>
    <row r="36" spans="1:1">
      <c r="A36" s="1" t="s">
        <v>509</v>
      </c>
    </row>
    <row r="37" spans="1:1">
      <c r="A37" s="1" t="s">
        <v>510</v>
      </c>
    </row>
    <row r="38" spans="1:1">
      <c r="A38" s="1" t="s">
        <v>511</v>
      </c>
    </row>
    <row r="39" spans="1:1">
      <c r="A39" s="1" t="s">
        <v>512</v>
      </c>
    </row>
    <row r="40" spans="1:1">
      <c r="A40" s="1" t="s">
        <v>513</v>
      </c>
    </row>
    <row r="41" spans="1:1">
      <c r="A41" s="1" t="s">
        <v>514</v>
      </c>
    </row>
    <row r="42" spans="1:1">
      <c r="A42" s="1" t="s">
        <v>515</v>
      </c>
    </row>
    <row r="43" spans="1:1">
      <c r="A43" s="1" t="s">
        <v>516</v>
      </c>
    </row>
    <row r="44" spans="1:1">
      <c r="A44" s="1" t="s">
        <v>517</v>
      </c>
    </row>
    <row r="45" spans="1:1">
      <c r="A45" s="1" t="s">
        <v>518</v>
      </c>
    </row>
    <row r="46" spans="1:1">
      <c r="A46" s="1" t="s">
        <v>519</v>
      </c>
    </row>
    <row r="47" spans="1:1">
      <c r="A47" s="1" t="s">
        <v>520</v>
      </c>
    </row>
    <row r="48" spans="1:1">
      <c r="A48" s="1" t="s">
        <v>521</v>
      </c>
    </row>
    <row r="49" spans="1:1">
      <c r="A49" s="1" t="s">
        <v>522</v>
      </c>
    </row>
    <row r="50" spans="1:1">
      <c r="A50" s="1" t="s">
        <v>523</v>
      </c>
    </row>
    <row r="51" spans="1:1">
      <c r="A51" s="1" t="s">
        <v>524</v>
      </c>
    </row>
    <row r="52" spans="1:1">
      <c r="A52" s="1" t="s">
        <v>525</v>
      </c>
    </row>
    <row r="53" spans="1:1">
      <c r="A53" s="1" t="s">
        <v>526</v>
      </c>
    </row>
    <row r="54" spans="1:1">
      <c r="A54" s="1" t="s">
        <v>527</v>
      </c>
    </row>
    <row r="55" spans="1:1">
      <c r="A55" s="1" t="s">
        <v>528</v>
      </c>
    </row>
    <row r="80" spans="1:1">
      <c r="A80" t="s">
        <v>529</v>
      </c>
    </row>
    <row r="82" spans="1:2">
      <c r="A82" t="s">
        <v>530</v>
      </c>
      <c r="B82">
        <f ca="1">IFERROR('Advanced Setup Planner'!EB18,"")</f>
        <v>0.66666666666666663</v>
      </c>
    </row>
    <row r="83" spans="1:2">
      <c r="A83" t="s">
        <v>531</v>
      </c>
      <c r="B83" t="str">
        <f ca="1">IFERROR(IF(B82="","",IF(B82&gt;=0.8,"A",IF(B82&gt;=0.65,"B",IF(B82&gt;=0.5,"C","D")))),"")</f>
        <v>B</v>
      </c>
    </row>
    <row r="84" spans="1:2">
      <c r="A84" t="s">
        <v>532</v>
      </c>
      <c r="B84" t="str">
        <f ca="1">IFERROR(IF(B83="","",IF(B83="A","High quality: ok to execute if plan rules are met.",IF(B83="B","Tradable but selective: wait for confirmation / smaller size.",IF(B83="C","Weak: wait for better location or stronger confirmation.","Avoid: observation only.")))),"")</f>
        <v>Tradable but selective: wait for confirmation / smaller size.</v>
      </c>
    </row>
    <row r="86" spans="1:2">
      <c r="A86" t="s">
        <v>533</v>
      </c>
      <c r="B86">
        <f>IF(OR(Backend!Z211="",Backend!Z212=""),"",Backend!Z211-Backend!Z212)</f>
        <v>2.37</v>
      </c>
    </row>
    <row r="87" spans="1:2">
      <c r="A87" t="s">
        <v>534</v>
      </c>
      <c r="B87" t="str">
        <f ca="1">IF(Backend!B346="","",Backend!B346)</f>
        <v/>
      </c>
    </row>
    <row r="88" spans="1:2">
      <c r="A88" t="s">
        <v>535</v>
      </c>
      <c r="B88" t="str">
        <f ca="1">IF(Backend!B347="","",Backend!B347)</f>
        <v/>
      </c>
    </row>
    <row r="89" spans="1:2">
      <c r="A89" t="s">
        <v>536</v>
      </c>
      <c r="B89" t="str">
        <f ca="1">IF(B88="","",B88*25)</f>
        <v/>
      </c>
    </row>
    <row r="90" spans="1:2">
      <c r="A90" t="s">
        <v>537</v>
      </c>
      <c r="B90" t="str">
        <f>IF(B86="","",IF(B86&gt;0,"USD advantage now","EUR advantage now"))</f>
        <v>USD advantage now</v>
      </c>
    </row>
    <row r="91" spans="1:2">
      <c r="A91" t="s">
        <v>538</v>
      </c>
      <c r="B91" t="str">
        <f ca="1">IF(B88="","",IF(B88&lt;0,"USD advantage shrinking over ~6M","USD advantage widening over ~6M"))</f>
        <v/>
      </c>
    </row>
    <row r="93" spans="1:2">
      <c r="A93" t="s">
        <v>539</v>
      </c>
      <c r="B93" t="str">
        <f>IF(Backend!B349="","",IF(Backend!B349&gt;=0.25,"hawkish",IF(Backend!B349&lt;=-0.25,"dovish","neutral"))&amp;" (daily "&amp;TEXT(Backend!B349,"0.00")&amp;")")</f>
        <v>neutral (daily -0.08)</v>
      </c>
    </row>
    <row r="94" spans="1:2">
      <c r="A94" t="s">
        <v>540</v>
      </c>
      <c r="B94" t="str">
        <f>IF(Backend!B351="","",IF(Backend!B351&gt;=0.25,"hawkish",IF(Backend!B351&lt;=-0.25,"dovish","neutral"))&amp;" (daily "&amp;TEXT(Backend!B351,"0.00")&amp;")")</f>
        <v>hawkish (daily 0.25)</v>
      </c>
    </row>
    <row r="95" spans="1:2">
      <c r="B95" t="str">
        <f ca="1">IF(Backend!B350="","",IF(Backend!B350&gt;=0.25,"hawkish",IF(Backend!B350&lt;=-0.25,"dovish","neutral"))&amp;" (30d "&amp;TEXT(Backend!B350,"0.00")&amp;")")</f>
        <v/>
      </c>
    </row>
    <row r="96" spans="1:2">
      <c r="B96" t="str">
        <f ca="1">IF(Backend!B352="","",IF(Backend!B352&gt;=0.25,"hawkish",IF(Backend!B352&lt;=-0.25,"dovish","neutral"))&amp;" (30d "&amp;TEXT(Backend!B352,"0.00")&amp;")")</f>
        <v/>
      </c>
    </row>
    <row r="97" spans="1:4">
      <c r="B97" t="str">
        <f ca="1">IFERROR(IF(Backend!B338="Buy dips","LONG",IF(Backend!B338="Sell rallies","SHORT","NEUTRAL")),"")</f>
        <v>LONG</v>
      </c>
    </row>
    <row r="98" spans="1:4">
      <c r="A98" t="s">
        <v>187</v>
      </c>
      <c r="B98">
        <f>'Advanced Setup Planner'!B5</f>
        <v>1.155</v>
      </c>
    </row>
    <row r="99" spans="1:4">
      <c r="B99" t="str">
        <f ca="1">IFERROR(IF(OR(B97="NEUTRAL",B98=""),"",IF(B97=B98,"Aligned: macro "&amp;Backend!B338&amp;" matches technical "&amp;B98,"Misaligned: macro "&amp;Backend!B338&amp;" vs technical "&amp;B98)),"")</f>
        <v>Misaligned: macro Buy dips vs technical 1.155</v>
      </c>
    </row>
    <row r="100" spans="1:4">
      <c r="A100" t="s">
        <v>541</v>
      </c>
      <c r="B100" t="str">
        <f>IF('Advanced Setup Planner'!K5="","",'Advanced Setup Planner'!K5)</f>
        <v/>
      </c>
      <c r="C100">
        <f>IFERROR(IF(B100="",1E+99,ABS(B100-B98)),"")</f>
        <v>9.9999999999999997E+98</v>
      </c>
      <c r="D100" t="str">
        <f>IF('Advanced Setup Planner'!K6="","",'Advanced Setup Planner'!K6)</f>
        <v/>
      </c>
    </row>
    <row r="101" spans="1:4">
      <c r="A101" t="s">
        <v>542</v>
      </c>
      <c r="B101" t="str">
        <f>IF('Advanced Setup Planner'!K7="","",'Advanced Setup Planner'!K7)</f>
        <v/>
      </c>
      <c r="C101">
        <f>IFERROR(IF(B101="",1E+99,ABS(B101-B98)),"")</f>
        <v>9.9999999999999997E+98</v>
      </c>
      <c r="D101" t="str">
        <f>IF('Advanced Setup Planner'!K8="","",'Advanced Setup Planner'!K8)</f>
        <v/>
      </c>
    </row>
    <row r="102" spans="1:4">
      <c r="A102" t="s">
        <v>543</v>
      </c>
      <c r="B102" t="str">
        <f>IF('Advanced Setup Planner'!K9="","",'Advanced Setup Planner'!K9)</f>
        <v/>
      </c>
      <c r="C102">
        <f>IFERROR(IF(B102="",1E+99,ABS(B102-B98)),"")</f>
        <v>9.9999999999999997E+98</v>
      </c>
      <c r="D102" t="str">
        <f>IF('Advanced Setup Planner'!K10="","",'Advanced Setup Planner'!K10)</f>
        <v/>
      </c>
    </row>
    <row r="103" spans="1:4">
      <c r="A103" t="s">
        <v>544</v>
      </c>
      <c r="B103" t="str">
        <f>IF('Advanced Setup Planner'!K11="","",'Advanced Setup Planner'!K11)</f>
        <v/>
      </c>
      <c r="C103">
        <f>IFERROR(IF(B103="",1E+99,ABS(B103-B98)),"")</f>
        <v>9.9999999999999997E+98</v>
      </c>
      <c r="D103" t="str">
        <f>IF('Advanced Setup Planner'!K12="","",'Advanced Setup Planner'!K12)</f>
        <v/>
      </c>
    </row>
    <row r="105" spans="1:4">
      <c r="A105" t="s">
        <v>545</v>
      </c>
      <c r="B105" t="str">
        <f>IFERROR(INDEX(B100:B103,MATCH(MIN(C100:C103),C100:C103,0)),"")</f>
        <v/>
      </c>
    </row>
    <row r="106" spans="1:4">
      <c r="A106" t="s">
        <v>546</v>
      </c>
      <c r="B106" t="str">
        <f>IF(B105="","",INDEX(D100:D103,MATCH(B105,B100:B103,0)))</f>
        <v/>
      </c>
    </row>
    <row r="107" spans="1:4">
      <c r="A107" t="s">
        <v>547</v>
      </c>
      <c r="B107" t="str">
        <f>IF(B105="","",ABS(B105-B98)*10000)</f>
        <v/>
      </c>
    </row>
    <row r="108" spans="1:4">
      <c r="A108" t="s">
        <v>548</v>
      </c>
      <c r="B108" t="str">
        <f>IF(B105="","",IF(B107&lt;=15,"Options magnet nearby: strike "&amp;TEXT(B105,"0.0000")&amp;" (~"&amp;TEXT(B107,"0")&amp;" pips, size "&amp;TEXT(B106,"0.00")&amp;"bn).","Options strikes not near price (nearest "&amp;TEXT(B105,"0.0000")&amp;", ~"&amp;TEXT(B107,"0")&amp;" pips)."))</f>
        <v/>
      </c>
    </row>
    <row r="110" spans="1:4">
      <c r="A110" t="s">
        <v>549</v>
      </c>
      <c r="B110" t="str">
        <f ca="1">IFERROR(IF('Advanced Setup Planner'!B5="","","1) Macro bias: "&amp;Backend!B338&amp;". "&amp;IF(B86="","","Rate gap NOW "&amp;TEXT(B86,"0.00")&amp;" ("&amp;B90&amp;"). ")&amp;IF(B88="","","Expected 6M change "&amp;TEXT(B88,"0")&amp;" steps ("&amp;TEXT(B89,"0")&amp;"bp) — "&amp;B91&amp;". ")&amp;"2) Yields: "&amp;Backend!B356&amp;". "&amp;"3) Speakers: Fed "&amp;IF(B93&lt;&gt;"",B93&amp;", ","")&amp;IF(B95&lt;&gt;"",B95,"")&amp;"; ECB "&amp;IF(B94&lt;&gt;"",B94&amp;", ","")&amp;IF(B96&lt;&gt;"",B96,"")&amp;". "&amp;IF(B108="","",B108)),"")</f>
        <v xml:space="preserve">1) Macro bias: Buy dips. Rate gap NOW 2.37 (USD advantage now). 2) Yields: US yields: 2Y 3.50% (-2bp 1d) — 2Y falling → easier Fed priced → USD headwind. Curve (2s10s): 1bp — Curve normal → growth ok. 3) Speakers: Fed neutral (daily -0.08), ; ECB hawkish (daily 0.25), . </v>
      </c>
    </row>
    <row r="112" spans="1:4">
      <c r="A112" t="s">
        <v>550</v>
      </c>
      <c r="B112" t="str">
        <f ca="1">IFERROR(IF('Advanced Setup Planner'!B5="","",IF(B99="","",B99&amp;" — ")&amp;IF(Backend!B338="Buy dips","Action: prefer LONG pullbacks into support (Primary/Value). Avoid chasing highs. ",IF(Backend!B338="Sell rallies","Action: prefer SHORT rallies into resistance (CT/Primary-short). Avoid selling lows. ","Action: macro neutral — lean on structure/levels, trade smaller."))&amp;IF(OR(B97="NEUTRAL",B98=""),"",IF(B97&lt;&gt;B98," Reduce size; demand stronger confirmation (e.g., BOS/CHOCH + rejection/acceptance).",""))),"")</f>
        <v>Misaligned: macro Buy dips vs technical 1.155 — Action: prefer LONG pullbacks into support (Primary/Value). Avoid chasing highs.  Reduce size; demand stronger confirmation (e.g., BOS/CHOCH + rejection/acceptance).</v>
      </c>
    </row>
    <row r="114" spans="1:2">
      <c r="A114" t="s">
        <v>551</v>
      </c>
      <c r="B114" t="str">
        <f>"Steps = 25bp moves (quarter‑point). Example: -4 steps ≈ -100bp of USD-vs-EUR advantage compressing over ~6 months."</f>
        <v>Steps = 25bp moves (quarter‑point). Example: -4 steps ≈ -100bp of USD-vs-EUR advantage compressing over ~6 months.</v>
      </c>
    </row>
    <row r="130" spans="1:16">
      <c r="A130" t="s">
        <v>159</v>
      </c>
      <c r="B130" t="s">
        <v>552</v>
      </c>
      <c r="C130" t="s">
        <v>553</v>
      </c>
      <c r="D130" t="s">
        <v>315</v>
      </c>
      <c r="E130" t="s">
        <v>554</v>
      </c>
      <c r="F130" t="s">
        <v>555</v>
      </c>
      <c r="G130" t="s">
        <v>556</v>
      </c>
      <c r="H130" t="s">
        <v>557</v>
      </c>
      <c r="I130" t="s">
        <v>169</v>
      </c>
      <c r="J130" t="s">
        <v>558</v>
      </c>
      <c r="L130" t="s">
        <v>559</v>
      </c>
      <c r="M130">
        <v>1</v>
      </c>
      <c r="P130" t="s">
        <v>560</v>
      </c>
    </row>
    <row r="131" spans="1:16">
      <c r="A131" s="2">
        <v>45959</v>
      </c>
      <c r="B131" t="s">
        <v>560</v>
      </c>
      <c r="C131" t="s">
        <v>528</v>
      </c>
      <c r="G131" t="s">
        <v>486</v>
      </c>
      <c r="H131">
        <f t="shared" ref="H131:H163" si="0">IF(G131="","",VLOOKUP(G131,$L$130:$M$132,2,FALSE))</f>
        <v>0</v>
      </c>
      <c r="L131" t="s">
        <v>486</v>
      </c>
      <c r="M131">
        <v>0</v>
      </c>
      <c r="P131" t="s">
        <v>561</v>
      </c>
    </row>
    <row r="132" spans="1:16">
      <c r="A132" s="2">
        <v>45967</v>
      </c>
      <c r="B132" t="s">
        <v>560</v>
      </c>
      <c r="C132" t="s">
        <v>518</v>
      </c>
      <c r="G132" t="s">
        <v>559</v>
      </c>
      <c r="H132">
        <f t="shared" si="0"/>
        <v>1</v>
      </c>
      <c r="L132" t="s">
        <v>562</v>
      </c>
      <c r="M132">
        <v>-1</v>
      </c>
      <c r="P132" t="s">
        <v>563</v>
      </c>
    </row>
    <row r="133" spans="1:16">
      <c r="A133" s="2">
        <v>45967</v>
      </c>
      <c r="B133" t="s">
        <v>560</v>
      </c>
      <c r="C133" t="s">
        <v>519</v>
      </c>
      <c r="G133" t="s">
        <v>559</v>
      </c>
      <c r="H133">
        <f t="shared" si="0"/>
        <v>1</v>
      </c>
    </row>
    <row r="134" spans="1:16">
      <c r="A134" s="2">
        <v>45971</v>
      </c>
      <c r="B134" t="s">
        <v>560</v>
      </c>
      <c r="C134" t="s">
        <v>516</v>
      </c>
      <c r="G134" t="s">
        <v>559</v>
      </c>
      <c r="H134">
        <f t="shared" si="0"/>
        <v>1</v>
      </c>
    </row>
    <row r="135" spans="1:16">
      <c r="A135" s="2">
        <v>45971</v>
      </c>
      <c r="B135" t="s">
        <v>560</v>
      </c>
      <c r="C135" t="s">
        <v>524</v>
      </c>
      <c r="G135" t="s">
        <v>562</v>
      </c>
      <c r="H135">
        <f t="shared" si="0"/>
        <v>-1</v>
      </c>
    </row>
    <row r="136" spans="1:16">
      <c r="A136" s="2">
        <v>45974</v>
      </c>
      <c r="B136" t="s">
        <v>560</v>
      </c>
      <c r="C136" t="s">
        <v>520</v>
      </c>
      <c r="G136" t="s">
        <v>486</v>
      </c>
      <c r="H136">
        <f t="shared" si="0"/>
        <v>0</v>
      </c>
    </row>
    <row r="137" spans="1:16">
      <c r="A137" s="2">
        <v>45979</v>
      </c>
      <c r="B137" t="s">
        <v>560</v>
      </c>
      <c r="C137" t="s">
        <v>522</v>
      </c>
      <c r="G137" t="s">
        <v>486</v>
      </c>
      <c r="H137">
        <f t="shared" si="0"/>
        <v>0</v>
      </c>
    </row>
    <row r="138" spans="1:16">
      <c r="A138" s="2">
        <v>45982</v>
      </c>
      <c r="B138" t="s">
        <v>560</v>
      </c>
      <c r="C138" t="s">
        <v>517</v>
      </c>
      <c r="G138" t="s">
        <v>559</v>
      </c>
      <c r="H138">
        <f t="shared" si="0"/>
        <v>1</v>
      </c>
    </row>
    <row r="139" spans="1:16">
      <c r="A139" s="2">
        <v>45982</v>
      </c>
      <c r="B139" t="s">
        <v>560</v>
      </c>
      <c r="C139" t="s">
        <v>523</v>
      </c>
      <c r="G139" t="s">
        <v>559</v>
      </c>
      <c r="H139">
        <f t="shared" si="0"/>
        <v>1</v>
      </c>
    </row>
    <row r="140" spans="1:16">
      <c r="A140" s="2">
        <v>45982</v>
      </c>
      <c r="B140" t="s">
        <v>560</v>
      </c>
      <c r="C140" t="s">
        <v>526</v>
      </c>
      <c r="G140" t="s">
        <v>562</v>
      </c>
      <c r="H140">
        <f t="shared" si="0"/>
        <v>-1</v>
      </c>
    </row>
    <row r="141" spans="1:16">
      <c r="A141" s="2">
        <v>45982</v>
      </c>
      <c r="B141" t="s">
        <v>560</v>
      </c>
      <c r="C141" t="s">
        <v>527</v>
      </c>
      <c r="G141" t="s">
        <v>562</v>
      </c>
      <c r="H141">
        <f t="shared" si="0"/>
        <v>-1</v>
      </c>
    </row>
    <row r="142" spans="1:16">
      <c r="A142" s="2">
        <v>45985</v>
      </c>
      <c r="B142" t="s">
        <v>560</v>
      </c>
      <c r="C142" t="s">
        <v>525</v>
      </c>
      <c r="G142" t="s">
        <v>562</v>
      </c>
      <c r="H142">
        <f t="shared" si="0"/>
        <v>-1</v>
      </c>
    </row>
    <row r="143" spans="1:16">
      <c r="A143" s="2">
        <v>45999</v>
      </c>
      <c r="B143" t="s">
        <v>563</v>
      </c>
      <c r="C143" t="s">
        <v>508</v>
      </c>
      <c r="G143" t="s">
        <v>559</v>
      </c>
      <c r="H143">
        <f t="shared" si="0"/>
        <v>1</v>
      </c>
    </row>
    <row r="144" spans="1:16">
      <c r="A144" s="2">
        <v>45999</v>
      </c>
      <c r="B144" t="s">
        <v>563</v>
      </c>
      <c r="C144" t="s">
        <v>509</v>
      </c>
      <c r="G144" t="s">
        <v>562</v>
      </c>
      <c r="H144">
        <f t="shared" si="0"/>
        <v>-1</v>
      </c>
    </row>
    <row r="145" spans="1:8">
      <c r="A145" s="2">
        <v>45999</v>
      </c>
      <c r="B145" t="s">
        <v>563</v>
      </c>
      <c r="C145" t="s">
        <v>515</v>
      </c>
      <c r="G145" t="s">
        <v>559</v>
      </c>
      <c r="H145">
        <f t="shared" si="0"/>
        <v>1</v>
      </c>
    </row>
    <row r="146" spans="1:8">
      <c r="A146" s="2">
        <v>46000</v>
      </c>
      <c r="B146" t="s">
        <v>563</v>
      </c>
      <c r="C146" t="s">
        <v>510</v>
      </c>
      <c r="G146" t="s">
        <v>559</v>
      </c>
      <c r="H146">
        <f t="shared" si="0"/>
        <v>1</v>
      </c>
    </row>
    <row r="147" spans="1:8">
      <c r="A147" s="2">
        <v>46001</v>
      </c>
      <c r="B147" t="s">
        <v>563</v>
      </c>
      <c r="C147" t="s">
        <v>511</v>
      </c>
      <c r="G147" t="s">
        <v>559</v>
      </c>
      <c r="H147">
        <f t="shared" si="0"/>
        <v>1</v>
      </c>
    </row>
    <row r="148" spans="1:8">
      <c r="A148" s="2">
        <v>46001</v>
      </c>
      <c r="B148" t="s">
        <v>563</v>
      </c>
      <c r="C148" t="s">
        <v>512</v>
      </c>
      <c r="G148" t="s">
        <v>486</v>
      </c>
      <c r="H148">
        <f t="shared" si="0"/>
        <v>0</v>
      </c>
    </row>
    <row r="149" spans="1:8">
      <c r="A149" s="2">
        <v>46001</v>
      </c>
      <c r="B149" t="s">
        <v>563</v>
      </c>
      <c r="C149" t="s">
        <v>514</v>
      </c>
      <c r="G149" t="s">
        <v>486</v>
      </c>
      <c r="H149">
        <f t="shared" si="0"/>
        <v>0</v>
      </c>
    </row>
    <row r="150" spans="1:8">
      <c r="A150" s="2">
        <v>46001</v>
      </c>
      <c r="B150" t="s">
        <v>563</v>
      </c>
      <c r="C150" t="s">
        <v>513</v>
      </c>
      <c r="G150" t="s">
        <v>486</v>
      </c>
      <c r="H150">
        <f t="shared" si="0"/>
        <v>0</v>
      </c>
    </row>
    <row r="151" spans="1:8">
      <c r="A151" s="2">
        <v>46003</v>
      </c>
      <c r="B151" t="s">
        <v>560</v>
      </c>
      <c r="C151" t="s">
        <v>521</v>
      </c>
      <c r="G151" t="s">
        <v>562</v>
      </c>
      <c r="H151">
        <f t="shared" si="0"/>
        <v>-1</v>
      </c>
    </row>
    <row r="152" spans="1:8">
      <c r="A152" s="2">
        <v>46003</v>
      </c>
      <c r="B152" t="s">
        <v>560</v>
      </c>
      <c r="C152" t="s">
        <v>519</v>
      </c>
      <c r="G152" t="s">
        <v>559</v>
      </c>
      <c r="H152">
        <f t="shared" si="0"/>
        <v>1</v>
      </c>
    </row>
    <row r="153" spans="1:8">
      <c r="A153" s="2">
        <v>46003</v>
      </c>
      <c r="B153" t="s">
        <v>560</v>
      </c>
      <c r="C153" t="s">
        <v>526</v>
      </c>
      <c r="G153" t="s">
        <v>562</v>
      </c>
      <c r="H153">
        <f t="shared" si="0"/>
        <v>-1</v>
      </c>
    </row>
    <row r="154" spans="1:8">
      <c r="A154" s="2">
        <v>46003</v>
      </c>
      <c r="B154" t="s">
        <v>560</v>
      </c>
      <c r="C154" t="s">
        <v>518</v>
      </c>
      <c r="G154" t="s">
        <v>486</v>
      </c>
      <c r="H154">
        <f t="shared" si="0"/>
        <v>0</v>
      </c>
    </row>
    <row r="155" spans="1:8">
      <c r="A155" s="2">
        <v>46006</v>
      </c>
      <c r="B155" t="s">
        <v>560</v>
      </c>
      <c r="C155" t="s">
        <v>524</v>
      </c>
      <c r="G155" t="s">
        <v>562</v>
      </c>
      <c r="H155">
        <f t="shared" si="0"/>
        <v>-1</v>
      </c>
    </row>
    <row r="156" spans="1:8">
      <c r="A156" s="2">
        <v>46006</v>
      </c>
      <c r="B156" t="s">
        <v>560</v>
      </c>
      <c r="C156" t="s">
        <v>527</v>
      </c>
      <c r="G156" t="s">
        <v>486</v>
      </c>
      <c r="H156">
        <f t="shared" si="0"/>
        <v>0</v>
      </c>
    </row>
    <row r="157" spans="1:8">
      <c r="A157" s="2">
        <v>46006</v>
      </c>
      <c r="B157" t="s">
        <v>560</v>
      </c>
      <c r="C157" t="s">
        <v>523</v>
      </c>
      <c r="G157" t="s">
        <v>486</v>
      </c>
      <c r="H157">
        <f t="shared" si="0"/>
        <v>0</v>
      </c>
    </row>
    <row r="158" spans="1:8">
      <c r="A158" s="2">
        <v>46007</v>
      </c>
      <c r="B158" t="s">
        <v>560</v>
      </c>
      <c r="C158" t="s">
        <v>564</v>
      </c>
      <c r="G158" t="s">
        <v>559</v>
      </c>
      <c r="H158">
        <f t="shared" si="0"/>
        <v>1</v>
      </c>
    </row>
    <row r="159" spans="1:8">
      <c r="A159" s="2">
        <v>46007</v>
      </c>
      <c r="B159" t="s">
        <v>560</v>
      </c>
      <c r="C159" t="s">
        <v>518</v>
      </c>
      <c r="G159" t="s">
        <v>486</v>
      </c>
      <c r="H159">
        <f t="shared" si="0"/>
        <v>0</v>
      </c>
    </row>
    <row r="160" spans="1:8">
      <c r="A160" s="2">
        <v>46008</v>
      </c>
      <c r="B160" t="s">
        <v>560</v>
      </c>
      <c r="C160" t="s">
        <v>525</v>
      </c>
      <c r="G160" t="s">
        <v>562</v>
      </c>
      <c r="H160">
        <f t="shared" si="0"/>
        <v>-1</v>
      </c>
    </row>
    <row r="161" spans="1:8">
      <c r="A161" s="2">
        <v>46008</v>
      </c>
      <c r="B161" t="s">
        <v>560</v>
      </c>
      <c r="C161" t="s">
        <v>527</v>
      </c>
      <c r="G161" t="s">
        <v>486</v>
      </c>
      <c r="H161">
        <f t="shared" si="0"/>
        <v>0</v>
      </c>
    </row>
    <row r="162" spans="1:8">
      <c r="A162" s="2">
        <v>46008</v>
      </c>
      <c r="B162" t="s">
        <v>560</v>
      </c>
      <c r="C162" t="s">
        <v>564</v>
      </c>
      <c r="G162" t="s">
        <v>559</v>
      </c>
      <c r="H162">
        <f t="shared" si="0"/>
        <v>1</v>
      </c>
    </row>
    <row r="163" spans="1:8">
      <c r="A163" s="2">
        <v>46008</v>
      </c>
      <c r="B163" t="s">
        <v>561</v>
      </c>
      <c r="C163" t="s">
        <v>565</v>
      </c>
      <c r="G163" t="s">
        <v>559</v>
      </c>
      <c r="H163">
        <f t="shared" si="0"/>
        <v>1</v>
      </c>
    </row>
    <row r="180" spans="1:15">
      <c r="A180" t="s">
        <v>159</v>
      </c>
      <c r="B180" t="s">
        <v>566</v>
      </c>
      <c r="C180" t="s">
        <v>567</v>
      </c>
      <c r="D180" t="s">
        <v>568</v>
      </c>
      <c r="E180" t="s">
        <v>569</v>
      </c>
      <c r="F180" t="s">
        <v>570</v>
      </c>
      <c r="G180" t="s">
        <v>571</v>
      </c>
      <c r="H180" t="s">
        <v>572</v>
      </c>
      <c r="I180" t="s">
        <v>573</v>
      </c>
      <c r="J180" t="s">
        <v>574</v>
      </c>
      <c r="O180" s="3"/>
    </row>
    <row r="181" spans="1:15">
      <c r="A181" s="4">
        <v>46050</v>
      </c>
      <c r="B181" t="s">
        <v>575</v>
      </c>
      <c r="C181">
        <v>3.625</v>
      </c>
      <c r="D181" s="5">
        <v>0.75600000000000001</v>
      </c>
      <c r="E181" s="6">
        <v>3.875</v>
      </c>
      <c r="F181" s="5">
        <v>0</v>
      </c>
      <c r="G181">
        <v>3.375</v>
      </c>
      <c r="H181" s="5">
        <v>0.24399999999999999</v>
      </c>
      <c r="I181" s="6">
        <f t="shared" ref="I181:I191" si="1">IF(B181="","",IF(SUM(D181,F181,H181)=0,"",(C181*D181+E181*F181+G181*H181)/SUM(D181,F181,H181)))</f>
        <v>3.5640000000000001</v>
      </c>
      <c r="J181" s="7">
        <f>IF(I181="","",ROUND((IF(B181="US",Backend!$Z$211,IF(B181="ECB",Backend!$Z$212,""))-I181)/0.25,0))</f>
        <v>3</v>
      </c>
      <c r="L181" s="5"/>
      <c r="M181" s="5"/>
    </row>
    <row r="182" spans="1:15">
      <c r="A182" s="4">
        <v>46082</v>
      </c>
      <c r="B182" t="s">
        <v>575</v>
      </c>
      <c r="C182">
        <v>3.625</v>
      </c>
      <c r="D182" s="5">
        <v>0.505</v>
      </c>
      <c r="E182" s="6">
        <v>3.875</v>
      </c>
      <c r="F182" s="5">
        <v>0</v>
      </c>
      <c r="G182">
        <v>3.375</v>
      </c>
      <c r="H182" s="5">
        <v>0.41399999999999998</v>
      </c>
      <c r="I182" s="6">
        <f t="shared" si="1"/>
        <v>3.5123775843307943</v>
      </c>
      <c r="J182" s="7">
        <f>IF(I182="","",ROUND((IF(B182="US",Backend!$Z$211,IF(B182="ECB",Backend!$Z$212,""))-I182)/0.25,0))</f>
        <v>3</v>
      </c>
      <c r="L182" s="5"/>
      <c r="M182" s="5"/>
    </row>
    <row r="183" spans="1:15">
      <c r="A183" s="4">
        <v>46141</v>
      </c>
      <c r="B183" t="s">
        <v>575</v>
      </c>
      <c r="C183">
        <v>3.625</v>
      </c>
      <c r="D183" s="5">
        <v>0.39</v>
      </c>
      <c r="E183" s="6">
        <v>3.875</v>
      </c>
      <c r="F183" s="5">
        <v>0</v>
      </c>
      <c r="G183">
        <v>3.375</v>
      </c>
      <c r="H183" s="5">
        <v>0.157</v>
      </c>
      <c r="I183" s="6">
        <f t="shared" si="1"/>
        <v>3.553244972577696</v>
      </c>
      <c r="J183" s="7">
        <f>IF(I183="","",ROUND((IF(B183="US",Backend!$Z$211,IF(B183="ECB",Backend!$Z$212,""))-I183)/0.25,0))</f>
        <v>3</v>
      </c>
    </row>
    <row r="184" spans="1:15">
      <c r="A184" s="4">
        <v>46190</v>
      </c>
      <c r="B184" t="s">
        <v>575</v>
      </c>
      <c r="C184">
        <v>3.625</v>
      </c>
      <c r="D184" s="5">
        <v>0.186</v>
      </c>
      <c r="E184" s="6">
        <v>3.875</v>
      </c>
      <c r="F184" s="5">
        <v>0</v>
      </c>
      <c r="G184">
        <v>3.375</v>
      </c>
      <c r="H184" s="5">
        <v>0.39</v>
      </c>
      <c r="I184" s="6">
        <f t="shared" si="1"/>
        <v>3.4557291666666665</v>
      </c>
      <c r="J184" s="7">
        <f>IF(I184="","",ROUND((IF(B184="US",Backend!$Z$211,IF(B184="ECB",Backend!$Z$212,""))-I184)/0.25,0))</f>
        <v>4</v>
      </c>
    </row>
    <row r="185" spans="1:15">
      <c r="A185" s="4">
        <v>46232</v>
      </c>
      <c r="B185" t="s">
        <v>575</v>
      </c>
      <c r="C185">
        <v>3.625</v>
      </c>
      <c r="D185" s="5">
        <v>0.13500000000000001</v>
      </c>
      <c r="E185" s="6">
        <v>3.875</v>
      </c>
      <c r="F185" s="5">
        <v>0</v>
      </c>
      <c r="G185">
        <v>3.375</v>
      </c>
      <c r="H185" s="5">
        <v>0.35499999999999998</v>
      </c>
      <c r="I185" s="6">
        <f t="shared" si="1"/>
        <v>3.443877551020408</v>
      </c>
      <c r="J185" s="7">
        <f>IF(I185="","",ROUND((IF(B185="US",Backend!$Z$211,IF(B185="ECB",Backend!$Z$212,""))-I185)/0.25,0))</f>
        <v>4</v>
      </c>
    </row>
    <row r="186" spans="1:15">
      <c r="A186" s="4">
        <v>46056</v>
      </c>
      <c r="B186" t="s">
        <v>563</v>
      </c>
      <c r="C186">
        <v>1.75</v>
      </c>
      <c r="D186" s="5">
        <v>0</v>
      </c>
      <c r="E186" s="6">
        <v>2</v>
      </c>
      <c r="F186" s="5">
        <v>0.84699999999999998</v>
      </c>
      <c r="G186">
        <v>2.25</v>
      </c>
      <c r="H186" s="5">
        <v>1.7999999999999999E-2</v>
      </c>
      <c r="I186" s="6">
        <f t="shared" si="1"/>
        <v>2.0052023121387283</v>
      </c>
      <c r="J186" s="7">
        <f>IF(I186="","",ROUND((IF(B186="US",Backend!$Z$211,IF(B186="ECB",Backend!$Z$212,""))-I186)/0.25,0))</f>
        <v>0</v>
      </c>
    </row>
    <row r="187" spans="1:15">
      <c r="A187" s="4">
        <v>46098</v>
      </c>
      <c r="B187" t="s">
        <v>563</v>
      </c>
      <c r="C187">
        <v>1.75</v>
      </c>
      <c r="D187" s="5">
        <v>0.24299999999999999</v>
      </c>
      <c r="E187" s="6">
        <v>2</v>
      </c>
      <c r="F187" s="5">
        <v>0.72099999999999997</v>
      </c>
      <c r="G187">
        <v>2.25</v>
      </c>
      <c r="H187" s="5">
        <v>1.6E-2</v>
      </c>
      <c r="I187" s="6">
        <f t="shared" si="1"/>
        <v>1.9420918367346938</v>
      </c>
      <c r="J187" s="7">
        <f>IF(I187="","",ROUND((IF(B187="US",Backend!$Z$211,IF(B187="ECB",Backend!$Z$212,""))-I187)/0.25,0))</f>
        <v>0</v>
      </c>
    </row>
    <row r="188" spans="1:15">
      <c r="A188" s="4">
        <v>46140</v>
      </c>
      <c r="B188" t="s">
        <v>563</v>
      </c>
      <c r="C188">
        <v>1.75</v>
      </c>
      <c r="D188" s="5">
        <v>0.28799999999999998</v>
      </c>
      <c r="E188" s="6">
        <v>2</v>
      </c>
      <c r="F188" s="5">
        <v>0.65500000000000003</v>
      </c>
      <c r="G188">
        <v>2.25</v>
      </c>
      <c r="H188" s="5">
        <v>1.4E-2</v>
      </c>
      <c r="I188" s="6">
        <f t="shared" si="1"/>
        <v>1.9284221525600835</v>
      </c>
      <c r="J188" s="7">
        <f>IF(I188="","",ROUND((IF(B188="US",Backend!$Z$211,IF(B188="ECB",Backend!$Z$212,""))-I188)/0.25,0))</f>
        <v>0</v>
      </c>
    </row>
    <row r="189" spans="1:15">
      <c r="A189" s="4">
        <v>46182</v>
      </c>
      <c r="B189" t="s">
        <v>563</v>
      </c>
      <c r="C189">
        <v>1.75</v>
      </c>
      <c r="D189" s="5">
        <v>0.30399999999999999</v>
      </c>
      <c r="E189" s="6">
        <v>2</v>
      </c>
      <c r="F189" s="5">
        <v>0.627</v>
      </c>
      <c r="G189">
        <v>2.25</v>
      </c>
      <c r="H189" s="5">
        <v>1.4E-2</v>
      </c>
      <c r="I189" s="6">
        <f t="shared" si="1"/>
        <v>1.9232804232804233</v>
      </c>
      <c r="J189" s="7">
        <f>IF(I189="","",ROUND((IF(B189="US",Backend!$Z$211,IF(B189="ECB",Backend!$Z$212,""))-I189)/0.25,0))</f>
        <v>0</v>
      </c>
    </row>
    <row r="190" spans="1:15">
      <c r="A190" s="4">
        <v>46224</v>
      </c>
      <c r="B190" t="s">
        <v>563</v>
      </c>
      <c r="C190">
        <v>1.75</v>
      </c>
      <c r="D190" s="5">
        <v>0.31</v>
      </c>
      <c r="E190" s="6">
        <v>2</v>
      </c>
      <c r="F190" s="5">
        <v>0.61399999999999999</v>
      </c>
      <c r="G190">
        <v>2.25</v>
      </c>
      <c r="H190" s="5">
        <v>1.2999999999999999E-2</v>
      </c>
      <c r="I190" s="6">
        <f t="shared" si="1"/>
        <v>1.9207577374599787</v>
      </c>
      <c r="J190" s="7">
        <f>IF(I190="","",ROUND((IF(B190="US",Backend!$Z$211,IF(B190="ECB",Backend!$Z$212,""))-I190)/0.25,0))</f>
        <v>0</v>
      </c>
    </row>
    <row r="191" spans="1:15">
      <c r="A191" s="4">
        <v>46274</v>
      </c>
      <c r="B191" t="s">
        <v>563</v>
      </c>
      <c r="C191">
        <v>1.75</v>
      </c>
      <c r="D191" s="5">
        <v>0.312</v>
      </c>
      <c r="E191" s="6">
        <v>2</v>
      </c>
      <c r="F191" s="5">
        <v>0.61199999999999999</v>
      </c>
      <c r="G191">
        <v>2.25</v>
      </c>
      <c r="H191" s="5">
        <v>1.2999999999999999E-2</v>
      </c>
      <c r="I191" s="6">
        <f t="shared" si="1"/>
        <v>1.9202241195304164</v>
      </c>
      <c r="J191" s="7">
        <f>IF(I191="","",ROUND((IF(B191="US",Backend!$Z$211,IF(B191="ECB",Backend!$Z$212,""))-I191)/0.25,0))</f>
        <v>0</v>
      </c>
    </row>
    <row r="210" spans="1:27">
      <c r="A210" t="s">
        <v>159</v>
      </c>
      <c r="B210" t="s">
        <v>576</v>
      </c>
      <c r="C210" t="s">
        <v>554</v>
      </c>
      <c r="D210" s="8" t="s">
        <v>577</v>
      </c>
      <c r="E210" s="8" t="s">
        <v>578</v>
      </c>
      <c r="F210" s="8" t="s">
        <v>579</v>
      </c>
      <c r="G210" s="8" t="s">
        <v>580</v>
      </c>
      <c r="H210" s="8" t="s">
        <v>581</v>
      </c>
      <c r="I210" s="9" t="s">
        <v>582</v>
      </c>
      <c r="J210" s="10" t="s">
        <v>583</v>
      </c>
      <c r="K210" s="11" t="s">
        <v>584</v>
      </c>
      <c r="L210" s="11" t="s">
        <v>585</v>
      </c>
      <c r="N210" s="12" t="s">
        <v>159</v>
      </c>
      <c r="O210" s="12" t="s">
        <v>586</v>
      </c>
      <c r="P210" s="12" t="s">
        <v>477</v>
      </c>
      <c r="Q210" s="12" t="s">
        <v>587</v>
      </c>
      <c r="R210" s="12" t="s">
        <v>588</v>
      </c>
      <c r="S210" s="12" t="s">
        <v>589</v>
      </c>
      <c r="T210" s="12" t="s">
        <v>590</v>
      </c>
      <c r="U210" s="12" t="s">
        <v>591</v>
      </c>
      <c r="V210" s="12" t="s">
        <v>592</v>
      </c>
      <c r="W210" s="12" t="s">
        <v>593</v>
      </c>
      <c r="X210" s="12" t="s">
        <v>594</v>
      </c>
      <c r="Y210" s="12"/>
    </row>
    <row r="211" spans="1:27">
      <c r="A211" s="13">
        <v>45985</v>
      </c>
      <c r="B211" s="14" t="s">
        <v>504</v>
      </c>
      <c r="C211" s="15" t="s">
        <v>595</v>
      </c>
      <c r="D211" s="16">
        <v>88.1</v>
      </c>
      <c r="E211" s="16">
        <v>88.6</v>
      </c>
      <c r="F211" s="17">
        <v>88.4</v>
      </c>
      <c r="G211" s="8">
        <f t="shared" ref="G211:G242" si="2">IF(NOT(ISNUMBER(D211)),"",IF(NOT(ISNUMBER(E211)),"",D211-E211))</f>
        <v>-0.5</v>
      </c>
      <c r="H211" s="8">
        <f t="shared" ref="H211:H242" si="3">IF(NOT(ISNUMBER(D211)),"",IF(NOT(ISNUMBER(F211)),"",D211-F211))</f>
        <v>-0.30000000000001137</v>
      </c>
      <c r="I211" s="8" t="str">
        <f t="shared" ref="I211:I242" si="4">IF(AND(K211="",L211=""),"N/A",IF(AND(ABS(N(K211))&lt;0.0005,ABS(N(L211))&lt;0.0005),"Stable",IF(AND(L211="",ABS(N(K211))&gt;=0.0005),IF(N(K211)&gt;0,"Accelerating","Slowing"),IF(AND(K211="",ABS(N(L211))&gt;=0.0005),IF(N(L211)&gt;0,"Accelerating","Slowing"),IF(AND(N(K211)&gt;0,N(L211)&gt;=0),"Accelerating",IF(AND(N(K211)&lt;0,N(L211)&lt;=0),"Slowing","Mixed"))))))</f>
        <v>Slowing</v>
      </c>
      <c r="J211">
        <f t="shared" ref="J211:J242" si="5">IF(OR(ISNUMBER(SEARCH("Unemployment",C211)),ISNUMBER(SEARCH("Claims",C211)),ISNUMBER(SEARCH("Jobless",C211)),ISNUMBER(SEARCH("Inventories",C211)),ISNUMBER(SEARCH("Wholesale Inventories",C211)),ISNUMBER(SEARCH("JOLTS Job Openings",C211)),ISNUMBER(SEARCH("Inflation Expectations",C211))),-1,1)</f>
        <v>1</v>
      </c>
      <c r="K211">
        <f t="shared" ref="K211:K242" si="6">IF(OR(G211="",G211="(NA)"),"",J211*G211)</f>
        <v>-0.5</v>
      </c>
      <c r="L211">
        <f t="shared" ref="L211:L242" si="7">IF(OR(H211="",H211="(NA)"),"",J211*H211)</f>
        <v>-0.30000000000001137</v>
      </c>
      <c r="N211" s="18">
        <v>46006</v>
      </c>
      <c r="O211" s="12" t="s">
        <v>596</v>
      </c>
      <c r="P211" s="19">
        <v>3.4969999999999999</v>
      </c>
      <c r="Q211" s="19">
        <v>3.5190000000000001</v>
      </c>
      <c r="R211" s="19">
        <v>3.61</v>
      </c>
      <c r="S211" s="19">
        <v>3.6120000000000001</v>
      </c>
      <c r="T211" s="19">
        <f>IF(OR(P211="",Q211=""),"",P211-Q211)</f>
        <v>-2.2000000000000242E-2</v>
      </c>
      <c r="U211" s="19">
        <f>IF(OR(P211="",R211=""),"",P211-R211)</f>
        <v>-0.11299999999999999</v>
      </c>
      <c r="V211" s="19">
        <f>IF(OR(P211="",S211=""),"",P211-S211)</f>
        <v>-0.11500000000000021</v>
      </c>
      <c r="W211" s="12" t="str">
        <f>IF(P211="","",IF(AND(U211&gt;0.03,V211&gt;0),"Rising",IF(AND(U211&lt;-0.03,V211&lt;0),"Falling","Flat")))</f>
        <v>Falling</v>
      </c>
      <c r="X211" s="20">
        <f>IF(W211="","",IFERROR(VLOOKUP(W211,Backend!$D$324:$E$337,2,FALSE)*1,0))</f>
        <v>-1</v>
      </c>
      <c r="Y211" s="20"/>
      <c r="Z211" s="5">
        <f>(3.75+4.99)/2</f>
        <v>4.37</v>
      </c>
      <c r="AA211" t="s">
        <v>597</v>
      </c>
    </row>
    <row r="212" spans="1:27">
      <c r="A212" s="13">
        <v>45986</v>
      </c>
      <c r="B212" s="14" t="s">
        <v>501</v>
      </c>
      <c r="C212" s="15" t="s">
        <v>598</v>
      </c>
      <c r="D212" s="16">
        <v>-13000</v>
      </c>
      <c r="E212" s="21">
        <v>-2500</v>
      </c>
      <c r="F212" s="17"/>
      <c r="G212" s="8">
        <f t="shared" si="2"/>
        <v>-10500</v>
      </c>
      <c r="H212" s="8" t="str">
        <f t="shared" si="3"/>
        <v/>
      </c>
      <c r="I212" s="8" t="str">
        <f t="shared" si="4"/>
        <v>Slowing</v>
      </c>
      <c r="J212">
        <f t="shared" si="5"/>
        <v>1</v>
      </c>
      <c r="K212">
        <f t="shared" si="6"/>
        <v>-10500</v>
      </c>
      <c r="L212" t="str">
        <f t="shared" si="7"/>
        <v/>
      </c>
      <c r="N212" s="18">
        <v>46006</v>
      </c>
      <c r="O212" s="12" t="s">
        <v>599</v>
      </c>
      <c r="P212" s="19">
        <v>3.7189999999999999</v>
      </c>
      <c r="Q212" s="19">
        <v>3.7410000000000001</v>
      </c>
      <c r="R212" s="19">
        <v>3.7829999999999999</v>
      </c>
      <c r="S212" s="19">
        <v>3.7040000000000002</v>
      </c>
      <c r="T212" s="19">
        <f>IF(OR(P212="",Q212=""),"",P212-Q212)</f>
        <v>-2.2000000000000242E-2</v>
      </c>
      <c r="U212" s="19">
        <f>IF(OR(P212="",R212=""),"",P212-R212)</f>
        <v>-6.4000000000000057E-2</v>
      </c>
      <c r="V212" s="19">
        <f>IF(OR(P212="",S212=""),"",P212-S212)</f>
        <v>1.499999999999968E-2</v>
      </c>
      <c r="W212" s="12" t="str">
        <f>IF(P212="","",IF(AND(U212&gt;0.03,V212&gt;0),"Rising",IF(AND(U212&lt;-0.03,V212&lt;0),"Falling","Flat")))</f>
        <v>Flat</v>
      </c>
      <c r="X212" s="20">
        <f>IF(W212="","",IFERROR(VLOOKUP(W212,Backend!$D$324:$E$337,2,FALSE)*1,0))</f>
        <v>0</v>
      </c>
      <c r="Y212" s="20"/>
      <c r="Z212" s="5">
        <v>2</v>
      </c>
      <c r="AA212" t="s">
        <v>600</v>
      </c>
    </row>
    <row r="213" spans="1:27">
      <c r="A213" s="13">
        <v>45986</v>
      </c>
      <c r="B213" s="14" t="s">
        <v>501</v>
      </c>
      <c r="C213" s="15" t="s">
        <v>601</v>
      </c>
      <c r="D213" s="22">
        <v>3.0000000000000001E-3</v>
      </c>
      <c r="E213" s="22">
        <v>3.0000000000000001E-3</v>
      </c>
      <c r="F213" s="22">
        <v>6.0000000000000001E-3</v>
      </c>
      <c r="G213" s="8">
        <f t="shared" si="2"/>
        <v>0</v>
      </c>
      <c r="H213" s="8">
        <f t="shared" si="3"/>
        <v>-3.0000000000000001E-3</v>
      </c>
      <c r="I213" s="8" t="str">
        <f t="shared" si="4"/>
        <v>Mixed</v>
      </c>
      <c r="J213">
        <f t="shared" si="5"/>
        <v>1</v>
      </c>
      <c r="K213">
        <f t="shared" si="6"/>
        <v>0</v>
      </c>
      <c r="L213">
        <f t="shared" si="7"/>
        <v>-3.0000000000000001E-3</v>
      </c>
      <c r="N213" s="18">
        <v>46006</v>
      </c>
      <c r="O213" s="12" t="s">
        <v>602</v>
      </c>
      <c r="P213" s="19">
        <v>4.1680000000000001</v>
      </c>
      <c r="Q213" s="19">
        <v>4.1829999999999998</v>
      </c>
      <c r="R213" s="19">
        <v>4.1879999999999997</v>
      </c>
      <c r="S213" s="19">
        <v>4.1159999999999997</v>
      </c>
      <c r="T213" s="19">
        <f>IF(OR(P213="",Q213=""),"",P213-Q213)</f>
        <v>-1.499999999999968E-2</v>
      </c>
      <c r="U213" s="19">
        <f>IF(OR(P213="",R213=""),"",P213-R213)</f>
        <v>-1.9999999999999574E-2</v>
      </c>
      <c r="V213" s="19">
        <f>IF(OR(P213="",S213=""),"",P213-S213)</f>
        <v>5.200000000000049E-2</v>
      </c>
      <c r="W213" s="12" t="str">
        <f>IF(P213="","",IF(AND(U213&gt;0.03,V213&gt;0),"Rising",IF(AND(U213&lt;-0.03,V213&lt;0),"Falling","Flat")))</f>
        <v>Flat</v>
      </c>
      <c r="X213" s="20">
        <f>IF(W213="","",IFERROR(VLOOKUP(W213,Backend!$D$324:$E$337,2,FALSE)*1,0))</f>
        <v>0</v>
      </c>
      <c r="Y213" s="20"/>
      <c r="Z213" s="5">
        <v>0</v>
      </c>
      <c r="AA213" t="s">
        <v>603</v>
      </c>
    </row>
    <row r="214" spans="1:27">
      <c r="A214" s="13">
        <v>45986</v>
      </c>
      <c r="B214" s="14" t="s">
        <v>501</v>
      </c>
      <c r="C214" s="15" t="s">
        <v>604</v>
      </c>
      <c r="D214" s="22">
        <v>2E-3</v>
      </c>
      <c r="E214" s="22">
        <v>4.0000000000000001E-3</v>
      </c>
      <c r="F214" s="22">
        <v>-1E-3</v>
      </c>
      <c r="G214" s="8">
        <f t="shared" si="2"/>
        <v>-2E-3</v>
      </c>
      <c r="H214" s="8">
        <f t="shared" si="3"/>
        <v>3.0000000000000001E-3</v>
      </c>
      <c r="I214" s="8" t="str">
        <f t="shared" si="4"/>
        <v>Mixed</v>
      </c>
      <c r="J214">
        <f t="shared" si="5"/>
        <v>1</v>
      </c>
      <c r="K214">
        <f t="shared" si="6"/>
        <v>-2E-3</v>
      </c>
      <c r="L214">
        <f t="shared" si="7"/>
        <v>3.0000000000000001E-3</v>
      </c>
      <c r="N214" s="18">
        <v>46006</v>
      </c>
      <c r="O214" s="12" t="s">
        <v>605</v>
      </c>
      <c r="P214" s="19">
        <v>4.8440000000000003</v>
      </c>
      <c r="Q214" s="19">
        <v>4.58</v>
      </c>
      <c r="R214" s="19">
        <v>4.8079999999999998</v>
      </c>
      <c r="S214" s="19">
        <v>4.7530000000000001</v>
      </c>
      <c r="T214" s="19">
        <f>IF(OR(P214="",Q214=""),"",P214-Q214)</f>
        <v>0.26400000000000023</v>
      </c>
      <c r="U214" s="19">
        <f>IF(OR(P214="",R214=""),"",P214-R214)</f>
        <v>3.6000000000000476E-2</v>
      </c>
      <c r="V214" s="19">
        <f>IF(OR(P214="",S214=""),"",P214-S214)</f>
        <v>9.1000000000000192E-2</v>
      </c>
      <c r="W214" s="12" t="str">
        <f>IF(P214="","",IF(AND(U214&gt;0.03,V214&gt;0),"Rising",IF(AND(U214&lt;-0.03,V214&lt;0),"Falling","Flat")))</f>
        <v>Rising</v>
      </c>
      <c r="X214" s="20">
        <f>IF(W214="","",IFERROR(VLOOKUP(W214,Backend!$D$324:$E$337,2,FALSE)*1,0))</f>
        <v>1</v>
      </c>
      <c r="Y214" s="20"/>
    </row>
    <row r="215" spans="1:27">
      <c r="A215" s="13">
        <v>45986</v>
      </c>
      <c r="B215" s="14" t="s">
        <v>501</v>
      </c>
      <c r="C215" s="15" t="s">
        <v>606</v>
      </c>
      <c r="D215" s="16">
        <v>88.7</v>
      </c>
      <c r="E215" s="16">
        <v>93.4</v>
      </c>
      <c r="F215" s="16">
        <v>95.5</v>
      </c>
      <c r="G215" s="8">
        <f t="shared" si="2"/>
        <v>-4.7000000000000028</v>
      </c>
      <c r="H215" s="8">
        <f t="shared" si="3"/>
        <v>-6.7999999999999972</v>
      </c>
      <c r="I215" s="8" t="str">
        <f t="shared" si="4"/>
        <v>Slowing</v>
      </c>
      <c r="J215">
        <f t="shared" si="5"/>
        <v>1</v>
      </c>
      <c r="K215">
        <f t="shared" si="6"/>
        <v>-4.7000000000000028</v>
      </c>
      <c r="L215">
        <f t="shared" si="7"/>
        <v>-6.7999999999999972</v>
      </c>
      <c r="N215" s="12" t="s">
        <v>159</v>
      </c>
      <c r="O215" s="12" t="s">
        <v>586</v>
      </c>
      <c r="P215" s="12" t="s">
        <v>477</v>
      </c>
      <c r="Q215" s="12" t="s">
        <v>587</v>
      </c>
      <c r="R215" s="12" t="s">
        <v>588</v>
      </c>
      <c r="S215" s="12" t="s">
        <v>589</v>
      </c>
      <c r="T215" s="12" t="s">
        <v>590</v>
      </c>
      <c r="U215" s="12" t="s">
        <v>591</v>
      </c>
      <c r="V215" s="12" t="s">
        <v>592</v>
      </c>
      <c r="W215" s="12" t="s">
        <v>593</v>
      </c>
      <c r="X215" s="12" t="s">
        <v>594</v>
      </c>
      <c r="Y215" s="12"/>
    </row>
    <row r="216" spans="1:27">
      <c r="A216" s="13">
        <v>45986</v>
      </c>
      <c r="B216" s="14" t="s">
        <v>499</v>
      </c>
      <c r="C216" s="15" t="s">
        <v>607</v>
      </c>
      <c r="D216" s="22">
        <v>1E-3</v>
      </c>
      <c r="E216" s="17">
        <v>2E-3</v>
      </c>
      <c r="F216" s="22">
        <v>-1E-3</v>
      </c>
      <c r="G216" s="8">
        <f t="shared" si="2"/>
        <v>-1E-3</v>
      </c>
      <c r="H216" s="8">
        <f t="shared" si="3"/>
        <v>2E-3</v>
      </c>
      <c r="I216" s="8" t="str">
        <f t="shared" si="4"/>
        <v>Mixed</v>
      </c>
      <c r="J216">
        <f t="shared" si="5"/>
        <v>1</v>
      </c>
      <c r="K216">
        <f t="shared" si="6"/>
        <v>-1E-3</v>
      </c>
      <c r="L216">
        <f t="shared" si="7"/>
        <v>2E-3</v>
      </c>
      <c r="N216" s="18">
        <v>46006</v>
      </c>
      <c r="O216" s="12" t="s">
        <v>608</v>
      </c>
      <c r="P216" s="19">
        <f t="shared" ref="P216:S217" si="8">IF(OR(P211="",P213=""),"",P213-P211)</f>
        <v>0.67100000000000026</v>
      </c>
      <c r="Q216" s="19">
        <f t="shared" si="8"/>
        <v>0.6639999999999997</v>
      </c>
      <c r="R216" s="19">
        <f t="shared" si="8"/>
        <v>0.57799999999999985</v>
      </c>
      <c r="S216" s="19">
        <f t="shared" si="8"/>
        <v>0.50399999999999956</v>
      </c>
      <c r="T216" s="19">
        <f>IF(OR(P216="",Q216=""),"",P216-Q216)</f>
        <v>7.0000000000005613E-3</v>
      </c>
      <c r="U216" s="19">
        <f>IF(OR(P216="",R216=""),"",P216-R216)</f>
        <v>9.3000000000000416E-2</v>
      </c>
      <c r="V216" s="19">
        <f>IF(OR(P216="",S216=""),"",P216-S216)</f>
        <v>0.1670000000000007</v>
      </c>
      <c r="W216" s="12" t="str">
        <f>IF(P216="","",IF(AND(U216&gt;0.03,V216&gt;0),"Rising",IF(AND(U216&lt;-0.03,V216&lt;0),"Falling","Flat")))</f>
        <v>Rising</v>
      </c>
      <c r="X216" s="20">
        <f>IF(W216="","",IFERROR(VLOOKUP(W216,Backend!$D$324:$E$337,2,FALSE)*1,0))</f>
        <v>1</v>
      </c>
    </row>
    <row r="217" spans="1:27">
      <c r="A217" s="23">
        <v>45987</v>
      </c>
      <c r="B217" s="14" t="s">
        <v>501</v>
      </c>
      <c r="C217" s="24" t="s">
        <v>609</v>
      </c>
      <c r="D217" s="25">
        <v>6.0000000000000001E-3</v>
      </c>
      <c r="E217" s="25">
        <v>2E-3</v>
      </c>
      <c r="F217" s="25">
        <v>3.0000000000000001E-3</v>
      </c>
      <c r="G217" s="8">
        <f t="shared" si="2"/>
        <v>4.0000000000000001E-3</v>
      </c>
      <c r="H217" s="8">
        <f t="shared" si="3"/>
        <v>3.0000000000000001E-3</v>
      </c>
      <c r="I217" s="8" t="str">
        <f t="shared" si="4"/>
        <v>Accelerating</v>
      </c>
      <c r="J217">
        <f t="shared" si="5"/>
        <v>1</v>
      </c>
      <c r="K217">
        <f t="shared" si="6"/>
        <v>4.0000000000000001E-3</v>
      </c>
      <c r="L217">
        <f t="shared" si="7"/>
        <v>3.0000000000000001E-3</v>
      </c>
      <c r="N217" s="18">
        <v>46006</v>
      </c>
      <c r="O217" s="12" t="s">
        <v>610</v>
      </c>
      <c r="P217" s="19">
        <f t="shared" si="8"/>
        <v>1.1250000000000004</v>
      </c>
      <c r="Q217" s="19">
        <f t="shared" si="8"/>
        <v>0.83899999999999997</v>
      </c>
      <c r="R217" s="19">
        <f t="shared" si="8"/>
        <v>1.0249999999999999</v>
      </c>
      <c r="S217" s="19">
        <f t="shared" si="8"/>
        <v>1.0489999999999999</v>
      </c>
      <c r="T217" s="19">
        <f>IF(OR(P217="",Q217=""),"",P217-Q217)</f>
        <v>0.28600000000000048</v>
      </c>
      <c r="U217" s="19">
        <f>IF(OR(P217="",R217=""),"",P217-R217)</f>
        <v>0.10000000000000053</v>
      </c>
      <c r="V217" s="19">
        <f>IF(OR(P217="",S217=""),"",P217-S217)</f>
        <v>7.6000000000000512E-2</v>
      </c>
      <c r="W217" s="12" t="str">
        <f>IF(P217="","",IF(AND(U217&gt;0.03,V217&gt;0),"Rising",IF(AND(U217&lt;-0.03,V217&lt;0),"Falling","Flat")))</f>
        <v>Rising</v>
      </c>
      <c r="X217" s="20">
        <f>IF(W217="","",IFERROR(VLOOKUP(W217,Backend!$D$324:$E$337,2,FALSE)*1,0))</f>
        <v>1</v>
      </c>
    </row>
    <row r="218" spans="1:27">
      <c r="A218" s="23">
        <v>45987</v>
      </c>
      <c r="B218" s="14" t="s">
        <v>501</v>
      </c>
      <c r="C218" s="24" t="s">
        <v>611</v>
      </c>
      <c r="D218" s="25">
        <v>5.0000000000000001E-3</v>
      </c>
      <c r="E218" s="25">
        <v>5.0000000000000001E-3</v>
      </c>
      <c r="F218" s="25">
        <v>0.03</v>
      </c>
      <c r="G218" s="8">
        <f t="shared" si="2"/>
        <v>0</v>
      </c>
      <c r="H218" s="8">
        <f t="shared" si="3"/>
        <v>-2.4999999999999998E-2</v>
      </c>
      <c r="I218" s="8" t="str">
        <f t="shared" si="4"/>
        <v>Mixed</v>
      </c>
      <c r="J218">
        <f t="shared" si="5"/>
        <v>1</v>
      </c>
      <c r="K218">
        <f t="shared" si="6"/>
        <v>0</v>
      </c>
      <c r="L218">
        <f t="shared" si="7"/>
        <v>-2.4999999999999998E-2</v>
      </c>
    </row>
    <row r="219" spans="1:27">
      <c r="A219" s="23">
        <v>45987</v>
      </c>
      <c r="B219" s="14" t="s">
        <v>500</v>
      </c>
      <c r="C219" s="24" t="s">
        <v>612</v>
      </c>
      <c r="D219" s="26">
        <v>216000</v>
      </c>
      <c r="E219" s="26">
        <v>226000</v>
      </c>
      <c r="F219" s="26">
        <v>222000</v>
      </c>
      <c r="G219" s="8">
        <f t="shared" si="2"/>
        <v>-10000</v>
      </c>
      <c r="H219" s="8">
        <f t="shared" si="3"/>
        <v>-6000</v>
      </c>
      <c r="I219" s="8" t="str">
        <f t="shared" si="4"/>
        <v>Accelerating</v>
      </c>
      <c r="J219">
        <f t="shared" si="5"/>
        <v>-1</v>
      </c>
      <c r="K219">
        <f t="shared" si="6"/>
        <v>10000</v>
      </c>
      <c r="L219">
        <f t="shared" si="7"/>
        <v>6000</v>
      </c>
      <c r="N219" s="27" t="s">
        <v>159</v>
      </c>
      <c r="O219" s="27" t="s">
        <v>586</v>
      </c>
      <c r="P219" s="27" t="s">
        <v>477</v>
      </c>
      <c r="Q219" s="27" t="s">
        <v>587</v>
      </c>
      <c r="R219" s="27" t="s">
        <v>588</v>
      </c>
      <c r="S219" s="27" t="s">
        <v>589</v>
      </c>
      <c r="T219" s="27" t="s">
        <v>590</v>
      </c>
      <c r="U219" s="27" t="s">
        <v>591</v>
      </c>
      <c r="V219" s="27" t="s">
        <v>592</v>
      </c>
      <c r="W219" s="27" t="s">
        <v>593</v>
      </c>
      <c r="X219" s="27" t="s">
        <v>594</v>
      </c>
    </row>
    <row r="220" spans="1:27">
      <c r="A220" s="23">
        <v>45988</v>
      </c>
      <c r="B220" s="14" t="s">
        <v>504</v>
      </c>
      <c r="C220" s="24" t="s">
        <v>613</v>
      </c>
      <c r="D220" s="26">
        <v>-23.2</v>
      </c>
      <c r="E220" s="26">
        <v>-23.6</v>
      </c>
      <c r="F220" s="26">
        <v>-24.1</v>
      </c>
      <c r="G220" s="8">
        <f t="shared" si="2"/>
        <v>0.40000000000000213</v>
      </c>
      <c r="H220" s="8">
        <f t="shared" si="3"/>
        <v>0.90000000000000213</v>
      </c>
      <c r="I220" s="8" t="str">
        <f t="shared" si="4"/>
        <v>Accelerating</v>
      </c>
      <c r="J220">
        <f t="shared" si="5"/>
        <v>1</v>
      </c>
      <c r="K220">
        <f t="shared" si="6"/>
        <v>0.40000000000000213</v>
      </c>
      <c r="L220">
        <f t="shared" si="7"/>
        <v>0.90000000000000213</v>
      </c>
      <c r="N220" s="18">
        <v>46006</v>
      </c>
      <c r="O220" s="12" t="s">
        <v>614</v>
      </c>
      <c r="P220" s="19"/>
      <c r="Q220" s="19"/>
      <c r="R220" s="19"/>
      <c r="S220" s="19"/>
      <c r="T220" s="19" t="str">
        <f>IF(OR(P220="",Q220=""),"",P220-Q220)</f>
        <v/>
      </c>
      <c r="U220" s="19" t="str">
        <f>IF(OR(P220="",R220=""),"",P220-R220)</f>
        <v/>
      </c>
      <c r="V220" s="19" t="str">
        <f>IF(OR(P220="",S220=""),"",P220-S220)</f>
        <v/>
      </c>
      <c r="W220" s="12" t="str">
        <f>IF(P220="","",IF(AND(U220&gt;0.03,V220&gt;0),"Rising",IF(AND(U220&lt;-0.03,V220&lt;0),"Falling","Flat")))</f>
        <v/>
      </c>
      <c r="X220" s="20"/>
    </row>
    <row r="221" spans="1:27">
      <c r="A221" s="23">
        <v>45989</v>
      </c>
      <c r="B221" s="14" t="s">
        <v>502</v>
      </c>
      <c r="C221" s="24" t="s">
        <v>615</v>
      </c>
      <c r="D221" s="25">
        <v>2E-3</v>
      </c>
      <c r="E221" s="25">
        <v>0</v>
      </c>
      <c r="F221" s="25">
        <v>3.0000000000000001E-3</v>
      </c>
      <c r="G221" s="8">
        <f t="shared" si="2"/>
        <v>2E-3</v>
      </c>
      <c r="H221" s="8">
        <f t="shared" si="3"/>
        <v>-1E-3</v>
      </c>
      <c r="I221" s="8" t="str">
        <f t="shared" si="4"/>
        <v>Mixed</v>
      </c>
      <c r="J221">
        <f t="shared" si="5"/>
        <v>1</v>
      </c>
      <c r="K221">
        <f t="shared" si="6"/>
        <v>2E-3</v>
      </c>
      <c r="L221">
        <f t="shared" si="7"/>
        <v>-1E-3</v>
      </c>
      <c r="N221" s="18">
        <v>46006</v>
      </c>
      <c r="O221" s="12" t="s">
        <v>616</v>
      </c>
      <c r="P221" s="19"/>
      <c r="Q221" s="19"/>
      <c r="R221" s="19"/>
      <c r="S221" s="19"/>
      <c r="T221" s="19" t="str">
        <f>IF(OR(P221="",Q221=""),"",P221-Q221)</f>
        <v/>
      </c>
      <c r="U221" s="19" t="str">
        <f>IF(OR(P221="",R221=""),"",P221-R221)</f>
        <v/>
      </c>
      <c r="V221" s="19" t="str">
        <f>IF(OR(P221="",S221=""),"",P221-S221)</f>
        <v/>
      </c>
      <c r="W221" s="12" t="str">
        <f>IF(P221="","",IF(AND(U221&gt;0.03,V221&gt;0),"Rising",IF(AND(U221&lt;-0.03,V221&lt;0),"Falling","Flat")))</f>
        <v/>
      </c>
      <c r="X221" s="20"/>
    </row>
    <row r="222" spans="1:27">
      <c r="A222" s="23">
        <v>45989</v>
      </c>
      <c r="B222" s="14" t="s">
        <v>503</v>
      </c>
      <c r="C222" s="24" t="s">
        <v>617</v>
      </c>
      <c r="D222" s="26">
        <v>1000</v>
      </c>
      <c r="E222" s="26">
        <v>4000</v>
      </c>
      <c r="F222" s="26">
        <v>-2000</v>
      </c>
      <c r="G222" s="8">
        <f t="shared" si="2"/>
        <v>-3000</v>
      </c>
      <c r="H222" s="8">
        <f t="shared" si="3"/>
        <v>3000</v>
      </c>
      <c r="I222" s="8" t="str">
        <f t="shared" si="4"/>
        <v>Mixed</v>
      </c>
      <c r="J222">
        <f t="shared" si="5"/>
        <v>-1</v>
      </c>
      <c r="K222">
        <f t="shared" si="6"/>
        <v>3000</v>
      </c>
      <c r="L222">
        <f t="shared" si="7"/>
        <v>-3000</v>
      </c>
      <c r="N222" s="18">
        <v>46006</v>
      </c>
      <c r="O222" s="12" t="s">
        <v>618</v>
      </c>
      <c r="P222" s="19"/>
      <c r="Q222" s="19"/>
      <c r="R222" s="19"/>
      <c r="S222" s="19"/>
      <c r="T222" s="19" t="str">
        <f>IF(OR(P222="",Q222=""),"",P222-Q222)</f>
        <v/>
      </c>
      <c r="U222" s="19" t="str">
        <f>IF(OR(P222="",R222=""),"",P222-R222)</f>
        <v/>
      </c>
      <c r="V222" s="19" t="str">
        <f>IF(OR(P222="",S222=""),"",P222-S222)</f>
        <v/>
      </c>
      <c r="W222" s="12" t="str">
        <f>IF(P222="","",IF(AND(U222&gt;0.03,V222&gt;0),"Rising",IF(AND(U222&lt;-0.03,V222&lt;0),"Falling","Flat")))</f>
        <v/>
      </c>
      <c r="X222" s="20"/>
    </row>
    <row r="223" spans="1:27">
      <c r="A223" s="13">
        <v>45992</v>
      </c>
      <c r="B223" s="14" t="s">
        <v>501</v>
      </c>
      <c r="C223" s="15" t="s">
        <v>619</v>
      </c>
      <c r="D223" s="16">
        <v>52.2</v>
      </c>
      <c r="E223" s="16">
        <v>51.9</v>
      </c>
      <c r="F223" s="16">
        <v>51.9</v>
      </c>
      <c r="G223" s="8">
        <f t="shared" si="2"/>
        <v>0.30000000000000426</v>
      </c>
      <c r="H223" s="8">
        <f t="shared" si="3"/>
        <v>0.30000000000000426</v>
      </c>
      <c r="I223" s="8" t="str">
        <f t="shared" si="4"/>
        <v>Accelerating</v>
      </c>
      <c r="J223">
        <f t="shared" si="5"/>
        <v>1</v>
      </c>
      <c r="K223">
        <f t="shared" si="6"/>
        <v>0.30000000000000426</v>
      </c>
      <c r="L223">
        <f t="shared" si="7"/>
        <v>0.30000000000000426</v>
      </c>
      <c r="N223" s="18">
        <v>46006</v>
      </c>
      <c r="O223" s="12" t="s">
        <v>620</v>
      </c>
      <c r="P223" s="19"/>
      <c r="Q223" s="19"/>
      <c r="R223" s="19"/>
      <c r="S223" s="19"/>
      <c r="T223" s="19" t="str">
        <f>IF(OR(P223="",Q223=""),"",P223-Q223)</f>
        <v/>
      </c>
      <c r="U223" s="19" t="str">
        <f>IF(OR(P223="",R223=""),"",P223-R223)</f>
        <v/>
      </c>
      <c r="V223" s="19" t="str">
        <f>IF(OR(P223="",S223=""),"",P223-S223)</f>
        <v/>
      </c>
      <c r="W223" s="12" t="str">
        <f>IF(P223="","",IF(AND(U223&gt;0.03,V223&gt;0),"Rising",IF(AND(U223&lt;-0.03,V223&lt;0),"Falling","Flat")))</f>
        <v/>
      </c>
      <c r="X223" s="20"/>
    </row>
    <row r="224" spans="1:27">
      <c r="A224" s="13">
        <v>45992</v>
      </c>
      <c r="B224" s="14" t="s">
        <v>501</v>
      </c>
      <c r="C224" s="15" t="s">
        <v>621</v>
      </c>
      <c r="D224" s="16">
        <v>58.5</v>
      </c>
      <c r="E224" s="16">
        <v>59.5</v>
      </c>
      <c r="F224" s="16">
        <v>58</v>
      </c>
      <c r="G224" s="8">
        <f t="shared" si="2"/>
        <v>-1</v>
      </c>
      <c r="H224" s="8">
        <f t="shared" si="3"/>
        <v>0.5</v>
      </c>
      <c r="I224" s="8" t="str">
        <f t="shared" si="4"/>
        <v>Mixed</v>
      </c>
      <c r="J224">
        <f t="shared" si="5"/>
        <v>1</v>
      </c>
      <c r="K224">
        <f t="shared" si="6"/>
        <v>-1</v>
      </c>
      <c r="L224">
        <f t="shared" si="7"/>
        <v>0.5</v>
      </c>
      <c r="N224" s="27" t="s">
        <v>159</v>
      </c>
      <c r="O224" s="27" t="s">
        <v>586</v>
      </c>
      <c r="P224" s="27"/>
      <c r="Q224" s="27"/>
      <c r="R224" s="27"/>
      <c r="S224" s="27"/>
      <c r="T224" s="27" t="s">
        <v>590</v>
      </c>
      <c r="U224" s="27" t="s">
        <v>591</v>
      </c>
      <c r="V224" s="27"/>
      <c r="W224" s="27"/>
      <c r="X224" s="27"/>
    </row>
    <row r="225" spans="1:24">
      <c r="A225" s="23">
        <v>45992</v>
      </c>
      <c r="B225" s="14" t="s">
        <v>501</v>
      </c>
      <c r="C225" s="24" t="s">
        <v>622</v>
      </c>
      <c r="D225" s="26">
        <v>48.2</v>
      </c>
      <c r="E225" s="26">
        <v>49</v>
      </c>
      <c r="F225" s="26">
        <v>48.7</v>
      </c>
      <c r="G225" s="8">
        <f t="shared" si="2"/>
        <v>-0.79999999999999716</v>
      </c>
      <c r="H225" s="8">
        <f t="shared" si="3"/>
        <v>-0.5</v>
      </c>
      <c r="I225" s="8" t="str">
        <f t="shared" si="4"/>
        <v>Slowing</v>
      </c>
      <c r="J225">
        <f t="shared" si="5"/>
        <v>1</v>
      </c>
      <c r="K225">
        <f t="shared" si="6"/>
        <v>-0.79999999999999716</v>
      </c>
      <c r="L225">
        <f t="shared" si="7"/>
        <v>-0.5</v>
      </c>
      <c r="N225" s="18">
        <v>46006</v>
      </c>
      <c r="O225" s="12" t="s">
        <v>623</v>
      </c>
      <c r="P225" s="19" t="str">
        <f t="shared" ref="P225:S226" si="9">IF(OR(P220="",P222=""),"",(P222-P220)*100)</f>
        <v/>
      </c>
      <c r="Q225" s="19" t="str">
        <f t="shared" si="9"/>
        <v/>
      </c>
      <c r="R225" s="19" t="str">
        <f t="shared" si="9"/>
        <v/>
      </c>
      <c r="S225" s="19" t="str">
        <f t="shared" si="9"/>
        <v/>
      </c>
      <c r="T225" s="19" t="str">
        <f>IF(OR(P225="",Q225=""),"",P225-Q225)</f>
        <v/>
      </c>
      <c r="U225" s="19" t="str">
        <f>IF(OR(P225="",R225=""),"",P225-R225)</f>
        <v/>
      </c>
      <c r="V225" s="19" t="str">
        <f>IF(OR(P225="",S225=""),"",P225-S225)</f>
        <v/>
      </c>
      <c r="W225" s="12" t="str">
        <f>IF(P225="","",IF(AND(U225&gt;3,V225&gt;0),"Rising",IF(AND(U225&lt;-3,V225&lt;0),"Falling","Flat")))</f>
        <v/>
      </c>
      <c r="X225" s="20"/>
    </row>
    <row r="226" spans="1:24">
      <c r="A226" s="13">
        <v>45992</v>
      </c>
      <c r="B226" s="14" t="s">
        <v>501</v>
      </c>
      <c r="C226" s="15" t="s">
        <v>619</v>
      </c>
      <c r="D226" s="16">
        <v>52.2</v>
      </c>
      <c r="E226" s="16">
        <v>51.9</v>
      </c>
      <c r="F226" s="16">
        <v>51.9</v>
      </c>
      <c r="G226" s="8">
        <f t="shared" si="2"/>
        <v>0.30000000000000426</v>
      </c>
      <c r="H226" s="8">
        <f t="shared" si="3"/>
        <v>0.30000000000000426</v>
      </c>
      <c r="I226" s="8" t="str">
        <f t="shared" si="4"/>
        <v>Accelerating</v>
      </c>
      <c r="J226">
        <f t="shared" si="5"/>
        <v>1</v>
      </c>
      <c r="K226">
        <f t="shared" si="6"/>
        <v>0.30000000000000426</v>
      </c>
      <c r="L226">
        <f t="shared" si="7"/>
        <v>0.30000000000000426</v>
      </c>
      <c r="N226" s="18">
        <v>46006</v>
      </c>
      <c r="O226" s="12" t="s">
        <v>624</v>
      </c>
      <c r="P226" s="19" t="str">
        <f t="shared" si="9"/>
        <v/>
      </c>
      <c r="Q226" s="19" t="str">
        <f t="shared" si="9"/>
        <v/>
      </c>
      <c r="R226" s="19" t="str">
        <f t="shared" si="9"/>
        <v/>
      </c>
      <c r="S226" s="19" t="str">
        <f t="shared" si="9"/>
        <v/>
      </c>
      <c r="T226" s="19" t="str">
        <f>IF(OR(P226="",Q226=""),"",P226-Q226)</f>
        <v/>
      </c>
      <c r="U226" s="19" t="str">
        <f>IF(OR(P226="",R226=""),"",P226-R226)</f>
        <v/>
      </c>
      <c r="V226" s="19" t="str">
        <f>IF(OR(P226="",S226=""),"",P226-S226)</f>
        <v/>
      </c>
      <c r="W226" s="12" t="str">
        <f>IF(P226="","",IF(AND(U226&gt;3,V226&gt;0),"Rising",IF(AND(U226&lt;-3,V226&lt;0),"Falling","Flat")))</f>
        <v/>
      </c>
      <c r="X226" s="20"/>
    </row>
    <row r="227" spans="1:24">
      <c r="A227" s="13">
        <v>45992</v>
      </c>
      <c r="B227" s="14" t="s">
        <v>501</v>
      </c>
      <c r="C227" s="15" t="s">
        <v>621</v>
      </c>
      <c r="D227" s="16">
        <v>58.5</v>
      </c>
      <c r="E227" s="16">
        <v>59.5</v>
      </c>
      <c r="F227" s="16">
        <v>58</v>
      </c>
      <c r="G227" s="8">
        <f t="shared" si="2"/>
        <v>-1</v>
      </c>
      <c r="H227" s="8">
        <f t="shared" si="3"/>
        <v>0.5</v>
      </c>
      <c r="I227" s="8" t="str">
        <f t="shared" si="4"/>
        <v>Mixed</v>
      </c>
      <c r="J227">
        <f t="shared" si="5"/>
        <v>1</v>
      </c>
      <c r="K227">
        <f t="shared" si="6"/>
        <v>-1</v>
      </c>
      <c r="L227">
        <f t="shared" si="7"/>
        <v>0.5</v>
      </c>
    </row>
    <row r="228" spans="1:24">
      <c r="A228" s="23">
        <v>45992</v>
      </c>
      <c r="B228" s="14" t="s">
        <v>501</v>
      </c>
      <c r="C228" s="24" t="s">
        <v>622</v>
      </c>
      <c r="D228" s="26">
        <v>48.2</v>
      </c>
      <c r="E228" s="26">
        <v>49</v>
      </c>
      <c r="F228" s="26">
        <v>48.7</v>
      </c>
      <c r="G228" s="8">
        <f t="shared" si="2"/>
        <v>-0.79999999999999716</v>
      </c>
      <c r="H228" s="8">
        <f t="shared" si="3"/>
        <v>-0.5</v>
      </c>
      <c r="I228" s="8" t="str">
        <f t="shared" si="4"/>
        <v>Slowing</v>
      </c>
      <c r="J228">
        <f t="shared" si="5"/>
        <v>1</v>
      </c>
      <c r="K228">
        <f t="shared" si="6"/>
        <v>-0.79999999999999716</v>
      </c>
      <c r="L228">
        <f t="shared" si="7"/>
        <v>-0.5</v>
      </c>
      <c r="N228" s="27" t="s">
        <v>159</v>
      </c>
      <c r="O228" s="27" t="s">
        <v>586</v>
      </c>
      <c r="P228" s="27" t="s">
        <v>477</v>
      </c>
      <c r="Q228" s="27" t="s">
        <v>587</v>
      </c>
      <c r="R228" s="27" t="s">
        <v>588</v>
      </c>
      <c r="S228" s="27" t="s">
        <v>589</v>
      </c>
      <c r="T228" s="27" t="s">
        <v>590</v>
      </c>
      <c r="U228" s="27" t="s">
        <v>591</v>
      </c>
      <c r="V228" s="27" t="s">
        <v>592</v>
      </c>
      <c r="W228" s="27" t="s">
        <v>593</v>
      </c>
      <c r="X228" s="27" t="s">
        <v>594</v>
      </c>
    </row>
    <row r="229" spans="1:24">
      <c r="A229" s="13">
        <v>45993</v>
      </c>
      <c r="B229" s="14" t="s">
        <v>501</v>
      </c>
      <c r="C229" s="15" t="s">
        <v>625</v>
      </c>
      <c r="D229" s="16" t="s">
        <v>626</v>
      </c>
      <c r="E229" s="16" t="s">
        <v>626</v>
      </c>
      <c r="F229" s="16" t="s">
        <v>627</v>
      </c>
      <c r="G229" s="8" t="str">
        <f t="shared" si="2"/>
        <v/>
      </c>
      <c r="H229" s="8" t="str">
        <f t="shared" si="3"/>
        <v/>
      </c>
      <c r="I229" s="8" t="str">
        <f t="shared" si="4"/>
        <v>N/A</v>
      </c>
      <c r="J229">
        <f t="shared" si="5"/>
        <v>1</v>
      </c>
      <c r="K229" t="str">
        <f t="shared" si="6"/>
        <v/>
      </c>
      <c r="L229" t="str">
        <f t="shared" si="7"/>
        <v/>
      </c>
      <c r="N229" s="18">
        <v>46006</v>
      </c>
      <c r="O229" s="12" t="s">
        <v>628</v>
      </c>
      <c r="P229" s="19"/>
      <c r="Q229" s="19"/>
      <c r="R229" s="19"/>
      <c r="S229" s="19"/>
      <c r="T229" s="19" t="str">
        <f>IF(OR(P229="",Q229=""),"",P229-Q229)</f>
        <v/>
      </c>
      <c r="U229" s="19" t="str">
        <f>IF(OR(P229="",R229=""),"",P229-R229)</f>
        <v/>
      </c>
      <c r="V229" s="19" t="str">
        <f>IF(OR(P229="",S229=""),"",P229-S229)</f>
        <v/>
      </c>
      <c r="W229" s="12" t="str">
        <f>IF(P229="","",IF(AND(U229&gt;0.03,V229&gt;0),"Rising",IF(AND(U229&lt;-0.03,V229&lt;0),"Falling","Flat")))</f>
        <v/>
      </c>
      <c r="X229" s="20"/>
    </row>
    <row r="230" spans="1:24">
      <c r="A230" s="13">
        <v>45993</v>
      </c>
      <c r="B230" s="14" t="s">
        <v>501</v>
      </c>
      <c r="C230" s="15" t="s">
        <v>629</v>
      </c>
      <c r="D230" s="22">
        <v>0</v>
      </c>
      <c r="E230" s="22">
        <v>1E-3</v>
      </c>
      <c r="F230" s="22">
        <v>1E-3</v>
      </c>
      <c r="G230" s="8">
        <f t="shared" si="2"/>
        <v>-1E-3</v>
      </c>
      <c r="H230" s="8">
        <f t="shared" si="3"/>
        <v>-1E-3</v>
      </c>
      <c r="I230" s="8" t="str">
        <f t="shared" si="4"/>
        <v>Slowing</v>
      </c>
      <c r="J230">
        <f t="shared" si="5"/>
        <v>1</v>
      </c>
      <c r="K230">
        <f t="shared" si="6"/>
        <v>-1E-3</v>
      </c>
      <c r="L230">
        <f t="shared" si="7"/>
        <v>-1E-3</v>
      </c>
      <c r="N230" s="18">
        <v>46006</v>
      </c>
      <c r="O230" s="12" t="s">
        <v>630</v>
      </c>
      <c r="P230" s="19"/>
      <c r="Q230" s="19"/>
      <c r="R230" s="19"/>
      <c r="S230" s="19"/>
      <c r="T230" s="19" t="str">
        <f>IF(OR(P230="",Q230=""),"",P230-Q230)</f>
        <v/>
      </c>
      <c r="U230" s="19" t="str">
        <f>IF(OR(P230="",R230=""),"",P230-R230)</f>
        <v/>
      </c>
      <c r="V230" s="19" t="str">
        <f>IF(OR(P230="",S230=""),"",P230-S230)</f>
        <v/>
      </c>
      <c r="W230" s="12" t="str">
        <f>IF(P230="","",IF(AND(U230&gt;0.03,V230&gt;0),"Rising",IF(AND(U230&lt;-0.03,V230&lt;0),"Falling","Flat")))</f>
        <v/>
      </c>
      <c r="X230" s="20"/>
    </row>
    <row r="231" spans="1:24">
      <c r="A231" s="13">
        <v>45993</v>
      </c>
      <c r="B231" s="14" t="s">
        <v>501</v>
      </c>
      <c r="C231" s="15" t="s">
        <v>631</v>
      </c>
      <c r="D231" s="22">
        <v>0.75900000000000001</v>
      </c>
      <c r="E231" s="22">
        <v>0.76900000000000002</v>
      </c>
      <c r="F231" s="22">
        <v>0.75900000000000001</v>
      </c>
      <c r="G231" s="8">
        <f t="shared" si="2"/>
        <v>-1.0000000000000009E-2</v>
      </c>
      <c r="H231" s="8">
        <f t="shared" si="3"/>
        <v>0</v>
      </c>
      <c r="I231" s="8" t="str">
        <f t="shared" si="4"/>
        <v>Slowing</v>
      </c>
      <c r="J231">
        <f t="shared" si="5"/>
        <v>1</v>
      </c>
      <c r="K231">
        <f t="shared" si="6"/>
        <v>-1.0000000000000009E-2</v>
      </c>
      <c r="L231">
        <f t="shared" si="7"/>
        <v>0</v>
      </c>
      <c r="N231" s="18">
        <v>46006</v>
      </c>
      <c r="O231" s="12" t="s">
        <v>632</v>
      </c>
      <c r="P231" s="19"/>
      <c r="Q231" s="19"/>
      <c r="R231" s="19"/>
      <c r="S231" s="19"/>
      <c r="T231" s="19" t="str">
        <f>IF(OR(P231="",Q231=""),"",P231-Q231)</f>
        <v/>
      </c>
      <c r="U231" s="19" t="str">
        <f>IF(OR(P231="",R231=""),"",P231-R231)</f>
        <v/>
      </c>
      <c r="V231" s="19" t="str">
        <f>IF(OR(P231="",S231=""),"",P231-S231)</f>
        <v/>
      </c>
      <c r="W231" s="12" t="str">
        <f>IF(P231="","",IF(AND(U231&gt;0.03,V231&gt;0),"Rising",IF(AND(U231&lt;-0.03,V231&lt;0),"Falling","Flat")))</f>
        <v/>
      </c>
      <c r="X231" s="20"/>
    </row>
    <row r="232" spans="1:24">
      <c r="A232" s="23">
        <v>45993</v>
      </c>
      <c r="B232" s="28" t="s">
        <v>501</v>
      </c>
      <c r="C232" s="24" t="s">
        <v>633</v>
      </c>
      <c r="D232" s="26">
        <v>52.6</v>
      </c>
      <c r="E232" s="26">
        <v>52</v>
      </c>
      <c r="F232" s="26">
        <v>52.4</v>
      </c>
      <c r="G232" s="8">
        <f t="shared" si="2"/>
        <v>0.60000000000000142</v>
      </c>
      <c r="H232" s="8">
        <f t="shared" si="3"/>
        <v>0.20000000000000284</v>
      </c>
      <c r="I232" s="8" t="str">
        <f t="shared" si="4"/>
        <v>Accelerating</v>
      </c>
      <c r="J232">
        <f t="shared" si="5"/>
        <v>1</v>
      </c>
      <c r="K232">
        <f t="shared" si="6"/>
        <v>0.60000000000000142</v>
      </c>
      <c r="L232">
        <f t="shared" si="7"/>
        <v>0.20000000000000284</v>
      </c>
      <c r="N232" s="18">
        <v>46006</v>
      </c>
      <c r="O232" s="12" t="s">
        <v>634</v>
      </c>
      <c r="P232" s="19"/>
      <c r="Q232" s="19"/>
      <c r="R232" s="19"/>
      <c r="S232" s="19"/>
      <c r="T232" s="19" t="str">
        <f>IF(OR(P232="",Q232=""),"",P232-Q232)</f>
        <v/>
      </c>
      <c r="U232" s="19" t="str">
        <f>IF(OR(P232="",R232=""),"",P232-R232)</f>
        <v/>
      </c>
      <c r="V232" s="19" t="str">
        <f>IF(OR(P232="",S232=""),"",P232-S232)</f>
        <v/>
      </c>
      <c r="W232" s="12" t="str">
        <f>IF(P232="","",IF(AND(U232&gt;0.03,V232&gt;0),"Rising",IF(AND(U232&lt;-0.03,V232&lt;0),"Falling","Flat")))</f>
        <v/>
      </c>
      <c r="X232" s="20"/>
    </row>
    <row r="233" spans="1:24">
      <c r="A233" s="13">
        <v>45995</v>
      </c>
      <c r="B233" s="28" t="s">
        <v>501</v>
      </c>
      <c r="C233" s="15" t="s">
        <v>635</v>
      </c>
      <c r="D233" s="22">
        <v>2E-3</v>
      </c>
      <c r="E233" s="22">
        <v>3.0000000000000001E-3</v>
      </c>
      <c r="F233" s="22">
        <v>-0.03</v>
      </c>
      <c r="G233" s="8">
        <f t="shared" si="2"/>
        <v>-1E-3</v>
      </c>
      <c r="H233" s="8">
        <f t="shared" si="3"/>
        <v>3.2000000000000001E-2</v>
      </c>
      <c r="I233" s="8" t="str">
        <f t="shared" si="4"/>
        <v>Mixed</v>
      </c>
      <c r="J233">
        <f t="shared" si="5"/>
        <v>1</v>
      </c>
      <c r="K233">
        <f t="shared" si="6"/>
        <v>-1E-3</v>
      </c>
      <c r="L233">
        <f t="shared" si="7"/>
        <v>3.2000000000000001E-2</v>
      </c>
      <c r="N233" s="27" t="s">
        <v>159</v>
      </c>
      <c r="O233" s="27" t="s">
        <v>586</v>
      </c>
      <c r="P233" s="27"/>
      <c r="Q233" s="27"/>
      <c r="R233" s="27"/>
      <c r="S233" s="27"/>
      <c r="T233" s="27" t="s">
        <v>590</v>
      </c>
      <c r="U233" s="27" t="s">
        <v>591</v>
      </c>
      <c r="V233" s="27"/>
      <c r="W233" s="27"/>
      <c r="X233" s="27"/>
    </row>
    <row r="234" spans="1:24">
      <c r="A234" s="23">
        <v>45995</v>
      </c>
      <c r="B234" s="28" t="s">
        <v>500</v>
      </c>
      <c r="C234" s="24" t="s">
        <v>612</v>
      </c>
      <c r="D234" s="26">
        <v>191000</v>
      </c>
      <c r="E234" s="26">
        <v>219000</v>
      </c>
      <c r="F234" s="26">
        <v>218000</v>
      </c>
      <c r="G234" s="8">
        <f t="shared" si="2"/>
        <v>-28000</v>
      </c>
      <c r="H234" s="8">
        <f t="shared" si="3"/>
        <v>-27000</v>
      </c>
      <c r="I234" s="8" t="str">
        <f t="shared" si="4"/>
        <v>Accelerating</v>
      </c>
      <c r="J234">
        <f t="shared" si="5"/>
        <v>-1</v>
      </c>
      <c r="K234">
        <f t="shared" si="6"/>
        <v>28000</v>
      </c>
      <c r="L234">
        <f t="shared" si="7"/>
        <v>27000</v>
      </c>
      <c r="N234" s="18">
        <v>46006</v>
      </c>
      <c r="O234" s="12" t="s">
        <v>636</v>
      </c>
      <c r="P234" s="19" t="str">
        <f t="shared" ref="P234:S235" si="10">IF(OR(P229="",P231=""),"",(P231-P229)*100)</f>
        <v/>
      </c>
      <c r="Q234" s="19" t="str">
        <f t="shared" si="10"/>
        <v/>
      </c>
      <c r="R234" s="19" t="str">
        <f t="shared" si="10"/>
        <v/>
      </c>
      <c r="S234" s="19" t="str">
        <f t="shared" si="10"/>
        <v/>
      </c>
      <c r="T234" s="19" t="str">
        <f>IF(OR(P234="",Q234=""),"",P234-Q234)</f>
        <v/>
      </c>
      <c r="U234" s="19" t="str">
        <f>IF(OR(P234="",R234=""),"",P234-R234)</f>
        <v/>
      </c>
      <c r="V234" s="19" t="str">
        <f>IF(OR(P234="",S234=""),"",P234-S234)</f>
        <v/>
      </c>
      <c r="W234" s="12" t="str">
        <f>IF(P234="","",IF(AND(U234&gt;3,V234&gt;0),"Rising",IF(AND(U234&lt;-3,V234&lt;0),"Falling","Flat")))</f>
        <v/>
      </c>
      <c r="X234" s="20"/>
    </row>
    <row r="235" spans="1:24">
      <c r="A235" s="13">
        <v>45996</v>
      </c>
      <c r="B235" s="14" t="s">
        <v>504</v>
      </c>
      <c r="C235" s="15" t="s">
        <v>637</v>
      </c>
      <c r="D235" s="22">
        <v>5.0000000000000001E-3</v>
      </c>
      <c r="E235" s="22">
        <v>4.0000000000000001E-3</v>
      </c>
      <c r="F235" s="22">
        <v>-4.0000000000000001E-3</v>
      </c>
      <c r="G235" s="8">
        <f t="shared" si="2"/>
        <v>1E-3</v>
      </c>
      <c r="H235" s="8">
        <f t="shared" si="3"/>
        <v>9.0000000000000011E-3</v>
      </c>
      <c r="I235" s="8" t="str">
        <f t="shared" si="4"/>
        <v>Accelerating</v>
      </c>
      <c r="J235">
        <f t="shared" si="5"/>
        <v>1</v>
      </c>
      <c r="K235">
        <f t="shared" si="6"/>
        <v>1E-3</v>
      </c>
      <c r="L235">
        <f t="shared" si="7"/>
        <v>9.0000000000000011E-3</v>
      </c>
      <c r="N235" s="18">
        <v>46006</v>
      </c>
      <c r="O235" s="12" t="s">
        <v>638</v>
      </c>
      <c r="P235" s="19" t="str">
        <f t="shared" si="10"/>
        <v/>
      </c>
      <c r="Q235" s="19" t="str">
        <f t="shared" si="10"/>
        <v/>
      </c>
      <c r="R235" s="19" t="str">
        <f t="shared" si="10"/>
        <v/>
      </c>
      <c r="S235" s="19" t="str">
        <f t="shared" si="10"/>
        <v/>
      </c>
      <c r="T235" s="19" t="str">
        <f>IF(OR(P235="",Q235=""),"",P235-Q235)</f>
        <v/>
      </c>
      <c r="U235" s="19" t="str">
        <f>IF(OR(P235="",R235=""),"",P235-R235)</f>
        <v/>
      </c>
      <c r="V235" s="19" t="str">
        <f>IF(OR(P235="",S235=""),"",P235-S235)</f>
        <v/>
      </c>
      <c r="W235" s="12" t="str">
        <f>IF(P235="","",IF(AND(U235&gt;3,V235&gt;0),"Rising",IF(AND(U235&lt;-3,V235&lt;0),"Falling","Flat")))</f>
        <v/>
      </c>
      <c r="X235" s="20"/>
    </row>
    <row r="236" spans="1:24">
      <c r="A236" s="13">
        <v>45996</v>
      </c>
      <c r="B236" s="14" t="s">
        <v>504</v>
      </c>
      <c r="C236" s="15" t="s">
        <v>639</v>
      </c>
      <c r="D236" s="22">
        <v>3.0000000000000001E-3</v>
      </c>
      <c r="E236" s="22">
        <v>2E-3</v>
      </c>
      <c r="F236" s="22">
        <v>2E-3</v>
      </c>
      <c r="G236" s="8">
        <f t="shared" si="2"/>
        <v>1E-3</v>
      </c>
      <c r="H236" s="8">
        <f t="shared" si="3"/>
        <v>1E-3</v>
      </c>
      <c r="I236" s="8" t="str">
        <f t="shared" si="4"/>
        <v>Accelerating</v>
      </c>
      <c r="J236">
        <f t="shared" si="5"/>
        <v>1</v>
      </c>
      <c r="K236">
        <f t="shared" si="6"/>
        <v>1E-3</v>
      </c>
      <c r="L236">
        <f t="shared" si="7"/>
        <v>1E-3</v>
      </c>
    </row>
    <row r="237" spans="1:24">
      <c r="A237" s="13">
        <v>45996</v>
      </c>
      <c r="B237" s="14" t="s">
        <v>501</v>
      </c>
      <c r="C237" s="15" t="s">
        <v>640</v>
      </c>
      <c r="D237" s="16">
        <v>53.3</v>
      </c>
      <c r="E237" s="16">
        <v>52</v>
      </c>
      <c r="F237" s="16">
        <v>51</v>
      </c>
      <c r="G237" s="8">
        <f t="shared" si="2"/>
        <v>1.2999999999999972</v>
      </c>
      <c r="H237" s="8">
        <f t="shared" si="3"/>
        <v>2.2999999999999972</v>
      </c>
      <c r="I237" s="8" t="str">
        <f t="shared" si="4"/>
        <v>Accelerating</v>
      </c>
      <c r="J237">
        <f t="shared" si="5"/>
        <v>1</v>
      </c>
      <c r="K237">
        <f t="shared" si="6"/>
        <v>1.2999999999999972</v>
      </c>
      <c r="L237">
        <f t="shared" si="7"/>
        <v>2.2999999999999972</v>
      </c>
    </row>
    <row r="238" spans="1:24">
      <c r="A238" s="13">
        <v>45996</v>
      </c>
      <c r="B238" s="14" t="s">
        <v>501</v>
      </c>
      <c r="C238" s="15" t="s">
        <v>641</v>
      </c>
      <c r="D238" s="22">
        <v>4.0000000000000001E-3</v>
      </c>
      <c r="E238" s="22">
        <v>3.0000000000000001E-3</v>
      </c>
      <c r="F238" s="22">
        <v>4.0000000000000001E-3</v>
      </c>
      <c r="G238" s="8">
        <f t="shared" si="2"/>
        <v>1E-3</v>
      </c>
      <c r="H238" s="8">
        <f t="shared" si="3"/>
        <v>0</v>
      </c>
      <c r="I238" s="8" t="str">
        <f t="shared" si="4"/>
        <v>Accelerating</v>
      </c>
      <c r="J238">
        <f t="shared" si="5"/>
        <v>1</v>
      </c>
      <c r="K238">
        <f t="shared" si="6"/>
        <v>1E-3</v>
      </c>
      <c r="L238">
        <f t="shared" si="7"/>
        <v>0</v>
      </c>
    </row>
    <row r="239" spans="1:24">
      <c r="A239" s="23">
        <v>45996</v>
      </c>
      <c r="B239" s="28" t="s">
        <v>501</v>
      </c>
      <c r="C239" s="24" t="s">
        <v>642</v>
      </c>
      <c r="D239" s="25">
        <v>3.0000000000000001E-3</v>
      </c>
      <c r="E239" s="25">
        <v>3.0000000000000001E-3</v>
      </c>
      <c r="F239" s="25">
        <v>5.0000000000000001E-3</v>
      </c>
      <c r="G239" s="8">
        <f t="shared" si="2"/>
        <v>0</v>
      </c>
      <c r="H239" s="8">
        <f t="shared" si="3"/>
        <v>-2E-3</v>
      </c>
      <c r="I239" s="8" t="str">
        <f t="shared" si="4"/>
        <v>Mixed</v>
      </c>
      <c r="J239">
        <f t="shared" si="5"/>
        <v>1</v>
      </c>
      <c r="K239">
        <f t="shared" si="6"/>
        <v>0</v>
      </c>
      <c r="L239">
        <f t="shared" si="7"/>
        <v>-2E-3</v>
      </c>
    </row>
    <row r="240" spans="1:24">
      <c r="A240" s="13">
        <v>45996</v>
      </c>
      <c r="B240" s="14" t="s">
        <v>501</v>
      </c>
      <c r="C240" s="15" t="s">
        <v>643</v>
      </c>
      <c r="D240" s="16">
        <v>92000000</v>
      </c>
      <c r="E240" s="16">
        <v>118000000</v>
      </c>
      <c r="F240" s="16">
        <v>110000000</v>
      </c>
      <c r="G240" s="8">
        <f t="shared" si="2"/>
        <v>-26000000</v>
      </c>
      <c r="H240" s="8">
        <f t="shared" si="3"/>
        <v>-18000000</v>
      </c>
      <c r="I240" s="8" t="str">
        <f t="shared" si="4"/>
        <v>Slowing</v>
      </c>
      <c r="J240">
        <f t="shared" si="5"/>
        <v>1</v>
      </c>
      <c r="K240">
        <f t="shared" si="6"/>
        <v>-26000000</v>
      </c>
      <c r="L240">
        <f t="shared" si="7"/>
        <v>-18000000</v>
      </c>
    </row>
    <row r="241" spans="1:12">
      <c r="A241" s="13">
        <v>45996</v>
      </c>
      <c r="B241" s="14" t="s">
        <v>499</v>
      </c>
      <c r="C241" s="15" t="s">
        <v>644</v>
      </c>
      <c r="D241" s="22">
        <v>2E-3</v>
      </c>
      <c r="E241" s="22">
        <v>2E-3</v>
      </c>
      <c r="F241" s="22">
        <v>2E-3</v>
      </c>
      <c r="G241" s="8">
        <f t="shared" si="2"/>
        <v>0</v>
      </c>
      <c r="H241" s="8">
        <f t="shared" si="3"/>
        <v>0</v>
      </c>
      <c r="I241" s="8" t="str">
        <f t="shared" si="4"/>
        <v>Stable</v>
      </c>
      <c r="J241">
        <f t="shared" si="5"/>
        <v>1</v>
      </c>
      <c r="K241">
        <f t="shared" si="6"/>
        <v>0</v>
      </c>
      <c r="L241">
        <f t="shared" si="7"/>
        <v>0</v>
      </c>
    </row>
    <row r="242" spans="1:12">
      <c r="A242" s="13">
        <v>45996</v>
      </c>
      <c r="B242" s="14" t="s">
        <v>499</v>
      </c>
      <c r="C242" s="15" t="s">
        <v>645</v>
      </c>
      <c r="D242" s="22">
        <v>4.1000000000000002E-2</v>
      </c>
      <c r="E242" s="16" t="s">
        <v>626</v>
      </c>
      <c r="F242" s="22">
        <v>4.4999999999999998E-2</v>
      </c>
      <c r="G242" s="8" t="str">
        <f t="shared" si="2"/>
        <v/>
      </c>
      <c r="H242" s="8">
        <f t="shared" si="3"/>
        <v>-3.9999999999999966E-3</v>
      </c>
      <c r="I242" s="8" t="str">
        <f t="shared" si="4"/>
        <v>Accelerating</v>
      </c>
      <c r="J242">
        <f t="shared" si="5"/>
        <v>-1</v>
      </c>
      <c r="K242" t="str">
        <f t="shared" si="6"/>
        <v/>
      </c>
      <c r="L242">
        <f t="shared" si="7"/>
        <v>3.9999999999999966E-3</v>
      </c>
    </row>
    <row r="243" spans="1:12">
      <c r="A243" s="13">
        <v>45996</v>
      </c>
      <c r="B243" s="14" t="s">
        <v>646</v>
      </c>
      <c r="C243" s="15" t="s">
        <v>647</v>
      </c>
      <c r="D243" s="16">
        <v>53600</v>
      </c>
      <c r="E243" s="16">
        <v>-1500</v>
      </c>
      <c r="F243" s="16">
        <v>66600</v>
      </c>
      <c r="G243" s="8">
        <f t="shared" ref="G243:G274" si="11">IF(NOT(ISNUMBER(D243)),"",IF(NOT(ISNUMBER(E243)),"",D243-E243))</f>
        <v>55100</v>
      </c>
      <c r="H243" s="8">
        <f t="shared" ref="H243:H274" si="12">IF(NOT(ISNUMBER(D243)),"",IF(NOT(ISNUMBER(F243)),"",D243-F243))</f>
        <v>-13000</v>
      </c>
      <c r="I243" s="8" t="str">
        <f t="shared" ref="I243:I274" si="13">IF(AND(K243="",L243=""),"N/A",IF(AND(ABS(N(K243))&lt;0.0005,ABS(N(L243))&lt;0.0005),"Stable",IF(AND(L243="",ABS(N(K243))&gt;=0.0005),IF(N(K243)&gt;0,"Accelerating","Slowing"),IF(AND(K243="",ABS(N(L243))&gt;=0.0005),IF(N(L243)&gt;0,"Accelerating","Slowing"),IF(AND(N(K243)&gt;0,N(L243)&gt;=0),"Accelerating",IF(AND(N(K243)&lt;0,N(L243)&lt;=0),"Slowing","Mixed"))))))</f>
        <v>Mixed</v>
      </c>
      <c r="J243">
        <f t="shared" ref="J243:J274" si="14">IF(OR(ISNUMBER(SEARCH("Unemployment",C243)),ISNUMBER(SEARCH("Claims",C243)),ISNUMBER(SEARCH("Jobless",C243)),ISNUMBER(SEARCH("Inventories",C243)),ISNUMBER(SEARCH("Wholesale Inventories",C243)),ISNUMBER(SEARCH("JOLTS Job Openings",C243)),ISNUMBER(SEARCH("Inflation Expectations",C243))),-1,1)</f>
        <v>1</v>
      </c>
      <c r="K243">
        <f t="shared" ref="K243:K274" si="15">IF(OR(G243="",G243="(NA)"),"",J243*G243)</f>
        <v>55100</v>
      </c>
      <c r="L243">
        <f t="shared" ref="L243:L274" si="16">IF(OR(H243="",H243="(NA)"),"",J243*H243)</f>
        <v>-13000</v>
      </c>
    </row>
    <row r="244" spans="1:12">
      <c r="A244" s="13">
        <v>46000</v>
      </c>
      <c r="B244" s="14" t="s">
        <v>504</v>
      </c>
      <c r="C244" s="15" t="s">
        <v>648</v>
      </c>
      <c r="D244" s="16">
        <v>16.899999999999999</v>
      </c>
      <c r="E244" s="16">
        <v>15.9</v>
      </c>
      <c r="F244" s="16">
        <v>15.3</v>
      </c>
      <c r="G244" s="8">
        <f t="shared" si="11"/>
        <v>0.99999999999999822</v>
      </c>
      <c r="H244" s="8">
        <f t="shared" si="12"/>
        <v>1.5999999999999979</v>
      </c>
      <c r="I244" s="8" t="str">
        <f t="shared" si="13"/>
        <v>Accelerating</v>
      </c>
      <c r="J244">
        <f t="shared" si="14"/>
        <v>1</v>
      </c>
      <c r="K244">
        <f t="shared" si="15"/>
        <v>0.99999999999999822</v>
      </c>
      <c r="L244">
        <f t="shared" si="16"/>
        <v>1.5999999999999979</v>
      </c>
    </row>
    <row r="245" spans="1:12">
      <c r="A245" s="13">
        <v>45996</v>
      </c>
      <c r="B245" s="14" t="s">
        <v>646</v>
      </c>
      <c r="C245" s="15" t="s">
        <v>649</v>
      </c>
      <c r="D245" s="22">
        <v>6.5000000000000002E-2</v>
      </c>
      <c r="E245" s="22">
        <v>7.0000000000000007E-2</v>
      </c>
      <c r="F245" s="22">
        <v>6.9000000000000006E-2</v>
      </c>
      <c r="G245" s="8">
        <f t="shared" si="11"/>
        <v>-5.0000000000000044E-3</v>
      </c>
      <c r="H245" s="8">
        <f t="shared" si="12"/>
        <v>-4.0000000000000036E-3</v>
      </c>
      <c r="I245" s="8" t="str">
        <f t="shared" si="13"/>
        <v>Accelerating</v>
      </c>
      <c r="J245">
        <f t="shared" si="14"/>
        <v>-1</v>
      </c>
      <c r="K245">
        <f t="shared" si="15"/>
        <v>5.0000000000000044E-3</v>
      </c>
      <c r="L245">
        <f t="shared" si="16"/>
        <v>4.0000000000000036E-3</v>
      </c>
    </row>
    <row r="246" spans="1:12">
      <c r="A246" s="13">
        <v>45997</v>
      </c>
      <c r="B246" s="14" t="s">
        <v>504</v>
      </c>
      <c r="C246" s="15" t="s">
        <v>650</v>
      </c>
      <c r="D246" s="22">
        <v>1.7999999999999999E-2</v>
      </c>
      <c r="E246" s="22">
        <v>2E-3</v>
      </c>
      <c r="F246" s="22">
        <v>1.2999999999999999E-2</v>
      </c>
      <c r="G246" s="8">
        <f t="shared" si="11"/>
        <v>1.6E-2</v>
      </c>
      <c r="H246" s="8">
        <f t="shared" si="12"/>
        <v>4.9999999999999992E-3</v>
      </c>
      <c r="I246" s="8" t="str">
        <f t="shared" si="13"/>
        <v>Accelerating</v>
      </c>
      <c r="J246">
        <f t="shared" si="14"/>
        <v>1</v>
      </c>
      <c r="K246">
        <f t="shared" si="15"/>
        <v>1.6E-2</v>
      </c>
      <c r="L246">
        <f t="shared" si="16"/>
        <v>4.9999999999999992E-3</v>
      </c>
    </row>
    <row r="247" spans="1:12">
      <c r="A247" s="13">
        <v>46000</v>
      </c>
      <c r="B247" s="14" t="s">
        <v>504</v>
      </c>
      <c r="C247" s="15" t="s">
        <v>651</v>
      </c>
      <c r="D247" s="29">
        <v>-6.2E-2</v>
      </c>
      <c r="E247" s="29">
        <v>-6.2E-2</v>
      </c>
      <c r="F247" s="29">
        <v>-7.3999999999999996E-2</v>
      </c>
      <c r="G247" s="8">
        <f t="shared" si="11"/>
        <v>0</v>
      </c>
      <c r="H247" s="8">
        <f t="shared" si="12"/>
        <v>1.1999999999999997E-2</v>
      </c>
      <c r="I247" s="8" t="str">
        <f t="shared" si="13"/>
        <v>Mixed</v>
      </c>
      <c r="J247">
        <f t="shared" si="14"/>
        <v>1</v>
      </c>
      <c r="K247">
        <f t="shared" si="15"/>
        <v>0</v>
      </c>
      <c r="L247">
        <f t="shared" si="16"/>
        <v>1.1999999999999997E-2</v>
      </c>
    </row>
    <row r="248" spans="1:12">
      <c r="A248" s="13">
        <v>46000</v>
      </c>
      <c r="B248" s="14" t="s">
        <v>501</v>
      </c>
      <c r="C248" s="15" t="s">
        <v>652</v>
      </c>
      <c r="D248" s="29">
        <v>99</v>
      </c>
      <c r="E248" s="29">
        <v>98.4</v>
      </c>
      <c r="F248" s="29">
        <v>98.2</v>
      </c>
      <c r="G248" s="8">
        <f t="shared" si="11"/>
        <v>0.59999999999999432</v>
      </c>
      <c r="H248" s="8">
        <f t="shared" si="12"/>
        <v>0.79999999999999716</v>
      </c>
      <c r="I248" s="8" t="str">
        <f t="shared" si="13"/>
        <v>Accelerating</v>
      </c>
      <c r="J248">
        <f t="shared" si="14"/>
        <v>1</v>
      </c>
      <c r="K248">
        <f t="shared" si="15"/>
        <v>0.59999999999999432</v>
      </c>
      <c r="L248">
        <f t="shared" si="16"/>
        <v>0.79999999999999716</v>
      </c>
    </row>
    <row r="249" spans="1:12">
      <c r="A249" s="13">
        <v>46000</v>
      </c>
      <c r="B249" s="14" t="s">
        <v>500</v>
      </c>
      <c r="C249" s="15" t="s">
        <v>653</v>
      </c>
      <c r="D249" s="29">
        <v>4.8</v>
      </c>
      <c r="E249" s="29"/>
      <c r="F249" s="29">
        <v>-13.5</v>
      </c>
      <c r="G249" s="8" t="str">
        <f t="shared" si="11"/>
        <v/>
      </c>
      <c r="H249" s="8">
        <f t="shared" si="12"/>
        <v>18.3</v>
      </c>
      <c r="I249" s="8" t="str">
        <f t="shared" si="13"/>
        <v>Accelerating</v>
      </c>
      <c r="J249">
        <f t="shared" si="14"/>
        <v>1</v>
      </c>
      <c r="K249" t="str">
        <f t="shared" si="15"/>
        <v/>
      </c>
      <c r="L249">
        <f t="shared" si="16"/>
        <v>18.3</v>
      </c>
    </row>
    <row r="250" spans="1:12">
      <c r="A250" s="13">
        <v>45901</v>
      </c>
      <c r="B250" s="14" t="s">
        <v>500</v>
      </c>
      <c r="C250" s="15" t="s">
        <v>654</v>
      </c>
      <c r="D250" s="29">
        <v>7.66</v>
      </c>
      <c r="E250" s="29"/>
      <c r="F250" s="29">
        <v>7.23</v>
      </c>
      <c r="G250" s="8" t="str">
        <f t="shared" si="11"/>
        <v/>
      </c>
      <c r="H250" s="8">
        <f t="shared" si="12"/>
        <v>0.42999999999999972</v>
      </c>
      <c r="I250" s="8" t="str">
        <f t="shared" si="13"/>
        <v>Slowing</v>
      </c>
      <c r="J250">
        <f t="shared" si="14"/>
        <v>-1</v>
      </c>
      <c r="K250" t="str">
        <f t="shared" si="15"/>
        <v/>
      </c>
      <c r="L250">
        <f t="shared" si="16"/>
        <v>-0.42999999999999972</v>
      </c>
    </row>
    <row r="251" spans="1:12">
      <c r="A251" s="13">
        <v>46000</v>
      </c>
      <c r="B251" s="14" t="s">
        <v>500</v>
      </c>
      <c r="C251" s="15" t="s">
        <v>654</v>
      </c>
      <c r="D251" s="29">
        <v>7.67</v>
      </c>
      <c r="E251" s="29">
        <v>7.14</v>
      </c>
      <c r="F251" s="29">
        <v>7.66</v>
      </c>
      <c r="G251" s="8">
        <f t="shared" si="11"/>
        <v>0.53000000000000025</v>
      </c>
      <c r="H251" s="8">
        <f t="shared" si="12"/>
        <v>9.9999999999997868E-3</v>
      </c>
      <c r="I251" s="8" t="str">
        <f t="shared" si="13"/>
        <v>Slowing</v>
      </c>
      <c r="J251">
        <f t="shared" si="14"/>
        <v>-1</v>
      </c>
      <c r="K251">
        <f t="shared" si="15"/>
        <v>-0.53000000000000025</v>
      </c>
      <c r="L251">
        <f t="shared" si="16"/>
        <v>-9.9999999999997868E-3</v>
      </c>
    </row>
    <row r="252" spans="1:12">
      <c r="A252" s="13">
        <v>46000</v>
      </c>
      <c r="B252" s="14" t="s">
        <v>501</v>
      </c>
      <c r="C252" s="15" t="s">
        <v>655</v>
      </c>
      <c r="D252" s="29">
        <v>-0.3</v>
      </c>
      <c r="E252" s="29">
        <v>-0.3</v>
      </c>
      <c r="F252" s="29">
        <v>-0.3</v>
      </c>
      <c r="G252" s="8">
        <f t="shared" si="11"/>
        <v>0</v>
      </c>
      <c r="H252" s="8">
        <f t="shared" si="12"/>
        <v>0</v>
      </c>
      <c r="I252" s="8" t="str">
        <f t="shared" si="13"/>
        <v>Stable</v>
      </c>
      <c r="J252">
        <f t="shared" si="14"/>
        <v>1</v>
      </c>
      <c r="K252">
        <f t="shared" si="15"/>
        <v>0</v>
      </c>
      <c r="L252">
        <f t="shared" si="16"/>
        <v>0</v>
      </c>
    </row>
    <row r="253" spans="1:12">
      <c r="A253" s="13">
        <v>46001</v>
      </c>
      <c r="B253" s="14" t="s">
        <v>504</v>
      </c>
      <c r="C253" s="15" t="s">
        <v>656</v>
      </c>
      <c r="D253" s="29">
        <v>-1</v>
      </c>
      <c r="E253" s="30">
        <v>-3.0000000000000001E-3</v>
      </c>
      <c r="F253" s="30">
        <v>2.8000000000000001E-2</v>
      </c>
      <c r="G253" s="8">
        <f t="shared" si="11"/>
        <v>-0.997</v>
      </c>
      <c r="H253" s="8">
        <f t="shared" si="12"/>
        <v>-1.028</v>
      </c>
      <c r="I253" s="8" t="str">
        <f t="shared" si="13"/>
        <v>Slowing</v>
      </c>
      <c r="J253">
        <f t="shared" si="14"/>
        <v>1</v>
      </c>
      <c r="K253">
        <f t="shared" si="15"/>
        <v>-0.997</v>
      </c>
      <c r="L253">
        <f t="shared" si="16"/>
        <v>-1.028</v>
      </c>
    </row>
    <row r="254" spans="1:12">
      <c r="A254" s="13">
        <v>46001</v>
      </c>
      <c r="B254" s="14" t="s">
        <v>499</v>
      </c>
      <c r="C254" s="15" t="s">
        <v>657</v>
      </c>
      <c r="D254" s="29">
        <v>8.0000000000000002E-3</v>
      </c>
      <c r="E254" s="30">
        <v>8.9999999999999993E-3</v>
      </c>
      <c r="F254" s="30">
        <v>8.9999999999999993E-3</v>
      </c>
      <c r="G254" s="8">
        <f t="shared" si="11"/>
        <v>-9.9999999999999915E-4</v>
      </c>
      <c r="H254" s="8">
        <f t="shared" si="12"/>
        <v>-9.9999999999999915E-4</v>
      </c>
      <c r="I254" s="8" t="str">
        <f t="shared" si="13"/>
        <v>Slowing</v>
      </c>
      <c r="J254">
        <f t="shared" si="14"/>
        <v>1</v>
      </c>
      <c r="K254">
        <f t="shared" si="15"/>
        <v>-9.9999999999999915E-4</v>
      </c>
      <c r="L254">
        <f t="shared" si="16"/>
        <v>-9.9999999999999915E-4</v>
      </c>
    </row>
    <row r="255" spans="1:12">
      <c r="A255" s="13">
        <v>46001</v>
      </c>
      <c r="B255" s="14" t="s">
        <v>501</v>
      </c>
      <c r="C255" s="15" t="s">
        <v>658</v>
      </c>
      <c r="D255" s="29">
        <v>3.7499999999999999E-2</v>
      </c>
      <c r="E255" s="31">
        <v>3.7499999999999999E-2</v>
      </c>
      <c r="F255" s="31">
        <v>0.04</v>
      </c>
      <c r="G255" s="8">
        <f t="shared" si="11"/>
        <v>0</v>
      </c>
      <c r="H255" s="8">
        <f t="shared" si="12"/>
        <v>-2.5000000000000022E-3</v>
      </c>
      <c r="I255" s="8" t="str">
        <f t="shared" si="13"/>
        <v>Mixed</v>
      </c>
      <c r="J255">
        <f t="shared" si="14"/>
        <v>1</v>
      </c>
      <c r="K255">
        <f t="shared" si="15"/>
        <v>0</v>
      </c>
      <c r="L255">
        <f t="shared" si="16"/>
        <v>-2.5000000000000022E-3</v>
      </c>
    </row>
    <row r="256" spans="1:12">
      <c r="A256" s="13">
        <v>46001</v>
      </c>
      <c r="B256" s="14" t="s">
        <v>501</v>
      </c>
      <c r="C256" s="15" t="s">
        <v>659</v>
      </c>
      <c r="D256" s="29">
        <v>-173.3</v>
      </c>
      <c r="E256" s="32">
        <v>-186.5</v>
      </c>
      <c r="F256" s="32">
        <v>-284.39999999999998</v>
      </c>
      <c r="G256" s="8">
        <f t="shared" si="11"/>
        <v>13.199999999999989</v>
      </c>
      <c r="H256" s="8">
        <f t="shared" si="12"/>
        <v>111.09999999999997</v>
      </c>
      <c r="I256" s="8" t="str">
        <f t="shared" si="13"/>
        <v>Accelerating</v>
      </c>
      <c r="J256">
        <f t="shared" si="14"/>
        <v>1</v>
      </c>
      <c r="K256">
        <f t="shared" si="15"/>
        <v>13.199999999999989</v>
      </c>
      <c r="L256">
        <f t="shared" si="16"/>
        <v>111.09999999999997</v>
      </c>
    </row>
    <row r="257" spans="1:12">
      <c r="A257" s="13">
        <v>46002</v>
      </c>
      <c r="B257" s="14" t="s">
        <v>503</v>
      </c>
      <c r="C257" s="15" t="s">
        <v>660</v>
      </c>
      <c r="D257" s="30">
        <v>6.0999999999999999E-2</v>
      </c>
      <c r="E257" s="30">
        <v>6.3E-2</v>
      </c>
      <c r="F257" s="30">
        <v>6.3E-2</v>
      </c>
      <c r="G257" s="8">
        <f t="shared" si="11"/>
        <v>-2.0000000000000018E-3</v>
      </c>
      <c r="H257" s="8">
        <f t="shared" si="12"/>
        <v>-2.0000000000000018E-3</v>
      </c>
      <c r="I257" s="8" t="str">
        <f t="shared" si="13"/>
        <v>Accelerating</v>
      </c>
      <c r="J257">
        <f t="shared" si="14"/>
        <v>-1</v>
      </c>
      <c r="K257">
        <f t="shared" si="15"/>
        <v>2.0000000000000018E-3</v>
      </c>
      <c r="L257">
        <f t="shared" si="16"/>
        <v>2.0000000000000018E-3</v>
      </c>
    </row>
    <row r="258" spans="1:12">
      <c r="A258" s="13">
        <v>46002</v>
      </c>
      <c r="B258" s="14" t="s">
        <v>500</v>
      </c>
      <c r="C258" s="15" t="s">
        <v>661</v>
      </c>
      <c r="D258" s="29">
        <v>236</v>
      </c>
      <c r="E258" s="32">
        <v>220</v>
      </c>
      <c r="F258" s="32">
        <v>191</v>
      </c>
      <c r="G258" s="8">
        <f t="shared" si="11"/>
        <v>16</v>
      </c>
      <c r="H258" s="8">
        <f t="shared" si="12"/>
        <v>45</v>
      </c>
      <c r="I258" s="8" t="str">
        <f t="shared" si="13"/>
        <v>Slowing</v>
      </c>
      <c r="J258">
        <f t="shared" si="14"/>
        <v>-1</v>
      </c>
      <c r="K258">
        <f t="shared" si="15"/>
        <v>-16</v>
      </c>
      <c r="L258">
        <f t="shared" si="16"/>
        <v>-45</v>
      </c>
    </row>
    <row r="259" spans="1:12">
      <c r="A259" s="13">
        <v>46002</v>
      </c>
      <c r="B259" s="14" t="s">
        <v>501</v>
      </c>
      <c r="C259" s="15" t="s">
        <v>662</v>
      </c>
      <c r="D259" s="29">
        <v>-52.8</v>
      </c>
      <c r="E259" s="32">
        <v>-62.5</v>
      </c>
      <c r="F259" s="32">
        <v>-59.6</v>
      </c>
      <c r="G259" s="8">
        <f t="shared" si="11"/>
        <v>9.7000000000000028</v>
      </c>
      <c r="H259" s="8">
        <f t="shared" si="12"/>
        <v>6.8000000000000043</v>
      </c>
      <c r="I259" s="8" t="str">
        <f t="shared" si="13"/>
        <v>Accelerating</v>
      </c>
      <c r="J259">
        <f t="shared" si="14"/>
        <v>1</v>
      </c>
      <c r="K259">
        <f t="shared" si="15"/>
        <v>9.7000000000000028</v>
      </c>
      <c r="L259">
        <f t="shared" si="16"/>
        <v>6.8000000000000043</v>
      </c>
    </row>
    <row r="260" spans="1:12">
      <c r="A260" s="13">
        <v>46002</v>
      </c>
      <c r="B260" s="14" t="s">
        <v>501</v>
      </c>
      <c r="C260" s="15" t="s">
        <v>663</v>
      </c>
      <c r="D260" s="30">
        <v>5.0000000000000001E-3</v>
      </c>
      <c r="E260" s="30">
        <v>1E-3</v>
      </c>
      <c r="F260" s="30">
        <v>0</v>
      </c>
      <c r="G260" s="8">
        <f t="shared" si="11"/>
        <v>4.0000000000000001E-3</v>
      </c>
      <c r="H260" s="8">
        <f t="shared" si="12"/>
        <v>5.0000000000000001E-3</v>
      </c>
      <c r="I260" s="8" t="str">
        <f t="shared" si="13"/>
        <v>Slowing</v>
      </c>
      <c r="J260">
        <f t="shared" si="14"/>
        <v>-1</v>
      </c>
      <c r="K260">
        <f t="shared" si="15"/>
        <v>-4.0000000000000001E-3</v>
      </c>
      <c r="L260">
        <f t="shared" si="16"/>
        <v>-5.0000000000000001E-3</v>
      </c>
    </row>
    <row r="261" spans="1:12">
      <c r="A261" s="13">
        <v>46003</v>
      </c>
      <c r="B261" s="14" t="s">
        <v>502</v>
      </c>
      <c r="C261" s="15" t="s">
        <v>664</v>
      </c>
      <c r="D261" s="30">
        <v>-2E-3</v>
      </c>
      <c r="E261" s="30">
        <v>-2E-3</v>
      </c>
      <c r="F261" s="30">
        <v>-2E-3</v>
      </c>
      <c r="G261" s="8">
        <f t="shared" si="11"/>
        <v>0</v>
      </c>
      <c r="H261" s="8">
        <f t="shared" si="12"/>
        <v>0</v>
      </c>
      <c r="I261" s="8" t="str">
        <f t="shared" si="13"/>
        <v>Stable</v>
      </c>
      <c r="J261">
        <f t="shared" si="14"/>
        <v>1</v>
      </c>
      <c r="K261">
        <f t="shared" si="15"/>
        <v>0</v>
      </c>
      <c r="L261">
        <f t="shared" si="16"/>
        <v>0</v>
      </c>
    </row>
    <row r="262" spans="1:12">
      <c r="A262" s="13">
        <v>46003</v>
      </c>
      <c r="B262" s="14" t="s">
        <v>502</v>
      </c>
      <c r="C262" s="15" t="s">
        <v>665</v>
      </c>
      <c r="D262" s="30">
        <v>-2E-3</v>
      </c>
      <c r="E262" s="30">
        <v>-1E-3</v>
      </c>
      <c r="F262" s="30">
        <v>-1E-3</v>
      </c>
      <c r="G262" s="8">
        <f t="shared" si="11"/>
        <v>-1E-3</v>
      </c>
      <c r="H262" s="8">
        <f t="shared" si="12"/>
        <v>-1E-3</v>
      </c>
      <c r="I262" s="8" t="str">
        <f t="shared" si="13"/>
        <v>Slowing</v>
      </c>
      <c r="J262">
        <f t="shared" si="14"/>
        <v>1</v>
      </c>
      <c r="K262">
        <f t="shared" si="15"/>
        <v>-1E-3</v>
      </c>
      <c r="L262">
        <f t="shared" si="16"/>
        <v>-1E-3</v>
      </c>
    </row>
    <row r="263" spans="1:12">
      <c r="A263" s="13">
        <v>46003</v>
      </c>
      <c r="B263" s="14" t="s">
        <v>502</v>
      </c>
      <c r="C263" s="15" t="s">
        <v>666</v>
      </c>
      <c r="D263" s="30">
        <v>2E-3</v>
      </c>
      <c r="E263" s="30">
        <v>2E-3</v>
      </c>
      <c r="F263" s="30">
        <v>2E-3</v>
      </c>
      <c r="G263" s="8">
        <f t="shared" si="11"/>
        <v>0</v>
      </c>
      <c r="H263" s="8">
        <f t="shared" si="12"/>
        <v>0</v>
      </c>
      <c r="I263" s="8" t="str">
        <f t="shared" si="13"/>
        <v>Stable</v>
      </c>
      <c r="J263">
        <f t="shared" si="14"/>
        <v>1</v>
      </c>
      <c r="K263">
        <f t="shared" si="15"/>
        <v>0</v>
      </c>
      <c r="L263">
        <f t="shared" si="16"/>
        <v>0</v>
      </c>
    </row>
    <row r="264" spans="1:12">
      <c r="A264" s="23">
        <v>46006</v>
      </c>
      <c r="B264" s="14" t="s">
        <v>504</v>
      </c>
      <c r="C264" s="24" t="s">
        <v>667</v>
      </c>
      <c r="D264" s="33">
        <v>3.0000000000000001E-3</v>
      </c>
      <c r="E264" s="33">
        <v>2E-3</v>
      </c>
      <c r="F264" s="33">
        <v>3.0000000000000001E-3</v>
      </c>
      <c r="G264" s="8">
        <f t="shared" si="11"/>
        <v>1E-3</v>
      </c>
      <c r="H264" s="8">
        <f t="shared" si="12"/>
        <v>0</v>
      </c>
      <c r="I264" s="8" t="str">
        <f t="shared" si="13"/>
        <v>Accelerating</v>
      </c>
      <c r="J264">
        <f t="shared" si="14"/>
        <v>1</v>
      </c>
      <c r="K264">
        <f t="shared" si="15"/>
        <v>1E-3</v>
      </c>
      <c r="L264">
        <f t="shared" si="16"/>
        <v>0</v>
      </c>
    </row>
    <row r="265" spans="1:12">
      <c r="A265" s="23">
        <v>46006</v>
      </c>
      <c r="B265" s="14" t="s">
        <v>504</v>
      </c>
      <c r="C265" s="24" t="s">
        <v>668</v>
      </c>
      <c r="D265" s="33">
        <v>8.0000000000000002E-3</v>
      </c>
      <c r="E265" s="33">
        <v>7.0000000000000001E-3</v>
      </c>
      <c r="F265" s="33">
        <v>2E-3</v>
      </c>
      <c r="G265" s="8">
        <f t="shared" si="11"/>
        <v>1E-3</v>
      </c>
      <c r="H265" s="8">
        <f t="shared" si="12"/>
        <v>6.0000000000000001E-3</v>
      </c>
      <c r="I265" s="8" t="str">
        <f t="shared" si="13"/>
        <v>Accelerating</v>
      </c>
      <c r="J265">
        <f t="shared" si="14"/>
        <v>1</v>
      </c>
      <c r="K265">
        <f t="shared" si="15"/>
        <v>1E-3</v>
      </c>
      <c r="L265">
        <f t="shared" si="16"/>
        <v>6.0000000000000001E-3</v>
      </c>
    </row>
    <row r="266" spans="1:12">
      <c r="A266" s="23">
        <v>46006</v>
      </c>
      <c r="B266" s="14" t="s">
        <v>501</v>
      </c>
      <c r="C266" s="24" t="s">
        <v>669</v>
      </c>
      <c r="D266" s="33">
        <v>-3.9E-2</v>
      </c>
      <c r="E266" s="33">
        <v>9.8000000000000004E-2</v>
      </c>
      <c r="F266" s="33">
        <v>0.187</v>
      </c>
      <c r="G266" s="8">
        <f t="shared" si="11"/>
        <v>-0.13700000000000001</v>
      </c>
      <c r="H266" s="8">
        <f t="shared" si="12"/>
        <v>-0.22600000000000001</v>
      </c>
      <c r="I266" s="8" t="str">
        <f t="shared" si="13"/>
        <v>Slowing</v>
      </c>
      <c r="J266">
        <f t="shared" si="14"/>
        <v>1</v>
      </c>
      <c r="K266">
        <f t="shared" si="15"/>
        <v>-0.13700000000000001</v>
      </c>
      <c r="L266">
        <f t="shared" si="16"/>
        <v>-0.22600000000000001</v>
      </c>
    </row>
    <row r="267" spans="1:12">
      <c r="A267" s="23">
        <v>46006</v>
      </c>
      <c r="B267" s="14" t="s">
        <v>501</v>
      </c>
      <c r="C267" s="24" t="s">
        <v>670</v>
      </c>
      <c r="D267" s="33">
        <v>0</v>
      </c>
      <c r="E267" s="33">
        <v>0.39</v>
      </c>
      <c r="F267" s="33">
        <v>0.38</v>
      </c>
      <c r="G267" s="8">
        <f t="shared" si="11"/>
        <v>-0.39</v>
      </c>
      <c r="H267" s="8">
        <f t="shared" si="12"/>
        <v>-0.38</v>
      </c>
      <c r="I267" s="8" t="str">
        <f t="shared" si="13"/>
        <v>Slowing</v>
      </c>
      <c r="J267">
        <f t="shared" si="14"/>
        <v>1</v>
      </c>
      <c r="K267">
        <f t="shared" si="15"/>
        <v>-0.39</v>
      </c>
      <c r="L267">
        <f t="shared" si="16"/>
        <v>-0.38</v>
      </c>
    </row>
    <row r="268" spans="1:12">
      <c r="A268" s="23">
        <v>46007</v>
      </c>
      <c r="B268" s="14" t="s">
        <v>504</v>
      </c>
      <c r="C268" s="24" t="s">
        <v>671</v>
      </c>
      <c r="D268" s="34">
        <v>50.6</v>
      </c>
      <c r="E268" s="34">
        <v>48.1</v>
      </c>
      <c r="F268" s="34">
        <v>47.8</v>
      </c>
      <c r="G268" s="8">
        <f t="shared" si="11"/>
        <v>2.5</v>
      </c>
      <c r="H268" s="8">
        <f t="shared" si="12"/>
        <v>2.8000000000000043</v>
      </c>
      <c r="I268" s="8" t="str">
        <f t="shared" si="13"/>
        <v>Accelerating</v>
      </c>
      <c r="J268">
        <f t="shared" si="14"/>
        <v>1</v>
      </c>
      <c r="K268">
        <f t="shared" si="15"/>
        <v>2.5</v>
      </c>
      <c r="L268">
        <f t="shared" si="16"/>
        <v>2.8000000000000043</v>
      </c>
    </row>
    <row r="269" spans="1:12">
      <c r="A269" s="23">
        <v>46007</v>
      </c>
      <c r="B269" s="14" t="s">
        <v>504</v>
      </c>
      <c r="C269" s="24" t="s">
        <v>672</v>
      </c>
      <c r="D269" s="34">
        <v>50.2</v>
      </c>
      <c r="E269" s="34">
        <v>51.1</v>
      </c>
      <c r="F269" s="34">
        <v>51.4</v>
      </c>
      <c r="G269" s="8">
        <f t="shared" si="11"/>
        <v>-0.89999999999999858</v>
      </c>
      <c r="H269" s="8">
        <f t="shared" si="12"/>
        <v>-1.1999999999999957</v>
      </c>
      <c r="I269" s="8" t="str">
        <f t="shared" si="13"/>
        <v>Slowing</v>
      </c>
      <c r="J269">
        <f t="shared" si="14"/>
        <v>1</v>
      </c>
      <c r="K269">
        <f t="shared" si="15"/>
        <v>-0.89999999999999858</v>
      </c>
      <c r="L269">
        <f t="shared" si="16"/>
        <v>-1.1999999999999957</v>
      </c>
    </row>
    <row r="270" spans="1:12">
      <c r="A270" s="23">
        <v>46007</v>
      </c>
      <c r="B270" s="14" t="s">
        <v>504</v>
      </c>
      <c r="C270" s="24" t="s">
        <v>673</v>
      </c>
      <c r="D270" s="34">
        <v>47.7</v>
      </c>
      <c r="E270" s="34">
        <v>48.6</v>
      </c>
      <c r="F270" s="34">
        <v>48.2</v>
      </c>
      <c r="G270" s="8">
        <f t="shared" si="11"/>
        <v>-0.89999999999999858</v>
      </c>
      <c r="H270" s="8">
        <f t="shared" si="12"/>
        <v>-0.5</v>
      </c>
      <c r="I270" s="8" t="str">
        <f t="shared" si="13"/>
        <v>Slowing</v>
      </c>
      <c r="J270">
        <f t="shared" si="14"/>
        <v>1</v>
      </c>
      <c r="K270">
        <f t="shared" si="15"/>
        <v>-0.89999999999999858</v>
      </c>
      <c r="L270">
        <f t="shared" si="16"/>
        <v>-0.5</v>
      </c>
    </row>
    <row r="271" spans="1:12">
      <c r="A271" s="23">
        <v>46007</v>
      </c>
      <c r="B271" s="14" t="s">
        <v>504</v>
      </c>
      <c r="C271" s="24" t="s">
        <v>674</v>
      </c>
      <c r="D271" s="34">
        <v>52.6</v>
      </c>
      <c r="E271" s="34">
        <v>53</v>
      </c>
      <c r="F271" s="34">
        <v>53.1</v>
      </c>
      <c r="G271" s="8">
        <f t="shared" si="11"/>
        <v>-0.39999999999999858</v>
      </c>
      <c r="H271" s="8">
        <f t="shared" si="12"/>
        <v>-0.5</v>
      </c>
      <c r="I271" s="8" t="str">
        <f t="shared" si="13"/>
        <v>Slowing</v>
      </c>
      <c r="J271">
        <f t="shared" si="14"/>
        <v>1</v>
      </c>
      <c r="K271">
        <f t="shared" si="15"/>
        <v>-0.39999999999999858</v>
      </c>
      <c r="L271">
        <f t="shared" si="16"/>
        <v>-0.5</v>
      </c>
    </row>
    <row r="272" spans="1:12">
      <c r="A272" s="23">
        <v>46007</v>
      </c>
      <c r="B272" s="14" t="s">
        <v>504</v>
      </c>
      <c r="C272" s="24" t="s">
        <v>675</v>
      </c>
      <c r="D272" s="34">
        <v>49.2</v>
      </c>
      <c r="E272" s="34">
        <v>49.9</v>
      </c>
      <c r="F272" s="34">
        <v>49.6</v>
      </c>
      <c r="G272" s="8">
        <f t="shared" si="11"/>
        <v>-0.69999999999999574</v>
      </c>
      <c r="H272" s="8">
        <f t="shared" si="12"/>
        <v>-0.39999999999999858</v>
      </c>
      <c r="I272" s="8" t="str">
        <f t="shared" si="13"/>
        <v>Slowing</v>
      </c>
      <c r="J272">
        <f t="shared" si="14"/>
        <v>1</v>
      </c>
      <c r="K272">
        <f t="shared" si="15"/>
        <v>-0.69999999999999574</v>
      </c>
      <c r="L272">
        <f t="shared" si="16"/>
        <v>-0.39999999999999858</v>
      </c>
    </row>
    <row r="273" spans="1:12">
      <c r="A273" s="23">
        <v>46007</v>
      </c>
      <c r="B273" s="14" t="s">
        <v>504</v>
      </c>
      <c r="C273" s="24" t="s">
        <v>676</v>
      </c>
      <c r="D273" s="34">
        <v>52.6</v>
      </c>
      <c r="E273" s="34">
        <v>53.3</v>
      </c>
      <c r="F273" s="34">
        <v>53.6</v>
      </c>
      <c r="G273" s="8">
        <f t="shared" si="11"/>
        <v>-0.69999999999999574</v>
      </c>
      <c r="H273" s="8">
        <f t="shared" si="12"/>
        <v>-1</v>
      </c>
      <c r="I273" s="8" t="str">
        <f t="shared" si="13"/>
        <v>Slowing</v>
      </c>
      <c r="J273">
        <f t="shared" si="14"/>
        <v>1</v>
      </c>
      <c r="K273">
        <f t="shared" si="15"/>
        <v>-0.69999999999999574</v>
      </c>
      <c r="L273">
        <f t="shared" si="16"/>
        <v>-1</v>
      </c>
    </row>
    <row r="274" spans="1:12">
      <c r="A274" s="23">
        <v>46007</v>
      </c>
      <c r="B274" s="14" t="s">
        <v>504</v>
      </c>
      <c r="C274" s="24" t="s">
        <v>677</v>
      </c>
      <c r="D274" s="34">
        <v>4.16</v>
      </c>
      <c r="E274" s="34">
        <v>3.21</v>
      </c>
      <c r="F274" s="34">
        <v>2.85</v>
      </c>
      <c r="G274" s="8">
        <f t="shared" si="11"/>
        <v>0.95000000000000018</v>
      </c>
      <c r="H274" s="8">
        <f t="shared" si="12"/>
        <v>1.31</v>
      </c>
      <c r="I274" s="8" t="str">
        <f t="shared" si="13"/>
        <v>Accelerating</v>
      </c>
      <c r="J274">
        <f t="shared" si="14"/>
        <v>1</v>
      </c>
      <c r="K274">
        <f t="shared" si="15"/>
        <v>0.95000000000000018</v>
      </c>
      <c r="L274">
        <f t="shared" si="16"/>
        <v>1.31</v>
      </c>
    </row>
    <row r="275" spans="1:12">
      <c r="A275" s="23">
        <v>46007</v>
      </c>
      <c r="B275" s="14" t="s">
        <v>504</v>
      </c>
      <c r="C275" s="24" t="s">
        <v>662</v>
      </c>
      <c r="D275" s="34">
        <v>14</v>
      </c>
      <c r="E275" s="34">
        <v>18.3</v>
      </c>
      <c r="F275" s="34">
        <v>18.7</v>
      </c>
      <c r="G275" s="8">
        <f t="shared" ref="G275:G299" si="17">IF(NOT(ISNUMBER(D275)),"",IF(NOT(ISNUMBER(E275)),"",D275-E275))</f>
        <v>-4.3000000000000007</v>
      </c>
      <c r="H275" s="8">
        <f t="shared" ref="H275:H299" si="18">IF(NOT(ISNUMBER(D275)),"",IF(NOT(ISNUMBER(F275)),"",D275-F275))</f>
        <v>-4.6999999999999993</v>
      </c>
      <c r="I275" s="8" t="str">
        <f t="shared" ref="I275:I299" si="19">IF(AND(K275="",L275=""),"N/A",IF(AND(ABS(N(K275))&lt;0.0005,ABS(N(L275))&lt;0.0005),"Stable",IF(AND(L275="",ABS(N(K275))&gt;=0.0005),IF(N(K275)&gt;0,"Accelerating","Slowing"),IF(AND(K275="",ABS(N(L275))&gt;=0.0005),IF(N(L275)&gt;0,"Accelerating","Slowing"),IF(AND(N(K275)&gt;0,N(L275)&gt;=0),"Accelerating",IF(AND(N(K275)&lt;0,N(L275)&lt;=0),"Slowing","Mixed"))))))</f>
        <v>Slowing</v>
      </c>
      <c r="J275">
        <f t="shared" ref="J275:J299" si="20">IF(OR(ISNUMBER(SEARCH("Unemployment",C275)),ISNUMBER(SEARCH("Claims",C275)),ISNUMBER(SEARCH("Jobless",C275)),ISNUMBER(SEARCH("Inventories",C275)),ISNUMBER(SEARCH("Wholesale Inventories",C275)),ISNUMBER(SEARCH("JOLTS Job Openings",C275)),ISNUMBER(SEARCH("Inflation Expectations",C275))),-1,1)</f>
        <v>1</v>
      </c>
      <c r="K275">
        <f t="shared" ref="K275:K299" si="21">IF(OR(G275="",G275="(NA)"),"",J275*G275)</f>
        <v>-4.3000000000000007</v>
      </c>
      <c r="L275">
        <f t="shared" ref="L275:L299" si="22">IF(OR(H275="",H275="(NA)"),"",J275*H275)</f>
        <v>-4.6999999999999993</v>
      </c>
    </row>
    <row r="276" spans="1:12">
      <c r="A276" s="23">
        <v>46007</v>
      </c>
      <c r="B276" s="14" t="s">
        <v>504</v>
      </c>
      <c r="C276" s="24" t="s">
        <v>678</v>
      </c>
      <c r="D276" s="34">
        <v>45.8</v>
      </c>
      <c r="E276" s="34">
        <v>38.4</v>
      </c>
      <c r="F276" s="34" t="s">
        <v>679</v>
      </c>
      <c r="G276" s="8">
        <f t="shared" si="17"/>
        <v>7.3999999999999986</v>
      </c>
      <c r="H276" s="8" t="str">
        <f t="shared" si="18"/>
        <v/>
      </c>
      <c r="I276" s="8" t="str">
        <f t="shared" si="19"/>
        <v>Accelerating</v>
      </c>
      <c r="J276">
        <f t="shared" si="20"/>
        <v>1</v>
      </c>
      <c r="K276">
        <f t="shared" si="21"/>
        <v>7.3999999999999986</v>
      </c>
      <c r="L276" t="str">
        <f t="shared" si="22"/>
        <v/>
      </c>
    </row>
    <row r="277" spans="1:12">
      <c r="A277" s="23">
        <v>46007</v>
      </c>
      <c r="B277" s="14" t="s">
        <v>504</v>
      </c>
      <c r="C277" s="24" t="s">
        <v>680</v>
      </c>
      <c r="D277" s="34">
        <v>33.700000000000003</v>
      </c>
      <c r="E277" s="34">
        <v>26.3</v>
      </c>
      <c r="F277" s="34">
        <v>25</v>
      </c>
      <c r="G277" s="8">
        <f t="shared" si="17"/>
        <v>7.4000000000000021</v>
      </c>
      <c r="H277" s="8">
        <f t="shared" si="18"/>
        <v>8.7000000000000028</v>
      </c>
      <c r="I277" s="8" t="str">
        <f t="shared" si="19"/>
        <v>Accelerating</v>
      </c>
      <c r="J277">
        <f t="shared" si="20"/>
        <v>1</v>
      </c>
      <c r="K277">
        <f t="shared" si="21"/>
        <v>7.4000000000000021</v>
      </c>
      <c r="L277">
        <f t="shared" si="22"/>
        <v>8.7000000000000028</v>
      </c>
    </row>
    <row r="278" spans="1:12">
      <c r="A278" s="23">
        <v>46007</v>
      </c>
      <c r="B278" s="14" t="s">
        <v>500</v>
      </c>
      <c r="C278" s="24" t="s">
        <v>653</v>
      </c>
      <c r="D278" s="34">
        <v>16.3</v>
      </c>
      <c r="E278" s="34"/>
      <c r="F278" s="34">
        <v>4.8</v>
      </c>
      <c r="G278" s="8" t="str">
        <f t="shared" si="17"/>
        <v/>
      </c>
      <c r="H278" s="8">
        <f t="shared" si="18"/>
        <v>11.5</v>
      </c>
      <c r="I278" s="8" t="str">
        <f t="shared" si="19"/>
        <v>Accelerating</v>
      </c>
      <c r="J278">
        <f t="shared" si="20"/>
        <v>1</v>
      </c>
      <c r="K278" t="str">
        <f t="shared" si="21"/>
        <v/>
      </c>
      <c r="L278">
        <f t="shared" si="22"/>
        <v>11.5</v>
      </c>
    </row>
    <row r="279" spans="1:12">
      <c r="A279" s="23">
        <v>46007</v>
      </c>
      <c r="B279" s="14" t="s">
        <v>500</v>
      </c>
      <c r="C279" s="24" t="s">
        <v>681</v>
      </c>
      <c r="D279" s="33">
        <v>1E-3</v>
      </c>
      <c r="E279" s="33">
        <v>3.0000000000000001E-3</v>
      </c>
      <c r="F279" s="33">
        <v>2E-3</v>
      </c>
      <c r="G279" s="8">
        <f t="shared" si="17"/>
        <v>-2E-3</v>
      </c>
      <c r="H279" s="8">
        <f t="shared" si="18"/>
        <v>-1E-3</v>
      </c>
      <c r="I279" s="8" t="str">
        <f t="shared" si="19"/>
        <v>Slowing</v>
      </c>
      <c r="J279">
        <f t="shared" si="20"/>
        <v>1</v>
      </c>
      <c r="K279">
        <f t="shared" si="21"/>
        <v>-2E-3</v>
      </c>
      <c r="L279">
        <f t="shared" si="22"/>
        <v>-1E-3</v>
      </c>
    </row>
    <row r="280" spans="1:12">
      <c r="A280" s="23">
        <v>46007</v>
      </c>
      <c r="B280" s="14" t="s">
        <v>501</v>
      </c>
      <c r="C280" s="24" t="s">
        <v>682</v>
      </c>
      <c r="D280" s="33">
        <v>4.0000000000000001E-3</v>
      </c>
      <c r="E280" s="33">
        <v>2E-3</v>
      </c>
      <c r="F280" s="33">
        <v>3.0000000000000001E-3</v>
      </c>
      <c r="G280" s="8">
        <f t="shared" si="17"/>
        <v>2E-3</v>
      </c>
      <c r="H280" s="8">
        <f t="shared" si="18"/>
        <v>1E-3</v>
      </c>
      <c r="I280" s="8" t="str">
        <f t="shared" si="19"/>
        <v>Accelerating</v>
      </c>
      <c r="J280">
        <f t="shared" si="20"/>
        <v>1</v>
      </c>
      <c r="K280">
        <f t="shared" si="21"/>
        <v>2E-3</v>
      </c>
      <c r="L280">
        <f t="shared" si="22"/>
        <v>1E-3</v>
      </c>
    </row>
    <row r="281" spans="1:12">
      <c r="A281" s="23">
        <v>46007</v>
      </c>
      <c r="B281" s="14" t="s">
        <v>500</v>
      </c>
      <c r="C281" s="24" t="s">
        <v>683</v>
      </c>
      <c r="D281" s="34">
        <v>-105</v>
      </c>
      <c r="E281" s="34">
        <v>51</v>
      </c>
      <c r="F281" s="34">
        <v>119</v>
      </c>
      <c r="G281" s="8">
        <f t="shared" si="17"/>
        <v>-156</v>
      </c>
      <c r="H281" s="8">
        <f t="shared" si="18"/>
        <v>-224</v>
      </c>
      <c r="I281" s="8" t="str">
        <f t="shared" si="19"/>
        <v>Slowing</v>
      </c>
      <c r="J281">
        <f t="shared" si="20"/>
        <v>1</v>
      </c>
      <c r="K281">
        <f t="shared" si="21"/>
        <v>-156</v>
      </c>
      <c r="L281">
        <f t="shared" si="22"/>
        <v>-224</v>
      </c>
    </row>
    <row r="282" spans="1:12">
      <c r="A282" s="23">
        <v>46007</v>
      </c>
      <c r="B282" s="14" t="s">
        <v>501</v>
      </c>
      <c r="C282" s="24" t="s">
        <v>684</v>
      </c>
      <c r="D282" s="33">
        <v>0</v>
      </c>
      <c r="E282" s="33">
        <v>1E-3</v>
      </c>
      <c r="F282" s="33">
        <v>2E-3</v>
      </c>
      <c r="G282" s="8">
        <f t="shared" si="17"/>
        <v>-1E-3</v>
      </c>
      <c r="H282" s="8">
        <f t="shared" si="18"/>
        <v>-2E-3</v>
      </c>
      <c r="I282" s="8" t="str">
        <f t="shared" si="19"/>
        <v>Slowing</v>
      </c>
      <c r="J282">
        <f t="shared" si="20"/>
        <v>1</v>
      </c>
      <c r="K282">
        <f t="shared" si="21"/>
        <v>-1E-3</v>
      </c>
      <c r="L282">
        <f t="shared" si="22"/>
        <v>-2E-3</v>
      </c>
    </row>
    <row r="283" spans="1:12">
      <c r="A283" s="23">
        <v>46007</v>
      </c>
      <c r="B283" s="14" t="s">
        <v>500</v>
      </c>
      <c r="C283" s="24" t="s">
        <v>685</v>
      </c>
      <c r="D283" s="33">
        <v>4.5999999999999999E-2</v>
      </c>
      <c r="E283" s="33">
        <v>4.4999999999999998E-2</v>
      </c>
      <c r="F283" s="33">
        <v>4.3999999999999997E-2</v>
      </c>
      <c r="G283" s="8">
        <f t="shared" si="17"/>
        <v>1.0000000000000009E-3</v>
      </c>
      <c r="H283" s="8">
        <f t="shared" si="18"/>
        <v>2.0000000000000018E-3</v>
      </c>
      <c r="I283" s="8" t="str">
        <f t="shared" si="19"/>
        <v>Slowing</v>
      </c>
      <c r="J283">
        <f t="shared" si="20"/>
        <v>-1</v>
      </c>
      <c r="K283">
        <f t="shared" si="21"/>
        <v>-1.0000000000000009E-3</v>
      </c>
      <c r="L283">
        <f t="shared" si="22"/>
        <v>-2.0000000000000018E-3</v>
      </c>
    </row>
    <row r="284" spans="1:12">
      <c r="A284" s="23">
        <v>46007</v>
      </c>
      <c r="B284" s="14" t="s">
        <v>501</v>
      </c>
      <c r="C284" s="24" t="s">
        <v>675</v>
      </c>
      <c r="D284" s="34">
        <v>51.8</v>
      </c>
      <c r="E284" s="34">
        <v>52</v>
      </c>
      <c r="F284" s="34">
        <v>52.2</v>
      </c>
      <c r="G284" s="8">
        <f t="shared" si="17"/>
        <v>-0.20000000000000284</v>
      </c>
      <c r="H284" s="8">
        <f t="shared" si="18"/>
        <v>-0.40000000000000568</v>
      </c>
      <c r="I284" s="8" t="str">
        <f t="shared" si="19"/>
        <v>Slowing</v>
      </c>
      <c r="J284">
        <f t="shared" si="20"/>
        <v>1</v>
      </c>
      <c r="K284">
        <f t="shared" si="21"/>
        <v>-0.20000000000000284</v>
      </c>
      <c r="L284">
        <f t="shared" si="22"/>
        <v>-0.40000000000000568</v>
      </c>
    </row>
    <row r="285" spans="1:12">
      <c r="A285" s="23">
        <v>46007</v>
      </c>
      <c r="B285" s="14" t="s">
        <v>501</v>
      </c>
      <c r="C285" s="24" t="s">
        <v>676</v>
      </c>
      <c r="D285" s="34">
        <v>52.9</v>
      </c>
      <c r="E285" s="34">
        <v>54</v>
      </c>
      <c r="F285" s="34">
        <v>54.1</v>
      </c>
      <c r="G285" s="8">
        <f t="shared" si="17"/>
        <v>-1.1000000000000014</v>
      </c>
      <c r="H285" s="8">
        <f t="shared" si="18"/>
        <v>-1.2000000000000028</v>
      </c>
      <c r="I285" s="8" t="str">
        <f t="shared" si="19"/>
        <v>Slowing</v>
      </c>
      <c r="J285">
        <f t="shared" si="20"/>
        <v>1</v>
      </c>
      <c r="K285">
        <f t="shared" si="21"/>
        <v>-1.1000000000000014</v>
      </c>
      <c r="L285">
        <f t="shared" si="22"/>
        <v>-1.2000000000000028</v>
      </c>
    </row>
    <row r="286" spans="1:12">
      <c r="A286" s="23">
        <v>46007</v>
      </c>
      <c r="B286" s="14" t="s">
        <v>501</v>
      </c>
      <c r="C286" s="24" t="s">
        <v>686</v>
      </c>
      <c r="D286" s="33">
        <v>2E-3</v>
      </c>
      <c r="E286" s="33">
        <v>1E-3</v>
      </c>
      <c r="F286" s="33">
        <v>0</v>
      </c>
      <c r="G286" s="8">
        <f t="shared" si="17"/>
        <v>1E-3</v>
      </c>
      <c r="H286" s="8">
        <f t="shared" si="18"/>
        <v>2E-3</v>
      </c>
      <c r="I286" s="8" t="str">
        <f t="shared" si="19"/>
        <v>Slowing</v>
      </c>
      <c r="J286">
        <f t="shared" si="20"/>
        <v>-1</v>
      </c>
      <c r="K286">
        <f t="shared" si="21"/>
        <v>-1E-3</v>
      </c>
      <c r="L286">
        <f t="shared" si="22"/>
        <v>-2E-3</v>
      </c>
    </row>
    <row r="287" spans="1:12">
      <c r="A287" s="23">
        <v>46008</v>
      </c>
      <c r="B287" s="14" t="s">
        <v>504</v>
      </c>
      <c r="C287" s="24" t="s">
        <v>687</v>
      </c>
      <c r="D287" s="34">
        <v>87.6</v>
      </c>
      <c r="E287" s="34">
        <v>88.2</v>
      </c>
      <c r="F287" s="34">
        <v>88</v>
      </c>
      <c r="G287" s="8">
        <f t="shared" si="17"/>
        <v>-0.60000000000000853</v>
      </c>
      <c r="H287" s="8">
        <f t="shared" si="18"/>
        <v>-0.40000000000000568</v>
      </c>
      <c r="I287" s="8" t="str">
        <f t="shared" si="19"/>
        <v>Slowing</v>
      </c>
      <c r="J287">
        <f t="shared" si="20"/>
        <v>1</v>
      </c>
      <c r="K287">
        <f t="shared" si="21"/>
        <v>-0.60000000000000853</v>
      </c>
      <c r="L287">
        <f t="shared" si="22"/>
        <v>-0.40000000000000568</v>
      </c>
    </row>
    <row r="288" spans="1:12">
      <c r="A288" s="23">
        <v>46008</v>
      </c>
      <c r="B288" s="14" t="s">
        <v>502</v>
      </c>
      <c r="C288" s="24" t="s">
        <v>688</v>
      </c>
      <c r="D288" s="33">
        <v>2.4E-2</v>
      </c>
      <c r="E288" s="33">
        <v>2.4E-2</v>
      </c>
      <c r="F288" s="33">
        <v>2.5999999999999999E-2</v>
      </c>
      <c r="G288" s="8">
        <f t="shared" si="17"/>
        <v>0</v>
      </c>
      <c r="H288" s="8">
        <f t="shared" si="18"/>
        <v>-1.9999999999999983E-3</v>
      </c>
      <c r="I288" s="8" t="str">
        <f t="shared" si="19"/>
        <v>Mixed</v>
      </c>
      <c r="J288">
        <f t="shared" si="20"/>
        <v>1</v>
      </c>
      <c r="K288">
        <f t="shared" si="21"/>
        <v>0</v>
      </c>
      <c r="L288">
        <f t="shared" si="22"/>
        <v>-1.9999999999999983E-3</v>
      </c>
    </row>
    <row r="289" spans="1:12">
      <c r="A289" s="23">
        <v>46008</v>
      </c>
      <c r="B289" s="14" t="s">
        <v>502</v>
      </c>
      <c r="C289" s="24" t="s">
        <v>689</v>
      </c>
      <c r="D289" s="33">
        <v>2.1000000000000001E-2</v>
      </c>
      <c r="E289" s="33">
        <v>2.4E-2</v>
      </c>
      <c r="F289" s="33">
        <v>2.4E-2</v>
      </c>
      <c r="G289" s="8">
        <f t="shared" si="17"/>
        <v>-2.9999999999999992E-3</v>
      </c>
      <c r="H289" s="8">
        <f t="shared" si="18"/>
        <v>-2.9999999999999992E-3</v>
      </c>
      <c r="I289" s="8" t="str">
        <f t="shared" si="19"/>
        <v>Slowing</v>
      </c>
      <c r="J289">
        <f t="shared" si="20"/>
        <v>1</v>
      </c>
      <c r="K289">
        <f t="shared" si="21"/>
        <v>-2.9999999999999992E-3</v>
      </c>
      <c r="L289">
        <f t="shared" si="22"/>
        <v>-2.9999999999999992E-3</v>
      </c>
    </row>
    <row r="290" spans="1:12">
      <c r="A290" s="23">
        <v>46009</v>
      </c>
      <c r="B290" s="14" t="s">
        <v>504</v>
      </c>
      <c r="C290" s="24" t="s">
        <v>690</v>
      </c>
      <c r="D290" s="33">
        <v>2.1499999999999998E-2</v>
      </c>
      <c r="E290" s="33">
        <v>2.1499999999999998E-2</v>
      </c>
      <c r="F290" s="33">
        <v>2.1499999999999998E-2</v>
      </c>
      <c r="G290" s="8">
        <f t="shared" si="17"/>
        <v>0</v>
      </c>
      <c r="H290" s="8">
        <f t="shared" si="18"/>
        <v>0</v>
      </c>
      <c r="I290" s="8" t="str">
        <f t="shared" si="19"/>
        <v>Stable</v>
      </c>
      <c r="J290">
        <f t="shared" si="20"/>
        <v>1</v>
      </c>
      <c r="K290">
        <f t="shared" si="21"/>
        <v>0</v>
      </c>
      <c r="L290">
        <f t="shared" si="22"/>
        <v>0</v>
      </c>
    </row>
    <row r="291" spans="1:12">
      <c r="A291" s="23">
        <v>46009</v>
      </c>
      <c r="B291" s="14" t="s">
        <v>499</v>
      </c>
      <c r="C291" s="24" t="s">
        <v>691</v>
      </c>
      <c r="D291" s="33">
        <v>2.7E-2</v>
      </c>
      <c r="E291" s="33">
        <v>3.1E-2</v>
      </c>
      <c r="F291" s="33">
        <v>0.03</v>
      </c>
      <c r="G291" s="8">
        <f t="shared" si="17"/>
        <v>-4.0000000000000001E-3</v>
      </c>
      <c r="H291" s="8">
        <f t="shared" si="18"/>
        <v>-2.9999999999999992E-3</v>
      </c>
      <c r="I291" s="8" t="str">
        <f t="shared" si="19"/>
        <v>Slowing</v>
      </c>
      <c r="J291">
        <f t="shared" si="20"/>
        <v>1</v>
      </c>
      <c r="K291">
        <f t="shared" si="21"/>
        <v>-4.0000000000000001E-3</v>
      </c>
      <c r="L291">
        <f t="shared" si="22"/>
        <v>-2.9999999999999992E-3</v>
      </c>
    </row>
    <row r="292" spans="1:12">
      <c r="A292" s="23">
        <v>46009</v>
      </c>
      <c r="B292" s="14" t="s">
        <v>500</v>
      </c>
      <c r="C292" s="24" t="s">
        <v>661</v>
      </c>
      <c r="D292" s="34">
        <v>224</v>
      </c>
      <c r="E292" s="34">
        <v>224</v>
      </c>
      <c r="F292" s="34">
        <v>236</v>
      </c>
      <c r="G292" s="8">
        <f t="shared" si="17"/>
        <v>0</v>
      </c>
      <c r="H292" s="8">
        <f t="shared" si="18"/>
        <v>-12</v>
      </c>
      <c r="I292" s="8" t="str">
        <f t="shared" si="19"/>
        <v>Mixed</v>
      </c>
      <c r="J292">
        <f t="shared" si="20"/>
        <v>-1</v>
      </c>
      <c r="K292">
        <f t="shared" si="21"/>
        <v>0</v>
      </c>
      <c r="L292">
        <f t="shared" si="22"/>
        <v>12</v>
      </c>
    </row>
    <row r="293" spans="1:12">
      <c r="A293" s="23">
        <v>46009</v>
      </c>
      <c r="B293" s="14" t="s">
        <v>501</v>
      </c>
      <c r="C293" s="24" t="s">
        <v>692</v>
      </c>
      <c r="D293" s="34">
        <v>-10.199999999999999</v>
      </c>
      <c r="E293" s="34">
        <v>2.5</v>
      </c>
      <c r="F293" s="34">
        <v>-1.7</v>
      </c>
      <c r="G293" s="8">
        <f t="shared" si="17"/>
        <v>-12.7</v>
      </c>
      <c r="H293" s="8">
        <f t="shared" si="18"/>
        <v>-8.5</v>
      </c>
      <c r="I293" s="8" t="str">
        <f t="shared" si="19"/>
        <v>Slowing</v>
      </c>
      <c r="J293">
        <f t="shared" si="20"/>
        <v>1</v>
      </c>
      <c r="K293">
        <f t="shared" si="21"/>
        <v>-12.7</v>
      </c>
      <c r="L293">
        <f t="shared" si="22"/>
        <v>-8.5</v>
      </c>
    </row>
    <row r="294" spans="1:12">
      <c r="A294" s="23">
        <v>46009</v>
      </c>
      <c r="B294" s="14" t="s">
        <v>501</v>
      </c>
      <c r="C294" s="24" t="s">
        <v>693</v>
      </c>
      <c r="D294" s="34">
        <v>17.5</v>
      </c>
      <c r="E294" s="34">
        <v>122.7</v>
      </c>
      <c r="F294" s="34">
        <v>173.28</v>
      </c>
      <c r="G294" s="8">
        <f t="shared" si="17"/>
        <v>-105.2</v>
      </c>
      <c r="H294" s="8">
        <f t="shared" si="18"/>
        <v>-155.78</v>
      </c>
      <c r="I294" s="8" t="str">
        <f t="shared" si="19"/>
        <v>Slowing</v>
      </c>
      <c r="J294">
        <f t="shared" si="20"/>
        <v>1</v>
      </c>
      <c r="K294">
        <f t="shared" si="21"/>
        <v>-105.2</v>
      </c>
      <c r="L294">
        <f t="shared" si="22"/>
        <v>-155.78</v>
      </c>
    </row>
    <row r="295" spans="1:12">
      <c r="A295" s="23">
        <v>46009</v>
      </c>
      <c r="B295" s="14" t="s">
        <v>505</v>
      </c>
      <c r="C295" s="24" t="s">
        <v>694</v>
      </c>
      <c r="D295" s="33">
        <v>0.03</v>
      </c>
      <c r="E295" s="33">
        <v>0.03</v>
      </c>
      <c r="F295" s="33">
        <v>0.03</v>
      </c>
      <c r="G295" s="8">
        <f t="shared" si="17"/>
        <v>0</v>
      </c>
      <c r="H295" s="8">
        <f t="shared" si="18"/>
        <v>0</v>
      </c>
      <c r="I295" s="8" t="str">
        <f t="shared" si="19"/>
        <v>Stable</v>
      </c>
      <c r="J295">
        <f t="shared" si="20"/>
        <v>1</v>
      </c>
      <c r="K295">
        <f t="shared" si="21"/>
        <v>0</v>
      </c>
      <c r="L295">
        <f t="shared" si="22"/>
        <v>0</v>
      </c>
    </row>
    <row r="296" spans="1:12">
      <c r="A296" s="23">
        <v>46009</v>
      </c>
      <c r="B296" s="14" t="s">
        <v>507</v>
      </c>
      <c r="C296" s="24" t="s">
        <v>695</v>
      </c>
      <c r="D296" s="33">
        <v>7.4999999999999997E-3</v>
      </c>
      <c r="E296" s="33">
        <v>7.4999999999999997E-3</v>
      </c>
      <c r="F296" s="33">
        <v>5.0000000000000001E-3</v>
      </c>
      <c r="G296" s="8">
        <f t="shared" si="17"/>
        <v>0</v>
      </c>
      <c r="H296" s="8">
        <f t="shared" si="18"/>
        <v>2.4999999999999996E-3</v>
      </c>
      <c r="I296" s="8" t="str">
        <f t="shared" si="19"/>
        <v>Mixed</v>
      </c>
      <c r="J296">
        <f t="shared" si="20"/>
        <v>1</v>
      </c>
      <c r="K296">
        <f t="shared" si="21"/>
        <v>0</v>
      </c>
      <c r="L296">
        <f t="shared" si="22"/>
        <v>2.4999999999999996E-3</v>
      </c>
    </row>
    <row r="297" spans="1:12">
      <c r="A297" s="23">
        <v>46010</v>
      </c>
      <c r="B297" s="14" t="s">
        <v>507</v>
      </c>
      <c r="C297" s="24" t="s">
        <v>696</v>
      </c>
      <c r="D297" s="34">
        <v>-26.9</v>
      </c>
      <c r="E297" s="34">
        <v>-23</v>
      </c>
      <c r="F297" s="34">
        <v>-23.2</v>
      </c>
      <c r="G297" s="8">
        <f t="shared" si="17"/>
        <v>-3.8999999999999986</v>
      </c>
      <c r="H297" s="8">
        <f t="shared" si="18"/>
        <v>-3.6999999999999993</v>
      </c>
      <c r="I297" s="8" t="str">
        <f t="shared" si="19"/>
        <v>Slowing</v>
      </c>
      <c r="J297">
        <f t="shared" si="20"/>
        <v>1</v>
      </c>
      <c r="K297">
        <f t="shared" si="21"/>
        <v>-3.8999999999999986</v>
      </c>
      <c r="L297">
        <f t="shared" si="22"/>
        <v>-3.6999999999999993</v>
      </c>
    </row>
    <row r="298" spans="1:12">
      <c r="A298" s="23">
        <v>46010</v>
      </c>
      <c r="B298" s="14" t="s">
        <v>507</v>
      </c>
      <c r="C298" s="24" t="s">
        <v>697</v>
      </c>
      <c r="D298" s="33">
        <v>0</v>
      </c>
      <c r="E298" s="33">
        <v>1E-3</v>
      </c>
      <c r="F298" s="33">
        <v>1E-3</v>
      </c>
      <c r="G298" s="8">
        <f t="shared" si="17"/>
        <v>-1E-3</v>
      </c>
      <c r="H298" s="8">
        <f t="shared" si="18"/>
        <v>-1E-3</v>
      </c>
      <c r="I298" s="8" t="str">
        <f t="shared" si="19"/>
        <v>Slowing</v>
      </c>
      <c r="J298">
        <f t="shared" si="20"/>
        <v>1</v>
      </c>
      <c r="K298">
        <f t="shared" si="21"/>
        <v>-1E-3</v>
      </c>
      <c r="L298">
        <f t="shared" si="22"/>
        <v>-1E-3</v>
      </c>
    </row>
    <row r="299" spans="1:12">
      <c r="A299" s="23">
        <v>45996</v>
      </c>
      <c r="B299" s="28" t="s">
        <v>503</v>
      </c>
      <c r="C299" s="24" t="s">
        <v>698</v>
      </c>
      <c r="D299" s="25">
        <v>2E-3</v>
      </c>
      <c r="E299" s="25">
        <v>1E-3</v>
      </c>
      <c r="F299" s="25">
        <v>1E-3</v>
      </c>
      <c r="G299" s="8">
        <f t="shared" si="17"/>
        <v>1E-3</v>
      </c>
      <c r="H299" s="8">
        <f t="shared" si="18"/>
        <v>1E-3</v>
      </c>
      <c r="I299" s="8" t="str">
        <f t="shared" si="19"/>
        <v>Accelerating</v>
      </c>
      <c r="J299">
        <f t="shared" si="20"/>
        <v>1</v>
      </c>
      <c r="K299">
        <f t="shared" si="21"/>
        <v>1E-3</v>
      </c>
      <c r="L299">
        <f t="shared" si="22"/>
        <v>1E-3</v>
      </c>
    </row>
    <row r="320" spans="1:1">
      <c r="A320" t="s">
        <v>699</v>
      </c>
    </row>
    <row r="322" spans="1:20">
      <c r="A322" t="s">
        <v>700</v>
      </c>
    </row>
    <row r="323" spans="1:20">
      <c r="A323" t="s">
        <v>701</v>
      </c>
      <c r="D323" t="s">
        <v>702</v>
      </c>
      <c r="F323" t="s">
        <v>703</v>
      </c>
      <c r="J323" t="s">
        <v>704</v>
      </c>
      <c r="N323" s="264" t="s">
        <v>705</v>
      </c>
      <c r="O323" s="265"/>
      <c r="P323" s="265"/>
      <c r="Q323" s="265"/>
      <c r="R323" s="265"/>
      <c r="S323" s="265"/>
    </row>
    <row r="324" spans="1:20" ht="43.5" customHeight="1">
      <c r="A324" t="s">
        <v>706</v>
      </c>
      <c r="B324" s="12" t="str">
        <f>IFERROR(LOOKUP(2,1/((Backend!$B$211:$B$299="Inflation – US")*(Backend!$I$211:$I$299&lt;&gt;"")*(Backend!$I$211:$I$299&lt;&gt;"N/A")),Backend!$I$211:$I$299),"")</f>
        <v>Slowing</v>
      </c>
      <c r="C324" s="35">
        <f>IFERROR(IF(OR(B324="",B324="N/A"),"",VLOOKUP(B324,$D$324:$E$338,2,FALSE)),"")</f>
        <v>-1</v>
      </c>
      <c r="D324" s="36" t="s">
        <v>485</v>
      </c>
      <c r="E324" s="37">
        <v>-1</v>
      </c>
      <c r="F324" t="s">
        <v>706</v>
      </c>
      <c r="G324" s="12" t="str">
        <f>IFERROR(LOOKUP(2,1/((Backend!$B$211:$B$299="Inflation – EUR")*(Backend!$I$211:$I$299&lt;&gt;"")*(Backend!$I$211:$I$299&lt;&gt;"N/A")),Backend!$I$211:$I$299),"")</f>
        <v>Slowing</v>
      </c>
      <c r="H324" s="35">
        <f>IFERROR(IF(OR(G324="",G324="N/A"),"",VLOOKUP(G324,$D$324:$E$338,2,FALSE)),"")</f>
        <v>-1</v>
      </c>
      <c r="I324" s="35"/>
      <c r="J324" t="s">
        <v>706</v>
      </c>
      <c r="K324" s="12" t="str">
        <f>IFERROR(LOOKUP(2,1/((Backend!$B$211:$B$299="Inflation – JPY")*(Backend!$X$211:$X$299&lt;&gt;"")),Backend!$X$211:$X$299),"")</f>
        <v/>
      </c>
      <c r="L324" s="35" t="str">
        <f>IF(K324="","",VLOOKUP(K324,$D$324:$E$338,2,FALSE))</f>
        <v/>
      </c>
      <c r="M324" s="35"/>
      <c r="N324" s="38" t="s">
        <v>586</v>
      </c>
      <c r="O324" s="38" t="s">
        <v>707</v>
      </c>
      <c r="P324" s="39" t="s">
        <v>708</v>
      </c>
      <c r="Q324" s="38" t="s">
        <v>709</v>
      </c>
      <c r="R324" s="38" t="s">
        <v>710</v>
      </c>
      <c r="S324" s="38" t="s">
        <v>711</v>
      </c>
      <c r="T324" s="40" t="s">
        <v>712</v>
      </c>
    </row>
    <row r="325" spans="1:20" ht="116" customHeight="1">
      <c r="A325" t="s">
        <v>713</v>
      </c>
      <c r="B325" s="12" t="str">
        <f>IFERROR(LOOKUP(2,1/((Backend!$B$211:$B$299="Labour – US")*(Backend!$I$211:$I$299&lt;&gt;"")*(Backend!$I$211:$I$299&lt;&gt;"N/A")),Backend!$I$211:$I$299),"")</f>
        <v>Mixed</v>
      </c>
      <c r="C325" s="35">
        <f>IFERROR(IF(OR(B325="",B325="N/A"),"",VLOOKUP(B325,$D$324:$E$338,2,FALSE)),"")</f>
        <v>0</v>
      </c>
      <c r="D325" s="36" t="s">
        <v>486</v>
      </c>
      <c r="E325" s="41">
        <v>0</v>
      </c>
      <c r="F325" t="s">
        <v>713</v>
      </c>
      <c r="G325" s="12" t="str">
        <f>IFERROR(LOOKUP(2,1/((Backend!$B$211:$B$299="Labour – EUR")*(Backend!$I$211:$I$299&lt;&gt;"")*(Backend!$I$211:$I$299&lt;&gt;"N/A")),Backend!$I$211:$I$299),"")</f>
        <v>Accelerating</v>
      </c>
      <c r="H325" s="35">
        <f>IFERROR(IF(OR(G325="",G325="N/A"),"",VLOOKUP(G325,$D$324:$E$338,2,FALSE)),"")</f>
        <v>1</v>
      </c>
      <c r="I325" s="35"/>
      <c r="J325" t="s">
        <v>713</v>
      </c>
      <c r="K325" s="12" t="str">
        <f>IFERROR(LOOKUP(2,1/((Backend!$B$211:$B$299="Labour – JPY")*(Backend!$X$211:$X$299&lt;&gt;"")),Backend!$X$211:$X$299),"")</f>
        <v/>
      </c>
      <c r="L325" s="35" t="str">
        <f>IF(K325="","",VLOOKUP(K325,$D$324:$E$338,2,FALSE))</f>
        <v/>
      </c>
      <c r="M325" s="35"/>
      <c r="N325" s="42" t="s">
        <v>596</v>
      </c>
      <c r="O325" s="43">
        <f>IFERROR(VLOOKUP(N325,Backend!$O$211:$V$217,2,FALSE),"")</f>
        <v>3.4969999999999999</v>
      </c>
      <c r="P325" s="44">
        <f>IFERROR(VLOOKUP(N325,Backend!$O$211:$V$217,6,FALSE)*100,"")</f>
        <v>-2.2000000000000242</v>
      </c>
      <c r="Q325" s="44">
        <f>IFERROR(VLOOKUP(N325,Backend!$O$211:$V$217,7,FALSE)*100,"")</f>
        <v>-11.299999999999999</v>
      </c>
      <c r="R325" s="44">
        <f>IFERROR(VLOOKUP(N325,Backend!$O$211:$V$217,8,FALSE)*100,"")</f>
        <v>-11.500000000000021</v>
      </c>
      <c r="S325" s="45" t="s">
        <v>714</v>
      </c>
      <c r="T325" s="46" t="str">
        <f>IF(O325="","",IF(P325&gt;2,"2Y rising → tighter Fed priced → USD tailwind",IF(P325&lt;-2,"2Y falling → easier Fed priced → USD headwind","2Y stable → policy steady")))</f>
        <v>2Y falling → easier Fed priced → USD headwind</v>
      </c>
    </row>
    <row r="326" spans="1:20" ht="116" customHeight="1">
      <c r="A326" t="s">
        <v>715</v>
      </c>
      <c r="B326" s="12" t="str">
        <f>IFERROR(LOOKUP(2,1/((Backend!$B$211:$B$299="Growth - US")*(Backend!$I$211:$I$299&lt;&gt;"")*(Backend!$I$211:$I$299&lt;&gt;"N/A")),Backend!$I$211:$I$299),"")</f>
        <v>Slowing</v>
      </c>
      <c r="C326" s="35">
        <f>IFERROR(IF(OR(B326="",B326="N/A"),"",VLOOKUP(B326,$D$324:$E$338,2,FALSE)),"")</f>
        <v>-1</v>
      </c>
      <c r="D326" s="36" t="s">
        <v>487</v>
      </c>
      <c r="E326" s="41">
        <v>1</v>
      </c>
      <c r="F326" t="s">
        <v>715</v>
      </c>
      <c r="G326" s="12" t="str">
        <f>IFERROR(LOOKUP(2,1/((Backend!$B$211:$B$299="Growth - EUR")*(Backend!$I$211:$I$299&lt;&gt;"")*(Backend!$I$211:$I$299&lt;&gt;"N/A")),Backend!$I$211:$I$299),"")</f>
        <v>Stable</v>
      </c>
      <c r="H326" s="47">
        <f>IFERROR(IF(OR(G326="",G326="N/A"),"",VLOOKUP(G326,$D$324:$E$338,2,FALSE)),"")</f>
        <v>0</v>
      </c>
      <c r="I326" s="47"/>
      <c r="J326" t="s">
        <v>715</v>
      </c>
      <c r="K326" s="12" t="str">
        <f>IFERROR(LOOKUP(2,1/((Backend!$B$211:$B$299="Growth - JPY")*(Backend!$X$211:$X$299&lt;&gt;"")),Backend!$X$211:$X$299),"")</f>
        <v/>
      </c>
      <c r="L326" s="47">
        <v>-1</v>
      </c>
      <c r="M326" s="47"/>
      <c r="N326" s="42" t="s">
        <v>599</v>
      </c>
      <c r="O326" s="43">
        <f>IFERROR(VLOOKUP(N326,Backend!$O$211:$V$217,2,FALSE),"")</f>
        <v>3.7189999999999999</v>
      </c>
      <c r="P326" s="44">
        <f>IFERROR(VLOOKUP(N326,Backend!$O$211:$V$217,6,FALSE)*100,"")</f>
        <v>-2.2000000000000242</v>
      </c>
      <c r="Q326" s="44">
        <f>IFERROR(VLOOKUP(N326,Backend!$O$211:$V$217,7,FALSE)*100,"")</f>
        <v>-6.4000000000000057</v>
      </c>
      <c r="R326" s="44">
        <f>IFERROR(VLOOKUP(N326,Backend!$O$211:$V$217,8,FALSE)*100,"")</f>
        <v>1.499999999999968</v>
      </c>
      <c r="S326" s="45" t="s">
        <v>716</v>
      </c>
      <c r="T326" s="46" t="str">
        <f>IF(O326="","",IF(P326&gt;2,"5Y rising → growth/inflation repriced up (USD supportive)",IF(P326&lt;-2,"5Y falling → growth scare/easing priced (USD headwind)","5Y stable")))</f>
        <v>5Y falling → growth scare/easing priced (USD headwind)</v>
      </c>
    </row>
    <row r="327" spans="1:20" ht="87" customHeight="1">
      <c r="A327" t="s">
        <v>717</v>
      </c>
      <c r="B327" s="12" t="str">
        <f ca="1">IF(B359="","",IF(B359&gt;=2,"More cuts",IF(B359&lt;=-2,"Less cuts","Hold")))</f>
        <v/>
      </c>
      <c r="C327" s="35" t="str">
        <f ca="1">IFERROR(IF(OR(B327="",B327="N/A"),"",VLOOKUP(B327,$D$324:$E$338,2,FALSE)),"")</f>
        <v/>
      </c>
      <c r="D327" s="36" t="s">
        <v>488</v>
      </c>
      <c r="E327" s="37">
        <v>-1</v>
      </c>
      <c r="F327" t="s">
        <v>717</v>
      </c>
      <c r="G327" s="12" t="str">
        <f ca="1">IF(B360="","",IF(B360&gt;=2,"More cuts",IF(B360&lt;=-2,"Less cuts","Hold")))</f>
        <v/>
      </c>
      <c r="H327" s="35" t="str">
        <f ca="1">IFERROR(IF(OR(G327="",G327="N/A"),"",VLOOKUP(G327,$D$324:$E$338,2,FALSE)),"")</f>
        <v/>
      </c>
      <c r="I327" s="35"/>
      <c r="J327" t="s">
        <v>717</v>
      </c>
      <c r="K327" s="12" t="str">
        <f>IF(F360="","",IF(F360&gt;=2,"More cuts",IF(F360&lt;=-2,"Less cuts","Hold")))</f>
        <v/>
      </c>
      <c r="L327" s="35" t="str">
        <f>IF(K327="","",VLOOKUP(K327,$D$324:$E$338,2,FALSE))</f>
        <v/>
      </c>
      <c r="M327" s="35"/>
      <c r="N327" s="42" t="s">
        <v>602</v>
      </c>
      <c r="O327" s="43">
        <f>IFERROR(VLOOKUP(N327,Backend!$O$211:$V$217,2,FALSE),"")</f>
        <v>4.1680000000000001</v>
      </c>
      <c r="P327" s="44">
        <f>IFERROR(VLOOKUP(N327,Backend!$O$211:$V$217,6,FALSE)*100,"")</f>
        <v>-1.499999999999968</v>
      </c>
      <c r="Q327" s="44">
        <f>IFERROR(VLOOKUP(N327,Backend!$O$211:$V$217,7,FALSE)*100,"")</f>
        <v>-1.9999999999999574</v>
      </c>
      <c r="R327" s="44">
        <f>IFERROR(VLOOKUP(N327,Backend!$O$211:$V$217,8,FALSE)*100,"")</f>
        <v>5.200000000000049</v>
      </c>
      <c r="S327" s="45" t="s">
        <v>718</v>
      </c>
      <c r="T327" s="46" t="str">
        <f>IF(O327="","",IF(P327&gt;2,"10Y rising → term premium/growth up (USD supportive)",IF(P327&lt;-2,"10Y falling → duration bid/risk-off (USD mixed)","10Y stable")))</f>
        <v>10Y stable</v>
      </c>
    </row>
    <row r="328" spans="1:20" ht="130.5" customHeight="1">
      <c r="A328" t="s">
        <v>719</v>
      </c>
      <c r="B328" s="12" t="s">
        <v>489</v>
      </c>
      <c r="C328" s="35">
        <f>IFERROR(IF(OR(B328="",B328="N/A"),"",VLOOKUP(B328,$D$324:$E$338,2,FALSE)),"")</f>
        <v>0</v>
      </c>
      <c r="D328" s="36" t="s">
        <v>489</v>
      </c>
      <c r="E328" s="41">
        <v>0</v>
      </c>
      <c r="F328" t="s">
        <v>719</v>
      </c>
      <c r="G328" s="12" t="s">
        <v>489</v>
      </c>
      <c r="H328" s="35">
        <f>IFERROR(IF(OR(G328="",G328="N/A"),"",VLOOKUP(G328,$D$324:$E$338,2,FALSE)),"")</f>
        <v>0</v>
      </c>
      <c r="I328" s="35"/>
      <c r="J328" t="s">
        <v>719</v>
      </c>
      <c r="K328" s="12" t="s">
        <v>489</v>
      </c>
      <c r="L328" s="35">
        <f>IF(K328="","",VLOOKUP(K328,$D$324:$E$338,2,FALSE))</f>
        <v>0</v>
      </c>
      <c r="M328" s="35"/>
      <c r="N328" s="42" t="s">
        <v>605</v>
      </c>
      <c r="O328" s="43">
        <f>IFERROR(VLOOKUP(N328,Backend!$O$211:$V$217,2,FALSE),"")</f>
        <v>4.8440000000000003</v>
      </c>
      <c r="P328" s="44">
        <f>IFERROR(VLOOKUP(N328,Backend!$O$211:$V$217,6,FALSE)*100,"")</f>
        <v>26.400000000000023</v>
      </c>
      <c r="Q328" s="44">
        <f>IFERROR(VLOOKUP(N328,Backend!$O$211:$V$217,7,FALSE)*100,"")</f>
        <v>3.6000000000000476</v>
      </c>
      <c r="R328" s="44">
        <f>IFERROR(VLOOKUP(N328,Backend!$O$211:$V$217,8,FALSE)*100,"")</f>
        <v>9.1000000000000192</v>
      </c>
      <c r="S328" s="45" t="s">
        <v>720</v>
      </c>
      <c r="T328" s="46" t="str">
        <f>IF(O328="","",IF(P328&gt;2,"30Y rising → term premium/supply pressure (USD mixed)",IF(P328&lt;-2,"30Y falling → long-end bid (risk-off)","30Y stable")))</f>
        <v>30Y rising → term premium/supply pressure (USD mixed)</v>
      </c>
    </row>
    <row r="329" spans="1:20" ht="145" customHeight="1">
      <c r="A329" t="s">
        <v>721</v>
      </c>
      <c r="B329" s="12" t="str">
        <f>IF(C329="","",IF(C329&gt;=0.5,"Rising",IF(C329&lt;=-0.5,"Falling","Flat")))</f>
        <v>Flat</v>
      </c>
      <c r="C329" s="35">
        <f>IFERROR(IF(COUNTA(Backend!$X$211:$X$214)=0,"",AVERAGE(Backend!$X$211:$X$214)+0.5*AVERAGE(IF(ISNUMBER(Backend!$X$216:$X$217),Backend!$X$216:$X$217,0))),"")</f>
        <v>0</v>
      </c>
      <c r="D329" s="36" t="s">
        <v>490</v>
      </c>
      <c r="E329" s="41">
        <v>1</v>
      </c>
      <c r="F329" t="s">
        <v>722</v>
      </c>
      <c r="G329" s="12" t="str">
        <f>IF(H329="","",IF(H329&gt;=0.5,"Rising",IF(H329&lt;=-0.5,"Falling","Flat")))</f>
        <v>Rising</v>
      </c>
      <c r="H329" s="35">
        <f>IFERROR(IF(COUNTA(Backend!$X$211:$X$216)=0,"",AVERAGE(Backend!$X$211:$X$214)+0.5*Backend!$X$216),"")</f>
        <v>0.5</v>
      </c>
      <c r="I329" s="35"/>
      <c r="J329" t="s">
        <v>723</v>
      </c>
      <c r="K329" s="12" t="str">
        <f>IF(L329="","",IF(L329&gt;=0.5,"Rising",IF(L329&lt;=-0.5,"Falling","Flat")))</f>
        <v>Rising</v>
      </c>
      <c r="L329" s="35">
        <f>IF(COUNTA(Backend!$X$211:$X$216)=0,"",AVERAGE(Backend!$X$211:$X$214)+0.5*Backend!$X$216)</f>
        <v>0.5</v>
      </c>
      <c r="M329" s="35"/>
      <c r="N329" s="42" t="s">
        <v>608</v>
      </c>
      <c r="O329" s="43">
        <f>IFERROR(VLOOKUP(N329,Backend!$O$211:$V$217,2,FALSE),"")</f>
        <v>0.67100000000000026</v>
      </c>
      <c r="P329" s="44">
        <f>IFERROR(VLOOKUP(N329,Backend!$O$211:$V$217,6,FALSE)*100,"")</f>
        <v>0.70000000000005613</v>
      </c>
      <c r="Q329" s="44">
        <f>IFERROR(VLOOKUP(N329,Backend!$O$211:$V$217,7,FALSE)*100,"")</f>
        <v>9.3000000000000416</v>
      </c>
      <c r="R329" s="44">
        <f>IFERROR(VLOOKUP(N329,Backend!$O$211:$V$217,8,FALSE)*100,"")</f>
        <v>16.70000000000007</v>
      </c>
      <c r="S329" s="45" t="s">
        <v>724</v>
      </c>
      <c r="T329" s="46" t="str">
        <f>IF(O329="","",IF(O329&lt;0,IF(P329&gt;2,"Inversion easing (steepening) → easing cycle risk","Inversion persists → caution growth"),IF(O329&gt;0,IF(P329&lt;-2,"Curve flattening → late-cycle risk","Curve normal → growth ok"),"Curve flat")))</f>
        <v>Curve normal → growth ok</v>
      </c>
    </row>
    <row r="330" spans="1:20" ht="130.5" customHeight="1">
      <c r="D330" s="36" t="s">
        <v>491</v>
      </c>
      <c r="E330" s="37">
        <v>-1</v>
      </c>
      <c r="G330" s="12"/>
      <c r="H330" s="35"/>
      <c r="I330" s="35"/>
      <c r="J330" s="35"/>
      <c r="K330" s="35"/>
      <c r="L330" s="35"/>
      <c r="M330" s="35"/>
      <c r="N330" s="42" t="s">
        <v>610</v>
      </c>
      <c r="O330" s="43">
        <f>IFERROR(VLOOKUP(N330,Backend!$O$211:$V$217,2,FALSE),"")</f>
        <v>1.1250000000000004</v>
      </c>
      <c r="P330" s="44">
        <f>IFERROR(VLOOKUP(N330,Backend!$O$211:$V$217,6,FALSE)*100,"")</f>
        <v>28.600000000000048</v>
      </c>
      <c r="Q330" s="44">
        <f>IFERROR(VLOOKUP(N330,Backend!$O$211:$V$217,7,FALSE)*100,"")</f>
        <v>10.000000000000053</v>
      </c>
      <c r="R330" s="44">
        <f>IFERROR(VLOOKUP(N330,Backend!$O$211:$V$217,8,FALSE)*100,"")</f>
        <v>7.6000000000000512</v>
      </c>
      <c r="S330" s="45" t="s">
        <v>725</v>
      </c>
      <c r="T330" s="46" t="str">
        <f>IF(O330="","",IF(P330&gt;2,"5s30 steepening → term premium/supply up (USD mixed)",IF(P330&lt;-2,"5s30 flattening → long-end bid","5s30 stable")))</f>
        <v>5s30 steepening → term premium/supply up (USD mixed)</v>
      </c>
    </row>
    <row r="331" spans="1:20">
      <c r="D331" s="36" t="s">
        <v>492</v>
      </c>
      <c r="E331" s="41">
        <v>0</v>
      </c>
      <c r="N331" s="254" t="s">
        <v>726</v>
      </c>
      <c r="O331" s="265"/>
      <c r="P331" s="265"/>
      <c r="Q331" s="265"/>
      <c r="R331" s="265"/>
      <c r="S331" s="265"/>
    </row>
    <row r="332" spans="1:20" ht="29" customHeight="1">
      <c r="A332" t="s">
        <v>727</v>
      </c>
      <c r="B332" s="48">
        <f ca="1">IFERROR(IF(COUNTA($C$324:$C$329)=0,"",SUM($C$324:$C$329)),"")</f>
        <v>-2</v>
      </c>
      <c r="C332" s="35"/>
      <c r="D332" s="36" t="s">
        <v>493</v>
      </c>
      <c r="E332" s="41">
        <v>1</v>
      </c>
      <c r="N332" s="266" t="s">
        <v>728</v>
      </c>
      <c r="O332" s="265"/>
      <c r="P332" s="265"/>
      <c r="Q332" s="265"/>
      <c r="R332" s="265"/>
      <c r="S332" s="265"/>
    </row>
    <row r="333" spans="1:20" ht="29" customHeight="1">
      <c r="A333" t="s">
        <v>729</v>
      </c>
      <c r="B333" s="48">
        <f ca="1">IFERROR(IF(COUNTA($H$324:$H$329)=0,"",SUM($H$324:$H$329)),"")</f>
        <v>0.5</v>
      </c>
      <c r="D333" s="36" t="s">
        <v>494</v>
      </c>
      <c r="E333" s="37">
        <v>-1</v>
      </c>
    </row>
    <row r="334" spans="1:20">
      <c r="A334" t="s">
        <v>730</v>
      </c>
      <c r="B334" s="48">
        <f>IFERROR(0,"")</f>
        <v>0</v>
      </c>
      <c r="D334" s="36" t="s">
        <v>731</v>
      </c>
      <c r="E334" s="41">
        <v>0</v>
      </c>
    </row>
    <row r="335" spans="1:20">
      <c r="A335" t="s">
        <v>732</v>
      </c>
      <c r="B335" s="12" t="str">
        <f ca="1">IFERROR(IF(B332="","",IF(B332&gt;=2,"Strong USD",IF(B332&lt;=-2,"Weak USD","Neutral USD"))),"")</f>
        <v>Weak USD</v>
      </c>
      <c r="D335" s="36" t="s">
        <v>733</v>
      </c>
      <c r="E335" s="41">
        <v>1</v>
      </c>
    </row>
    <row r="336" spans="1:20" ht="29" customHeight="1">
      <c r="A336" s="49" t="s">
        <v>734</v>
      </c>
      <c r="B336" s="50" t="str">
        <f ca="1">IF(B333="","",IF(B333&gt;=2,"Strong EUR",IF(B333&lt;=-2,"Weak EUR","Neutral EUR")))</f>
        <v>Neutral EUR</v>
      </c>
      <c r="D336" s="36" t="s">
        <v>497</v>
      </c>
      <c r="E336" s="37">
        <v>-1</v>
      </c>
    </row>
    <row r="337" spans="1:7">
      <c r="D337" s="36" t="s">
        <v>498</v>
      </c>
      <c r="E337" s="41">
        <v>1</v>
      </c>
    </row>
    <row r="338" spans="1:7">
      <c r="A338" t="s">
        <v>735</v>
      </c>
      <c r="B338" s="19" t="str">
        <f ca="1">IFERROR(IF(OR(B332="",B333=""),"",IF(B333-B332&gt;=2,"Buy dips",IF(B333-B332&lt;=-2,"Sell rallies","Neutral"))),"")</f>
        <v>Buy dips</v>
      </c>
      <c r="D338" s="36" t="s">
        <v>736</v>
      </c>
      <c r="E338" s="41">
        <v>0</v>
      </c>
    </row>
    <row r="339" spans="1:7">
      <c r="A339" t="s">
        <v>737</v>
      </c>
      <c r="B339" s="12" t="str">
        <f ca="1">IFERROR(IF(B332="","Neutral",IF(B332-B334&gt;=2,"Buy USD / Sell JPY",IF(B332-B334&lt;=-2,"Sell USD / Buy JPY","Neutral"))),"")</f>
        <v>Sell USD / Buy JPY</v>
      </c>
    </row>
    <row r="340" spans="1:7">
      <c r="A340" t="s">
        <v>738</v>
      </c>
      <c r="B340" s="12" t="str">
        <f ca="1">IFERROR(IF(B332="","Mixed",IF(AND(C328=1,C329=1,C324&lt;=0),"Risk-on",IF(AND(C328=-1,C329=-1,C324&gt;0),"Risk-off","Mixed"))),"")</f>
        <v>Mixed</v>
      </c>
    </row>
    <row r="341" spans="1:7">
      <c r="A341" s="49" t="s">
        <v>739</v>
      </c>
      <c r="B341" s="5">
        <f>C329</f>
        <v>0</v>
      </c>
    </row>
    <row r="342" spans="1:7">
      <c r="A342" t="s">
        <v>740</v>
      </c>
      <c r="B342" s="48" t="str">
        <f ca="1">IF(B359="","",IF(B359&gt;=2,1,IF(B359&lt;=-2,-1,0)))</f>
        <v/>
      </c>
    </row>
    <row r="343" spans="1:7">
      <c r="A343" t="s">
        <v>741</v>
      </c>
      <c r="B343" s="48" t="str">
        <f ca="1">IF(B360="","",IF(B360&gt;=2,1,IF(B360&lt;=-2,-1,0)))</f>
        <v/>
      </c>
    </row>
    <row r="344" spans="1:7">
      <c r="A344" t="s">
        <v>742</v>
      </c>
      <c r="B344" s="48">
        <v>0</v>
      </c>
    </row>
    <row r="346" spans="1:7">
      <c r="A346" t="s">
        <v>743</v>
      </c>
      <c r="B346" s="51" t="str">
        <f ca="1">IF(OR(Backend!$Z$211="",Backend!$Z$212="",$B$359="",$B$360=""),"",(Backend!$Z$211-0.25*$B$359)-(Backend!$Z$212-0.25*$B$360))</f>
        <v/>
      </c>
      <c r="C346" s="1" t="str">
        <f ca="1">IF(B346="","",IF(B346&gt;1.5,"Strong USD carry tailwind",IF(B346&gt;0.5,"Mild USD carry tailwind",IF(B346&lt;-1.5,"Strong EUR carry tailwind",IF(B346&lt;-0.5,"Mild EUR carry tailwind","Carry roughly neutral")))))</f>
        <v/>
      </c>
    </row>
    <row r="347" spans="1:7">
      <c r="A347" t="s">
        <v>744</v>
      </c>
      <c r="B347" s="48" t="str">
        <f ca="1">IF(OR(Backend!Z211="",Backend!Z212="",$B$359="",$B$360=""),"",ROUND((((Backend!Z211-0.25*$B$359)-(Backend!Z212-0.25*$B$360))-(Backend!Z211-Backend!Z212))/0.25,0))</f>
        <v/>
      </c>
      <c r="C347" s="1" t="str">
        <f ca="1">IF(B347="","",IF(B347&lt;=-2,"Spread narrowing in favour of EUR",IF(B347&gt;=2,"Spread widening in favour of USD","Spread roughly unchanged")))</f>
        <v/>
      </c>
      <c r="G347" s="5">
        <f>Backend!Z211</f>
        <v>4.37</v>
      </c>
    </row>
    <row r="348" spans="1:7">
      <c r="A348" t="s">
        <v>745</v>
      </c>
      <c r="B348" s="52">
        <v>46001</v>
      </c>
    </row>
    <row r="349" spans="1:7" ht="29" customHeight="1">
      <c r="A349" s="53" t="s">
        <v>746</v>
      </c>
      <c r="B349" s="19">
        <f>IF($B$348="","",IFERROR(AVERAGEIFS(Backend!$H$131:$H$163,Backend!$B$131:$B$163,"FED",Backend!$A$131:$A$163,"&gt;="&amp;$B$348),""))</f>
        <v>-8.3333333333333329E-2</v>
      </c>
      <c r="C349" s="1" t="str">
        <f t="shared" ref="C349:C354" si="23">IF(B349="","",IF(B349&gt;0.3,"Hawkish",IF(B349&lt;-0.3,"Dovish","Mixed")))</f>
        <v>Mixed</v>
      </c>
    </row>
    <row r="350" spans="1:7">
      <c r="A350" t="s">
        <v>747</v>
      </c>
      <c r="B350" s="19" t="str">
        <f ca="1">IFERROR(AVERAGEIFS(Backend!$H$131:$H$163,Backend!$B$131:$B$163,"FED",Backend!$A$131:$A$163,"&gt;="&amp;TODAY()-30),"")</f>
        <v/>
      </c>
      <c r="C350" s="1" t="str">
        <f t="shared" ca="1" si="23"/>
        <v/>
      </c>
    </row>
    <row r="351" spans="1:7" ht="29" customHeight="1">
      <c r="A351" s="53" t="s">
        <v>748</v>
      </c>
      <c r="B351" s="19">
        <f>IF($B$348="","",IFERROR(AVERAGEIFS(Backend!$H$131:$H$163,Backend!$B$131:$B$163,"ECB",Backend!$A$131:$A$163,"&gt;="&amp;$B$348),""))</f>
        <v>0.25</v>
      </c>
      <c r="C351" s="1" t="str">
        <f t="shared" si="23"/>
        <v>Mixed</v>
      </c>
    </row>
    <row r="352" spans="1:7">
      <c r="A352" t="s">
        <v>749</v>
      </c>
      <c r="B352" s="19" t="str">
        <f ca="1">IFERROR(AVERAGEIFS(Backend!$H$131:$H$163,Backend!$B$131:$B$163,"ECB",Backend!$A$131:$A$163,"&gt;="&amp;TODAY()-30),"")</f>
        <v/>
      </c>
      <c r="C352" s="1" t="str">
        <f t="shared" ca="1" si="23"/>
        <v/>
      </c>
    </row>
    <row r="353" spans="1:3" ht="29" customHeight="1">
      <c r="A353" s="53" t="s">
        <v>750</v>
      </c>
      <c r="B353" s="19">
        <f>IF($B$348="","",IFERROR(AVERAGEIFS(Backend!$H$131:$H$163,Backend!$B$131:$B$163,"BOJ",Backend!$A$131:$A$163,"&gt;="&amp;$B$348),""))</f>
        <v>1</v>
      </c>
      <c r="C353" s="1" t="str">
        <f t="shared" si="23"/>
        <v>Hawkish</v>
      </c>
    </row>
    <row r="354" spans="1:3">
      <c r="A354" t="s">
        <v>751</v>
      </c>
      <c r="B354" s="19" t="str">
        <f ca="1">IFERROR(AVERAGEIFS(Backend!$H$131:$H$163,Backend!$B$131:$B$163,"BOJ",Backend!$A$131:$A$163,"&gt;="&amp;TODAY()-30),"")</f>
        <v/>
      </c>
      <c r="C354" s="1" t="str">
        <f t="shared" ca="1" si="23"/>
        <v/>
      </c>
    </row>
    <row r="356" spans="1:3" ht="261" customHeight="1">
      <c r="A356" s="49" t="s">
        <v>424</v>
      </c>
      <c r="B356" s="54" t="str">
        <f>IF(O325="","","US yields: 2Y "&amp;TEXT(O325,"0.00")&amp;"% ("&amp;IF(P325="","",IF(P325&gt;0,"+"&amp;TEXT(P325,"0"),TEXT(P325,"0")))&amp;"bp 1d) — "&amp;T325&amp;". "&amp;"Curve (2s10s): "&amp;TEXT(O329,"0")&amp;"bp — "&amp;T329)</f>
        <v>US yields: 2Y 3.50% (-2bp 1d) — 2Y falling → easier Fed priced → USD headwind. Curve (2s10s): 1bp — Curve normal → growth ok</v>
      </c>
    </row>
    <row r="357" spans="1:3" ht="188.5" customHeight="1">
      <c r="B357" s="54" t="str">
        <f ca="1">IFERROR(IF($B$338="","",IF($B$338="Buy dips","Macro backdrop leans EUR support.","Macro backdrop leans USD support.")&amp;" (Rate diff: "&amp;TEXT($B$347,"0")&amp;" steps; Yields: "&amp;$B$329&amp;"; Fed tone: "&amp;$B$350&amp;"; ECB tone: "&amp;$B$352&amp;")"),"")</f>
        <v>Macro backdrop leans EUR support. (Rate diff:  steps; Yields: Flat; Fed tone: ; ECB tone: )</v>
      </c>
    </row>
    <row r="359" spans="1:3">
      <c r="A359" t="s">
        <v>752</v>
      </c>
      <c r="B359" s="48" t="str">
        <f ca="1">IFERROR(INDEX(Backend!$C$181:$C$191,MATCH(_xlfn.AGGREGATE(15,6,Backend!$A$181:$A$191/((Backend!$B$181:$B$191="US")*(Backend!$A$181:$A$191&gt;=TODAY()+180)),1),Backend!$A$181:$A$191,0)),"")</f>
        <v/>
      </c>
    </row>
    <row r="360" spans="1:3">
      <c r="A360" t="s">
        <v>753</v>
      </c>
      <c r="B360" s="48" t="str">
        <f ca="1">IFERROR(INDEX(Backend!$C$181:$C$191,MATCH(_xlfn.AGGREGATE(15,6,Backend!$A$181:$A$191/((Backend!$B$181:$B$191="ECB")*(Backend!$A$181:$A$191&gt;=TODAY()+180)),1),Backend!$A$181:$A$191,0)),"")</f>
        <v/>
      </c>
    </row>
    <row r="361" spans="1:3">
      <c r="A361" t="s">
        <v>754</v>
      </c>
    </row>
  </sheetData>
  <mergeCells count="3">
    <mergeCell ref="N323:S323"/>
    <mergeCell ref="N331:S331"/>
    <mergeCell ref="N332:S332"/>
  </mergeCells>
  <pageMargins left="0.75" right="0.75" top="1" bottom="1" header="0.5" footer="0.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Instructions</vt:lpstr>
      <vt:lpstr>Summary</vt:lpstr>
      <vt:lpstr>Daily Log</vt:lpstr>
      <vt:lpstr>Raw daily data</vt:lpstr>
      <vt:lpstr>Advanced Setup Planner</vt:lpstr>
      <vt:lpstr>LT_CategoryUS</vt:lpstr>
      <vt:lpstr>LT_MacroDir</vt:lpstr>
      <vt:lpstr>LT_RatePolicy</vt:lpstr>
      <vt:lpstr>LT_RiskEnv</vt:lpstr>
      <vt:lpstr>LT_Speakers</vt:lpstr>
      <vt:lpstr>LT_TrendBull</vt:lpstr>
      <vt:lpstr>LT_WeekNum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Manh Cuong D22CN03</cp:lastModifiedBy>
  <dcterms:created xsi:type="dcterms:W3CDTF">2025-12-14T23:07:00Z</dcterms:created>
  <dcterms:modified xsi:type="dcterms:W3CDTF">2026-04-25T05:22:01Z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00C0F639665A4EA3A6374955D5B18431_13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