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00" tabRatio="938" firstSheet="2" activeTab="6"/>
  </bookViews>
  <sheets>
    <sheet name="Summary" sheetId="1" r:id="rId1"/>
    <sheet name="Daily Log" sheetId="2" r:id="rId2"/>
    <sheet name="Raw daily data" sheetId="3" r:id="rId3"/>
    <sheet name="Setup Planner (old)" sheetId="4" r:id="rId4"/>
    <sheet name="Planner_v2" sheetId="5" r:id="rId5"/>
    <sheet name="Planner_HUD" sheetId="6" r:id="rId6"/>
    <sheet name="Macro_Dashboard" sheetId="7" r:id="rId7"/>
    <sheet name="Macro_Data" sheetId="8" r:id="rId8"/>
    <sheet name="Macro_Rates" sheetId="9" r:id="rId9"/>
    <sheet name="Macro_Speakers" sheetId="10" r:id="rId10"/>
    <sheet name="Lists" sheetId="11" r:id="rId11"/>
    <sheet name="Narrative_Engine" sheetId="12" r:id="rId12"/>
    <sheet name="Planner_v2_layout_backup" sheetId="13" r:id="rId13"/>
    <sheet name="Macro_Dashboard_layout_backup" sheetId="14" r:id="rId14"/>
  </sheets>
  <definedNames>
    <definedName name="Macro_Data">Table9[[#All],[Category]:[Qualitative]]</definedName>
    <definedName name="tblMacroUS">Table9[[#All],[Category]:[Qualitative]]</definedName>
    <definedName name="tblPolic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<sst xmlns="http://schemas.openxmlformats.org/spreadsheetml/2006/main" count="1693" uniqueCount="732">
  <si>
    <t>Label</t>
  </si>
  <si>
    <t>Value</t>
  </si>
  <si>
    <t>Monthly Target ($)</t>
  </si>
  <si>
    <t>Planned Active Trading Days</t>
  </si>
  <si>
    <t>Average Target per Trading Day ($)</t>
  </si>
  <si>
    <t>Weeks in Cycle</t>
  </si>
  <si>
    <t>Average Target per Week ($)</t>
  </si>
  <si>
    <t>Required R per week</t>
  </si>
  <si>
    <t>Risk % of NAV per trade</t>
  </si>
  <si>
    <t>Max Daily Loss (R multiples)</t>
  </si>
  <si>
    <t>Current NAV ($)</t>
  </si>
  <si>
    <t>Cumulative P&amp;L Month ($)</t>
  </si>
  <si>
    <t>Remaining Target ($)</t>
  </si>
  <si>
    <t>Trading Days Used</t>
  </si>
  <si>
    <t>Trading Days Remaining</t>
  </si>
  <si>
    <t>Required P&amp;L per Remaining Day</t>
  </si>
  <si>
    <t>Target R per Day (approx)</t>
  </si>
  <si>
    <t>Projected Month P&amp;L ($)</t>
  </si>
  <si>
    <t>Average R value ($)</t>
  </si>
  <si>
    <t>Today’s expected plan P&amp;L ($)</t>
  </si>
  <si>
    <t>Week #</t>
  </si>
  <si>
    <t>Active Days</t>
  </si>
  <si>
    <t>Total Trades</t>
  </si>
  <si>
    <t>Total Wins</t>
  </si>
  <si>
    <t>Total Losses</t>
  </si>
  <si>
    <t>Week Net P&amp;L</t>
  </si>
  <si>
    <t>Weekly Target</t>
  </si>
  <si>
    <t>Week Variance ($)</t>
  </si>
  <si>
    <t>Avg Win Rate %</t>
  </si>
  <si>
    <t>Avg Reward:Risk</t>
  </si>
  <si>
    <t>Total R</t>
  </si>
  <si>
    <t>Avg R per Day</t>
  </si>
  <si>
    <t>Date</t>
  </si>
  <si>
    <t>Day of Week</t>
  </si>
  <si>
    <t>Active Trading Day? (Y/N)</t>
  </si>
  <si>
    <t>Start NAV ($)</t>
  </si>
  <si>
    <t>Risk per Trade R ($)</t>
  </si>
  <si>
    <t>Max Daily Loss Cap ($)</t>
  </si>
  <si>
    <t>Net P&amp;L ($)</t>
  </si>
  <si>
    <t>Week P&amp;L ($)</t>
  </si>
  <si>
    <t>Weekly Target ($)</t>
  </si>
  <si>
    <t>Week Variance vs Target ($)</t>
  </si>
  <si>
    <t>Notes</t>
  </si>
  <si>
    <t># Trades</t>
  </si>
  <si>
    <t># Wins</t>
  </si>
  <si>
    <t># Losses</t>
  </si>
  <si>
    <t>Total Wins ($)</t>
  </si>
  <si>
    <t>Total Losses ($)</t>
  </si>
  <si>
    <t>Win Rate (%)</t>
  </si>
  <si>
    <t>Reward:Risk</t>
  </si>
  <si>
    <t>Daily R-multiple</t>
  </si>
  <si>
    <t>Losses vs Cap</t>
  </si>
  <si>
    <t>Intraday Net P&amp;L (so far)</t>
  </si>
  <si>
    <t>% of Cap Used (Net)</t>
  </si>
  <si>
    <t>Worst Intraday DD % of Cap</t>
  </si>
  <si>
    <t>Y</t>
  </si>
  <si>
    <t>N</t>
  </si>
  <si>
    <t>Symbol</t>
  </si>
  <si>
    <t>Name</t>
  </si>
  <si>
    <t>Side</t>
  </si>
  <si>
    <t>Quantity</t>
  </si>
  <si>
    <t>Price</t>
  </si>
  <si>
    <t>Profit</t>
  </si>
  <si>
    <t>Deal ID</t>
  </si>
  <si>
    <t>Time</t>
  </si>
  <si>
    <t>Trade Date</t>
  </si>
  <si>
    <t>Cumulative P&amp;L for the day</t>
  </si>
  <si>
    <t>EURUSD</t>
  </si>
  <si>
    <t>EUR_USD</t>
  </si>
  <si>
    <t>sell</t>
  </si>
  <si>
    <t>Wed, 11 Jan 2026 12:06:06 GMT</t>
  </si>
  <si>
    <t>Wed, 12 Jan 2026 12:06:06 GMT</t>
  </si>
  <si>
    <t>Price/EMA's</t>
  </si>
  <si>
    <t>Monthly/weekly/daily TPO</t>
  </si>
  <si>
    <t>HTF &amp; LTF fib anchors</t>
  </si>
  <si>
    <t>RSI</t>
  </si>
  <si>
    <t>PipTol</t>
  </si>
  <si>
    <t>Column1</t>
  </si>
  <si>
    <t>Entry</t>
  </si>
  <si>
    <t>TP</t>
  </si>
  <si>
    <t>SL</t>
  </si>
  <si>
    <t>Pips to TP1</t>
  </si>
  <si>
    <t>Reward at TP1 ($)</t>
  </si>
  <si>
    <t>Pips to SL</t>
  </si>
  <si>
    <t>Risk at  SL ($)</t>
  </si>
  <si>
    <t>R multiple at TP1</t>
  </si>
  <si>
    <t>Units</t>
  </si>
  <si>
    <t>TF</t>
  </si>
  <si>
    <t>Trend</t>
  </si>
  <si>
    <t>Last BOS</t>
  </si>
  <si>
    <t>Last CHOCH</t>
  </si>
  <si>
    <t>Current Price</t>
  </si>
  <si>
    <t>Monthly VAH</t>
  </si>
  <si>
    <t>HTF Swing Low (4H)</t>
  </si>
  <si>
    <t>RSI 15m</t>
  </si>
  <si>
    <t>PipTol Value (for VAH/VAL/FVG)</t>
  </si>
  <si>
    <t>LongScore</t>
  </si>
  <si>
    <t>Entry 0.382</t>
  </si>
  <si>
    <t>1D</t>
  </si>
  <si>
    <t>Bull</t>
  </si>
  <si>
    <t>Down</t>
  </si>
  <si>
    <t>Up</t>
  </si>
  <si>
    <t>EMA9  15m</t>
  </si>
  <si>
    <t>Monthly POC</t>
  </si>
  <si>
    <t>HTF Swing High (4H)</t>
  </si>
  <si>
    <t>RSI 1H</t>
  </si>
  <si>
    <t>PipTol Fib (for fibs)</t>
  </si>
  <si>
    <t>ShortScore</t>
  </si>
  <si>
    <t>Entry 0.500</t>
  </si>
  <si>
    <t>4H</t>
  </si>
  <si>
    <t>EMA21 15m</t>
  </si>
  <si>
    <t>Monthly VAL</t>
  </si>
  <si>
    <t>RSI 4H</t>
  </si>
  <si>
    <t>PipTol Mid</t>
  </si>
  <si>
    <t>Entry 0.618</t>
  </si>
  <si>
    <t>1H</t>
  </si>
  <si>
    <t>Bear</t>
  </si>
  <si>
    <t>EMA50 15m</t>
  </si>
  <si>
    <t>Monthly MID</t>
  </si>
  <si>
    <t>HTF Fib 0.382</t>
  </si>
  <si>
    <t>Long_ValScore</t>
  </si>
  <si>
    <t>Bias</t>
  </si>
  <si>
    <t>15M</t>
  </si>
  <si>
    <t>SMA200 15m</t>
  </si>
  <si>
    <t>Weekly VAH</t>
  </si>
  <si>
    <t>HTF Fib 0.500</t>
  </si>
  <si>
    <t>TP1 Price</t>
  </si>
  <si>
    <t>Short_ValScore</t>
  </si>
  <si>
    <t>MaxScorePossible</t>
  </si>
  <si>
    <t>HTF_Long_OK</t>
  </si>
  <si>
    <t>Weekly POC</t>
  </si>
  <si>
    <t>HTF Fib 0.618</t>
  </si>
  <si>
    <t>SL Price</t>
  </si>
  <si>
    <t>Long_EMAScore</t>
  </si>
  <si>
    <t>Pips to SL 0.382</t>
  </si>
  <si>
    <t>HTF_Short_OK</t>
  </si>
  <si>
    <t>EMA50 1H</t>
  </si>
  <si>
    <t>Weekly VAL</t>
  </si>
  <si>
    <t>Weight 0.382</t>
  </si>
  <si>
    <t>Short_EMAScore</t>
  </si>
  <si>
    <t>LongScore%</t>
  </si>
  <si>
    <t>Pips to SL 0.500</t>
  </si>
  <si>
    <t>LTF_Long_OK</t>
  </si>
  <si>
    <t>EMA50 4H</t>
  </si>
  <si>
    <t>Weekly MID</t>
  </si>
  <si>
    <t>LTF Leg Low (15m</t>
  </si>
  <si>
    <t>Weight 0.500</t>
  </si>
  <si>
    <t>ShortScore%</t>
  </si>
  <si>
    <t>Pips to SL 0.618</t>
  </si>
  <si>
    <t>LTF_Short_OK</t>
  </si>
  <si>
    <t>EMA50 1D</t>
  </si>
  <si>
    <t>Prev Daily VAH</t>
  </si>
  <si>
    <t>LTF Leg High (15m)</t>
  </si>
  <si>
    <t>Weight 0.618</t>
  </si>
  <si>
    <t>Long_FibScore</t>
  </si>
  <si>
    <t>Setup Type</t>
  </si>
  <si>
    <t>EMA100 1D</t>
  </si>
  <si>
    <t>Prev Daily POC</t>
  </si>
  <si>
    <t>Long vs Short domination</t>
  </si>
  <si>
    <t>Short_FibScore</t>
  </si>
  <si>
    <t>Trend Mode</t>
  </si>
  <si>
    <t>Avg Pips to SL</t>
  </si>
  <si>
    <t>EMA200 1D</t>
  </si>
  <si>
    <t>Prev Daily VAL</t>
  </si>
  <si>
    <t>LTF Fib 0.382</t>
  </si>
  <si>
    <t>Grade</t>
  </si>
  <si>
    <t>Total Units</t>
  </si>
  <si>
    <t>EMA50 1W</t>
  </si>
  <si>
    <t>Prev Daily MID</t>
  </si>
  <si>
    <t>LTF Fib 0.500</t>
  </si>
  <si>
    <t>Long_RSIScore</t>
  </si>
  <si>
    <t>EMA20 1M</t>
  </si>
  <si>
    <t>Current Daily VAH</t>
  </si>
  <si>
    <t>LTF Fib 0.618</t>
  </si>
  <si>
    <t>Short_RSIScore</t>
  </si>
  <si>
    <t>NoTradeFlag</t>
  </si>
  <si>
    <t>Units @0.382</t>
  </si>
  <si>
    <t>Liquidity</t>
  </si>
  <si>
    <t>ATR(14) 15m</t>
  </si>
  <si>
    <t>Current Daily POC</t>
  </si>
  <si>
    <t>Long_FVGScore</t>
  </si>
  <si>
    <t>Units @0.500</t>
  </si>
  <si>
    <t>PMH</t>
  </si>
  <si>
    <t>Curr Daily MID</t>
  </si>
  <si>
    <t>4H FVG high</t>
  </si>
  <si>
    <t>Short_FVGScore</t>
  </si>
  <si>
    <t>Units @0.618</t>
  </si>
  <si>
    <t>PML</t>
  </si>
  <si>
    <t>Curr Daily VAL</t>
  </si>
  <si>
    <t>4H FVG low</t>
  </si>
  <si>
    <t>Long_CurrentDayValScore</t>
  </si>
  <si>
    <t>PWH</t>
  </si>
  <si>
    <t>Daily FVG high</t>
  </si>
  <si>
    <t>News Window?</t>
  </si>
  <si>
    <t>Short_CurrentDayValScore</t>
  </si>
  <si>
    <t>Avg Entry</t>
  </si>
  <si>
    <t>PWL</t>
  </si>
  <si>
    <t>Daily FVG low</t>
  </si>
  <si>
    <t>Session Quality?</t>
  </si>
  <si>
    <t>PDH</t>
  </si>
  <si>
    <t>Today’s High</t>
  </si>
  <si>
    <t>1H FVG high</t>
  </si>
  <si>
    <t>Spread/Slippage Bad?</t>
  </si>
  <si>
    <t>Min Day Range Pips</t>
  </si>
  <si>
    <t>PDL</t>
  </si>
  <si>
    <t>Today’s Low</t>
  </si>
  <si>
    <t>1H FVG low</t>
  </si>
  <si>
    <t>Curr Day Range Pips</t>
  </si>
  <si>
    <t>BOS</t>
  </si>
  <si>
    <t>EQH_above</t>
  </si>
  <si>
    <t>Day Range (pips)</t>
  </si>
  <si>
    <t>mid of HTF leg</t>
  </si>
  <si>
    <t>(ContextOK)</t>
  </si>
  <si>
    <t>Curr Day Range OK? 0/1</t>
  </si>
  <si>
    <t>Setup Summary</t>
  </si>
  <si>
    <t>CHoCH</t>
  </si>
  <si>
    <t>EQL_below</t>
  </si>
  <si>
    <t>Location in Daily Range %</t>
  </si>
  <si>
    <t>Intraday Leg Low</t>
  </si>
  <si>
    <t>MidChopFlag</t>
  </si>
  <si>
    <t>Trade Plan</t>
  </si>
  <si>
    <t>ADR(14)</t>
  </si>
  <si>
    <t>Intraday Leg High</t>
  </si>
  <si>
    <t>UseCurrentDayTPO</t>
  </si>
  <si>
    <t>Dist_Above (pips</t>
  </si>
  <si>
    <t>% of ADR used</t>
  </si>
  <si>
    <t>Session Fib 0.382</t>
  </si>
  <si>
    <t>mid tolerance</t>
  </si>
  <si>
    <t>Dist_Below (pips)</t>
  </si>
  <si>
    <t>Options Expiry</t>
  </si>
  <si>
    <t>Session Fib 0.500</t>
  </si>
  <si>
    <t>Long_MidScore</t>
  </si>
  <si>
    <t>Strike 1</t>
  </si>
  <si>
    <t>Size 1 (bn)</t>
  </si>
  <si>
    <t>Session Fib 0.618</t>
  </si>
  <si>
    <t>Short_MidScore</t>
  </si>
  <si>
    <t>Long_RoomOK</t>
  </si>
  <si>
    <t>Strike 2</t>
  </si>
  <si>
    <t>Size 2 (bn)</t>
  </si>
  <si>
    <t>Long_StructScore</t>
  </si>
  <si>
    <t>Short_RoomOK</t>
  </si>
  <si>
    <t>Strike 3</t>
  </si>
  <si>
    <t>Size 3 (bn)</t>
  </si>
  <si>
    <t>Short_StructScore</t>
  </si>
  <si>
    <t>Magnet Strike</t>
  </si>
  <si>
    <t>TrendAlignFlag</t>
  </si>
  <si>
    <t>Magnet Range (pips)</t>
  </si>
  <si>
    <t>TrendModeText</t>
  </si>
  <si>
    <t>Distance to Magnet (pips)</t>
  </si>
  <si>
    <t>Within Magnet? 0/1</t>
  </si>
  <si>
    <t>Options Clamp %</t>
  </si>
  <si>
    <t>Zone</t>
  </si>
  <si>
    <t>Fib</t>
  </si>
  <si>
    <t>TP1</t>
  </si>
  <si>
    <t>R multiple (per rung)</t>
  </si>
  <si>
    <t>Weight</t>
  </si>
  <si>
    <t>Risk $</t>
  </si>
  <si>
    <t>Reward $</t>
  </si>
  <si>
    <t>Role</t>
  </si>
  <si>
    <t>Low</t>
  </si>
  <si>
    <t>High</t>
  </si>
  <si>
    <t>Active?</t>
  </si>
  <si>
    <t>Ladder Mode</t>
  </si>
  <si>
    <t>Shallow</t>
  </si>
  <si>
    <t>Half-size ladder</t>
  </si>
  <si>
    <t>Intraday leg fib zone</t>
  </si>
  <si>
    <t>Main A+</t>
  </si>
  <si>
    <t>Full ladder</t>
  </si>
  <si>
    <t>Session fib + POC/VAH/FVG confluence</t>
  </si>
  <si>
    <t>Zone 1 Total R</t>
  </si>
  <si>
    <t>HTF backup</t>
  </si>
  <si>
    <t>Case-by-case</t>
  </si>
  <si>
    <t>HTF 0.5–0.618 region</t>
  </si>
  <si>
    <t>Current Zone</t>
  </si>
  <si>
    <t>Zone 2 Total R</t>
  </si>
  <si>
    <t>Zone 3 Total R</t>
  </si>
  <si>
    <t>DailyLocationScore_Long</t>
  </si>
  <si>
    <t>DailyLocationScore_Short</t>
  </si>
  <si>
    <t>TrendDayFlag</t>
  </si>
  <si>
    <t>ExhaustedForNewTrendEntries</t>
  </si>
  <si>
    <t>BACKEND CALC — Use Planner_HUD (inputs &amp; ladders)</t>
  </si>
  <si>
    <t>Structure (SMC) – D1 / H4 / H1 / 15m</t>
  </si>
  <si>
    <t>PRIMARY LADDER</t>
  </si>
  <si>
    <t>Eff Pips to SL</t>
  </si>
  <si>
    <t>R per rung</t>
  </si>
  <si>
    <t>CT_Entry</t>
  </si>
  <si>
    <t>Market snapshot (15m + HTF EMAs &amp; ATR)</t>
  </si>
  <si>
    <t>Scoring &amp; HUD</t>
  </si>
  <si>
    <t>Ladder Controls</t>
  </si>
  <si>
    <t>Big Picture</t>
  </si>
  <si>
    <t>CT_SL</t>
  </si>
  <si>
    <t>PipSize</t>
  </si>
  <si>
    <t>CT_TP1</t>
  </si>
  <si>
    <t>SL Price (Auto)</t>
  </si>
  <si>
    <t>PipTol_Value</t>
  </si>
  <si>
    <t>MinStopPips</t>
  </si>
  <si>
    <t>Long Zone (A+)</t>
  </si>
  <si>
    <t>CT_TP2</t>
  </si>
  <si>
    <t>Manual SL override?</t>
  </si>
  <si>
    <t>PipTol_Fib</t>
  </si>
  <si>
    <t>ATR_StopMult</t>
  </si>
  <si>
    <t>Trend Long Plan</t>
  </si>
  <si>
    <t>CT_Risk$</t>
  </si>
  <si>
    <t>PipTol_Mid</t>
  </si>
  <si>
    <t>ATR15m_pips</t>
  </si>
  <si>
    <t>CT_PipsSL</t>
  </si>
  <si>
    <t>StopFloorPips</t>
  </si>
  <si>
    <t>CT Zone</t>
  </si>
  <si>
    <t>CT_PipsTP</t>
  </si>
  <si>
    <t>PrimaryRiskMult</t>
  </si>
  <si>
    <t>CT Short Plan</t>
  </si>
  <si>
    <t>CT_Rmult</t>
  </si>
  <si>
    <t>APlusRiskMult</t>
  </si>
  <si>
    <t>CT_Units</t>
  </si>
  <si>
    <t>Reward at TP1 $</t>
  </si>
  <si>
    <t>CTRiskMult</t>
  </si>
  <si>
    <t>Avoid</t>
  </si>
  <si>
    <t>CT_NoTradeFlag</t>
  </si>
  <si>
    <t>Ticket Size</t>
  </si>
  <si>
    <t>PrimaryWgtSum</t>
  </si>
  <si>
    <t>Min R (R multiple)</t>
  </si>
  <si>
    <t>Avg Eff Pips to SL</t>
  </si>
  <si>
    <t>APlusWgtSum</t>
  </si>
  <si>
    <t>CTWgtSum</t>
  </si>
  <si>
    <t>Liquidity levels</t>
  </si>
  <si>
    <t>Active Zone</t>
  </si>
  <si>
    <t>A+ LADDER</t>
  </si>
  <si>
    <t>Primary_MinStopPips</t>
  </si>
  <si>
    <t>upper rung</t>
  </si>
  <si>
    <t>APlus_MinStopPips</t>
  </si>
  <si>
    <t>middle rung</t>
  </si>
  <si>
    <t>CT_MinStopPips</t>
  </si>
  <si>
    <t>RSI 4HR</t>
  </si>
  <si>
    <t>deep rung</t>
  </si>
  <si>
    <t>MaxScore</t>
  </si>
  <si>
    <t>WinProb</t>
  </si>
  <si>
    <t>Expected_R</t>
  </si>
  <si>
    <t>Expected_$</t>
  </si>
  <si>
    <t>Main</t>
  </si>
  <si>
    <t>LongScore_pct</t>
  </si>
  <si>
    <t>HTF</t>
  </si>
  <si>
    <t>ShortScore_pct</t>
  </si>
  <si>
    <t>Primary_StopFloorPips</t>
  </si>
  <si>
    <t>RSI 15M</t>
  </si>
  <si>
    <t>Zone tolerance</t>
  </si>
  <si>
    <t>APlus_StopFloorPips</t>
  </si>
  <si>
    <t>zone-specific fibs for SL/entries</t>
  </si>
  <si>
    <t>CT_StopFloorPips</t>
  </si>
  <si>
    <t>Legs (Intraday / Session / HTF)</t>
  </si>
  <si>
    <t>Fib outputs</t>
  </si>
  <si>
    <t>Zone_618</t>
  </si>
  <si>
    <t>CT_ActiveWgtSum</t>
  </si>
  <si>
    <t>L1 0.382</t>
  </si>
  <si>
    <t>Distances to nearest liquidity</t>
  </si>
  <si>
    <t>Zone_500</t>
  </si>
  <si>
    <t>TradeMode</t>
  </si>
  <si>
    <t>CT_ATRMult</t>
  </si>
  <si>
    <t>L1 0.500</t>
  </si>
  <si>
    <t>Dist_Above (pips)</t>
  </si>
  <si>
    <t>CT_RangePips</t>
  </si>
  <si>
    <t>L1 0.618</t>
  </si>
  <si>
    <t>Session Low</t>
  </si>
  <si>
    <t>L2 0.382</t>
  </si>
  <si>
    <t>MasterSignal</t>
  </si>
  <si>
    <t>Session High</t>
  </si>
  <si>
    <t>L2 0.500</t>
  </si>
  <si>
    <t>CT LADDER</t>
  </si>
  <si>
    <t>Primary_SL_Cont</t>
  </si>
  <si>
    <t>L2 0.618</t>
  </si>
  <si>
    <t>Primary_SL_Buffer</t>
  </si>
  <si>
    <t>L3 0.382</t>
  </si>
  <si>
    <t>Go/No-Go</t>
  </si>
  <si>
    <t>Aplus_SL_Buffer</t>
  </si>
  <si>
    <t>L3 0.500</t>
  </si>
  <si>
    <t>shallow rung</t>
  </si>
  <si>
    <t>Golden_Low (Overlap L1/L3)</t>
  </si>
  <si>
    <t>Aplus_SL</t>
  </si>
  <si>
    <t>L3 0.618</t>
  </si>
  <si>
    <t>Golden_High (Overlap L1/L3)</t>
  </si>
  <si>
    <t>(Pips_to_Entry_500)</t>
  </si>
  <si>
    <t>Strike 4</t>
  </si>
  <si>
    <t>Size 4 (bn)</t>
  </si>
  <si>
    <t>Golden_Mid</t>
  </si>
  <si>
    <t>(Pips_to_Entry_618)</t>
  </si>
  <si>
    <t>In_GoldenPocket_Flag</t>
  </si>
  <si>
    <t>ValueRiskMult</t>
  </si>
  <si>
    <t>FVGs (4H / Daily / 1H)</t>
  </si>
  <si>
    <t>GoldenProx_Score</t>
  </si>
  <si>
    <t>Value_MinStopPips</t>
  </si>
  <si>
    <t>CT_TP1 (magnet below entry)</t>
  </si>
  <si>
    <t>Value_StopFloorPips</t>
  </si>
  <si>
    <t>Value_SL_Buffer</t>
  </si>
  <si>
    <t>MacroBiasScore</t>
  </si>
  <si>
    <t>Value_SL</t>
  </si>
  <si>
    <t>MacroBias_Direction</t>
  </si>
  <si>
    <t>ValueWgtSum</t>
  </si>
  <si>
    <t>MacroToneAdj</t>
  </si>
  <si>
    <t>MacroPolicyAdj</t>
  </si>
  <si>
    <t>VALUE LADDER</t>
  </si>
  <si>
    <t>Macro_TotalBias</t>
  </si>
  <si>
    <t>Entry SMA200</t>
  </si>
  <si>
    <t>Entry EMA50_1H</t>
  </si>
  <si>
    <t>Entry 1H_FVG_L</t>
  </si>
  <si>
    <t>In_Tier1</t>
  </si>
  <si>
    <t>CT_MinEntry</t>
  </si>
  <si>
    <t>In_Tier2</t>
  </si>
  <si>
    <t>CT_Low</t>
  </si>
  <si>
    <t>In_Tier3</t>
  </si>
  <si>
    <t>CT_High</t>
  </si>
  <si>
    <t>In_Discount</t>
  </si>
  <si>
    <t>CT_Mid</t>
  </si>
  <si>
    <t>In_CT_Zone</t>
  </si>
  <si>
    <t>Tier</t>
  </si>
  <si>
    <t>In_Premium</t>
  </si>
  <si>
    <t>L1_0.618-L1_0.382</t>
  </si>
  <si>
    <t>Tier1 Low</t>
  </si>
  <si>
    <t>4H_FVG_low-4H_FVG_high</t>
  </si>
  <si>
    <t>CoreLong_Flag</t>
  </si>
  <si>
    <t>DeepLow-High</t>
  </si>
  <si>
    <t>CTShort_Flag</t>
  </si>
  <si>
    <t>LocationLabel</t>
  </si>
  <si>
    <t>ActiveTier</t>
  </si>
  <si>
    <t>Primary_ViewTier (1/2/3, blank=auto)</t>
  </si>
  <si>
    <t>Resolved_PrimaryTier</t>
  </si>
  <si>
    <t>EURUSD Planner HUD (inputs → outputs)</t>
  </si>
  <si>
    <t>Edit BLUE cells only. Planner_v2 reads from here.</t>
  </si>
  <si>
    <t>Market snapshot (update from chart)</t>
  </si>
  <si>
    <t>Liquidity / Session levels</t>
  </si>
  <si>
    <t>FVG / value blocks</t>
  </si>
  <si>
    <t>Options expiry + risk/weights</t>
  </si>
  <si>
    <t>Structure (SMC) – D1 / 4H / 1H / 15m</t>
  </si>
  <si>
    <t>Trend (auto)</t>
  </si>
  <si>
    <t>Last BOS (manual)</t>
  </si>
  <si>
    <t>Last CHOCH (manual)</t>
  </si>
  <si>
    <t>Outputs (auto)</t>
  </si>
  <si>
    <t>Side (LONG/SHORT)</t>
  </si>
  <si>
    <t>Trade Mode</t>
  </si>
  <si>
    <t>Macro Bias (EURUSD)</t>
  </si>
  <si>
    <t>Rate diff (NOW)</t>
  </si>
  <si>
    <t>Rate diff change (6M vs NOW)</t>
  </si>
  <si>
    <t>Yield Narrative</t>
  </si>
  <si>
    <t>Narrative (plain English)</t>
  </si>
  <si>
    <t>Action (what to do)</t>
  </si>
  <si>
    <t>Definitions</t>
  </si>
  <si>
    <t>Execution ladders (auto from Planner_v2)</t>
  </si>
  <si>
    <t>Primary Ladder (Shallow / Continuation)</t>
  </si>
  <si>
    <t>Rung</t>
  </si>
  <si>
    <t>Pips→TP</t>
  </si>
  <si>
    <t>EffPips→SL</t>
  </si>
  <si>
    <t>R</t>
  </si>
  <si>
    <t>R2</t>
  </si>
  <si>
    <t>Mid</t>
  </si>
  <si>
    <t>Deep</t>
  </si>
  <si>
    <t>Total</t>
  </si>
  <si>
    <t>Value Ladder (Mid-depth supports)</t>
  </si>
  <si>
    <t>A+ Ladder (Deep value block)</t>
  </si>
  <si>
    <t>CT Ladder (Fade ceiling; only on rejection)</t>
  </si>
  <si>
    <t>Macro Outlook – Weekly Context</t>
  </si>
  <si>
    <t>Daily Macro Dashboard</t>
  </si>
  <si>
    <t>USD</t>
  </si>
  <si>
    <t>Rating</t>
  </si>
  <si>
    <t>EUR</t>
  </si>
  <si>
    <t>JPY</t>
  </si>
  <si>
    <t>Yield Curve Translator (US Treasuries)</t>
  </si>
  <si>
    <t>Inflation Trend</t>
  </si>
  <si>
    <t>Falling</t>
  </si>
  <si>
    <t>Tenor</t>
  </si>
  <si>
    <t>Level</t>
  </si>
  <si>
    <t>Δ1d (bp)</t>
  </si>
  <si>
    <t>Δ5d (bp)</t>
  </si>
  <si>
    <t>Δ20d (bp)</t>
  </si>
  <si>
    <t>What this usually means</t>
  </si>
  <si>
    <t>Dynamic read (auto)</t>
  </si>
  <si>
    <t>Labour Trend</t>
  </si>
  <si>
    <t>Neutral</t>
  </si>
  <si>
    <t>US 2y</t>
  </si>
  <si>
    <t>Front-end: policy path / next 6–18 months expectations</t>
  </si>
  <si>
    <t>Growth Trend</t>
  </si>
  <si>
    <t>Rising</t>
  </si>
  <si>
    <t>US 5y</t>
  </si>
  <si>
    <t>Medium: growth + inflation outlook (cycle)</t>
  </si>
  <si>
    <t>Fed Policy Direction</t>
  </si>
  <si>
    <t>Softening</t>
  </si>
  <si>
    <t>US 10y</t>
  </si>
  <si>
    <t>Long: long-run growth + inflation + term premium</t>
  </si>
  <si>
    <t>Global Risk Environment</t>
  </si>
  <si>
    <t>Mixed</t>
  </si>
  <si>
    <t>US 30y</t>
  </si>
  <si>
    <t>Long-end: term premium + supply/duration + inflation tail risk</t>
  </si>
  <si>
    <t>US Yield Trend</t>
  </si>
  <si>
    <t>Tight</t>
  </si>
  <si>
    <t>EUR Yield Trend</t>
  </si>
  <si>
    <t>JPY Yield Trend</t>
  </si>
  <si>
    <t>US 2s10s</t>
  </si>
  <si>
    <t>Curve slope: 10Y−2Y. Negative = inversion (easing/recession risk priced)</t>
  </si>
  <si>
    <t>Slowing</t>
  </si>
  <si>
    <t>US 5s30s</t>
  </si>
  <si>
    <t>Long-end steepness: 30Y−5Y. Rising = higher term premium / supply pressure</t>
  </si>
  <si>
    <t>Stable</t>
  </si>
  <si>
    <t>Rule of thumb for FX (USD):</t>
  </si>
  <si>
    <t>Macro_USD_Score</t>
  </si>
  <si>
    <t>Accelerating</t>
  </si>
  <si>
    <t>• Rising 2Y = tighter Fed priced → tends to support USD.  • Falling 2Y = easier Fed priced → tends to weigh USD.  • Curve steepening driven by falling 2Y often = easing cycle / risk-on.</t>
  </si>
  <si>
    <t>Macro_EUR_Score</t>
  </si>
  <si>
    <t>More cuts</t>
  </si>
  <si>
    <t>Macro_JPY_Score</t>
  </si>
  <si>
    <t>Hold</t>
  </si>
  <si>
    <t>Macro_USD_Strength</t>
  </si>
  <si>
    <t>Less cuts</t>
  </si>
  <si>
    <t>Macro_EUR_Strength</t>
  </si>
  <si>
    <t>Risk-on</t>
  </si>
  <si>
    <t>Risk-off</t>
  </si>
  <si>
    <t>EURUSD Macro Bias</t>
  </si>
  <si>
    <t>Flat</t>
  </si>
  <si>
    <t>USDJPY Macro Bias</t>
  </si>
  <si>
    <t>Risk Asset Bias</t>
  </si>
  <si>
    <t>US_YieldTrend_Score (-1..+1)</t>
  </si>
  <si>
    <t>Fed_Ease_Score</t>
  </si>
  <si>
    <t>ECB_Ease_Score</t>
  </si>
  <si>
    <t>BoJ_Ease_Score</t>
  </si>
  <si>
    <t>Rate_Diff_Level</t>
  </si>
  <si>
    <t>Rate_Diff_Score</t>
  </si>
  <si>
    <t>Last FOMC date</t>
  </si>
  <si>
    <t>Fed_DailyTone</t>
  </si>
  <si>
    <t xml:space="preserve">Fed_WeeklyTone </t>
  </si>
  <si>
    <t>ECB_DailyTone</t>
  </si>
  <si>
    <t xml:space="preserve">ECB_WeeklyTone </t>
  </si>
  <si>
    <t>JPY_DailyTone</t>
  </si>
  <si>
    <t xml:space="preserve">JPY_WeeklyTone </t>
  </si>
  <si>
    <t>Fed_ForwardCuts_6m</t>
  </si>
  <si>
    <t>ECB_ForwardCuts_6m</t>
  </si>
  <si>
    <t>JPY_ForwardCuts_6m</t>
  </si>
  <si>
    <t>Category</t>
  </si>
  <si>
    <t>Event</t>
  </si>
  <si>
    <t>Actual</t>
  </si>
  <si>
    <t>Forecast</t>
  </si>
  <si>
    <t>Previous</t>
  </si>
  <si>
    <t>Surprise vs Forecast</t>
  </si>
  <si>
    <t>Change vs Prev</t>
  </si>
  <si>
    <t>Qualitative</t>
  </si>
  <si>
    <t>EffectDirection</t>
  </si>
  <si>
    <t>Adj_Surprise</t>
  </si>
  <si>
    <t>Adj_ChangeAdj_ChangeAdj_ChangeAdj_ChangeAdj_ChangeAdj_ChangeAdj_ChangeAdj_ChangeAdj_Change</t>
  </si>
  <si>
    <t>today's yield</t>
  </si>
  <si>
    <t>yield 1 trading day ago</t>
  </si>
  <si>
    <t>yield 5 trading day ago</t>
  </si>
  <si>
    <t>yield 20 trading day ago</t>
  </si>
  <si>
    <t>Δd (1d)</t>
  </si>
  <si>
    <t xml:space="preserve"> Δ5d</t>
  </si>
  <si>
    <t>Δ20d</t>
  </si>
  <si>
    <t>TrendScore</t>
  </si>
  <si>
    <t>Growth - EUR</t>
  </si>
  <si>
    <t xml:space="preserve"> German ifo Business Climate </t>
  </si>
  <si>
    <t>Fed_CurrentRate</t>
  </si>
  <si>
    <t>Growth - US</t>
  </si>
  <si>
    <t xml:space="preserve"> ADP Weekly Employment Change </t>
  </si>
  <si>
    <t>ECB_CurrentRate</t>
  </si>
  <si>
    <t xml:space="preserve"> Core Retail Sales m/m </t>
  </si>
  <si>
    <t>JPY_CurrentRate</t>
  </si>
  <si>
    <t xml:space="preserve"> Retail Sales m/m </t>
  </si>
  <si>
    <t xml:space="preserve"> CB Consumer Confidence </t>
  </si>
  <si>
    <t>Inflation – US</t>
  </si>
  <si>
    <t xml:space="preserve"> Core PPI m/m </t>
  </si>
  <si>
    <t xml:space="preserve"> Core Durable Goods Orders m/m </t>
  </si>
  <si>
    <t xml:space="preserve"> Durable Goods Orders m/m </t>
  </si>
  <si>
    <t>Labour – US</t>
  </si>
  <si>
    <t xml:space="preserve"> Unemployment Claims </t>
  </si>
  <si>
    <t xml:space="preserve"> German GfK Consumer Climate </t>
  </si>
  <si>
    <t>DE 2y</t>
  </si>
  <si>
    <t>Inflation – EUR</t>
  </si>
  <si>
    <t xml:space="preserve"> German Prelim CPI m/m </t>
  </si>
  <si>
    <t>DE 5y</t>
  </si>
  <si>
    <t>Labour – EUR</t>
  </si>
  <si>
    <t xml:space="preserve"> German Unemployment Change </t>
  </si>
  <si>
    <t>DE 10y</t>
  </si>
  <si>
    <t xml:space="preserve"> Final Manufacturing PMI </t>
  </si>
  <si>
    <t>DE 30y</t>
  </si>
  <si>
    <t xml:space="preserve"> ISM Manufacturing Prices </t>
  </si>
  <si>
    <t xml:space="preserve"> ISM Manufacturing PMI </t>
  </si>
  <si>
    <t>DE 2s10s</t>
  </si>
  <si>
    <t>DE 5s30s</t>
  </si>
  <si>
    <t xml:space="preserve"> FOMC Member Bowman Speaks </t>
  </si>
  <si>
    <t xml:space="preserve"> (NA) </t>
  </si>
  <si>
    <t xml:space="preserve"> (NA)</t>
  </si>
  <si>
    <t>JP 2y</t>
  </si>
  <si>
    <t xml:space="preserve"> Import Prices m/m </t>
  </si>
  <si>
    <t>JP 5y</t>
  </si>
  <si>
    <t xml:space="preserve"> Capacity Utilization Rate </t>
  </si>
  <si>
    <t>JP 10y</t>
  </si>
  <si>
    <t xml:space="preserve"> ISM Services PMI </t>
  </si>
  <si>
    <t>JP 30y</t>
  </si>
  <si>
    <t xml:space="preserve"> Factory Orders m/m </t>
  </si>
  <si>
    <t>JP 2s10s</t>
  </si>
  <si>
    <t xml:space="preserve"> Italian Retail Sales m/m </t>
  </si>
  <si>
    <t>JP 5s30s</t>
  </si>
  <si>
    <t xml:space="preserve"> Revised GDP q/q </t>
  </si>
  <si>
    <t xml:space="preserve"> Prelim UoM Consumer Sentiment </t>
  </si>
  <si>
    <t xml:space="preserve"> Personal Income m/m </t>
  </si>
  <si>
    <t xml:space="preserve"> Personal Spending m/m </t>
  </si>
  <si>
    <t xml:space="preserve"> Consumer Credit m/m </t>
  </si>
  <si>
    <t xml:space="preserve"> Core PCE Price Index m/m </t>
  </si>
  <si>
    <t xml:space="preserve"> Prelim UoM Inflation Expectations </t>
  </si>
  <si>
    <t>Labour – CAD</t>
  </si>
  <si>
    <t xml:space="preserve"> Employment Change </t>
  </si>
  <si>
    <t>German Trade Balance</t>
  </si>
  <si>
    <t xml:space="preserve"> Unemployment Rate </t>
  </si>
  <si>
    <t>German Industrial Production m/m</t>
  </si>
  <si>
    <t>Sentix Investor Confidence</t>
  </si>
  <si>
    <t>NFIB Small Business Index</t>
  </si>
  <si>
    <t>ADP Weekly Employment Change</t>
  </si>
  <si>
    <t>JOLTS Job Openings</t>
  </si>
  <si>
    <t>CB Leading Index m/m</t>
  </si>
  <si>
    <t>Italian Industrial Production m/m</t>
  </si>
  <si>
    <t>Employment Cost Index q/q</t>
  </si>
  <si>
    <t>Federal Funds Rate</t>
  </si>
  <si>
    <t>Federal Budget Balance</t>
  </si>
  <si>
    <t>Italian Quarterly Unemployment Rate</t>
  </si>
  <si>
    <t>Unemployment Claims</t>
  </si>
  <si>
    <t>Trade Balance</t>
  </si>
  <si>
    <t>Final Wholesale Inventories m/m</t>
  </si>
  <si>
    <t>German Final CPI m/m</t>
  </si>
  <si>
    <t>French Final CPI m/m</t>
  </si>
  <si>
    <t>Spain Final CPI m/m</t>
  </si>
  <si>
    <t>German WPI m/m</t>
  </si>
  <si>
    <t>Industrial Production m/m</t>
  </si>
  <si>
    <t>Empire State Manufacturing Index</t>
  </si>
  <si>
    <t>NAHB Housing Market Index</t>
  </si>
  <si>
    <t>French Flash Manufacturing PMI</t>
  </si>
  <si>
    <t>French Flash Services PMI</t>
  </si>
  <si>
    <t>German Flash Manufacturing PMI</t>
  </si>
  <si>
    <t>German Flash Services PMI</t>
  </si>
  <si>
    <t>Flash Manufacturing PMI</t>
  </si>
  <si>
    <t>Flash Services PMI</t>
  </si>
  <si>
    <t>Italian Trade Balance</t>
  </si>
  <si>
    <t>German ZEW Economic Sentiment</t>
  </si>
  <si>
    <t>38..5</t>
  </si>
  <si>
    <t>ZEW Economic Sentiment</t>
  </si>
  <si>
    <t>Average Hourly Earnings m/m</t>
  </si>
  <si>
    <t>Core Retail Sales m/m</t>
  </si>
  <si>
    <t>Non-Farm Employment Change</t>
  </si>
  <si>
    <t>Retail Sales m/m</t>
  </si>
  <si>
    <t>Unemployment Rate</t>
  </si>
  <si>
    <t>Business Inventories m/m</t>
  </si>
  <si>
    <t>German ifo Business Climate</t>
  </si>
  <si>
    <t>Final Core CPI y/y</t>
  </si>
  <si>
    <t>Final CPI y/y</t>
  </si>
  <si>
    <t>Main Refinancing Rate</t>
  </si>
  <si>
    <t>CPI y/y</t>
  </si>
  <si>
    <t>Philly Fed Manufacturing Index</t>
  </si>
  <si>
    <t>TIC Long-Term Purchases</t>
  </si>
  <si>
    <t>Inflation – JPY</t>
  </si>
  <si>
    <t>National Core CPI y/y</t>
  </si>
  <si>
    <t>Growth - JPY</t>
  </si>
  <si>
    <t>BOJ Policy Rate</t>
  </si>
  <si>
    <t>German GfK Consumer Climate</t>
  </si>
  <si>
    <t>German PPI m/m</t>
  </si>
  <si>
    <t xml:space="preserve"> Final Employment Change q/q </t>
  </si>
  <si>
    <t>Currency</t>
  </si>
  <si>
    <t>Rate1_mid 350-375)</t>
  </si>
  <si>
    <t>Prob1</t>
  </si>
  <si>
    <t>Rate2_mid (375-400)</t>
  </si>
  <si>
    <t>Prob2</t>
  </si>
  <si>
    <t>Rate3_mid (325-350)</t>
  </si>
  <si>
    <t>Prob3</t>
  </si>
  <si>
    <t>ExpRate</t>
  </si>
  <si>
    <t>CutsVsToday</t>
  </si>
  <si>
    <t>US</t>
  </si>
  <si>
    <t>ECB</t>
  </si>
  <si>
    <t>CentralBank</t>
  </si>
  <si>
    <t>Person</t>
  </si>
  <si>
    <t>Topic</t>
  </si>
  <si>
    <t>Tone</t>
  </si>
  <si>
    <t>Tone_Score</t>
  </si>
  <si>
    <t>Link/Source</t>
  </si>
  <si>
    <t>Hawkish</t>
  </si>
  <si>
    <t>FED</t>
  </si>
  <si>
    <t>Powell</t>
  </si>
  <si>
    <t>BOJ</t>
  </si>
  <si>
    <t>Goolsbee</t>
  </si>
  <si>
    <t>Dovish</t>
  </si>
  <si>
    <t>Hammack</t>
  </si>
  <si>
    <t>Musalem</t>
  </si>
  <si>
    <t>Miran</t>
  </si>
  <si>
    <t>Kashkari</t>
  </si>
  <si>
    <t>Barkin</t>
  </si>
  <si>
    <t>Logan</t>
  </si>
  <si>
    <t>Collins</t>
  </si>
  <si>
    <t>Daly</t>
  </si>
  <si>
    <t>Williams</t>
  </si>
  <si>
    <t>Waller</t>
  </si>
  <si>
    <t>Schnabel</t>
  </si>
  <si>
    <t>Rehn</t>
  </si>
  <si>
    <t>Kazimir</t>
  </si>
  <si>
    <t>Panetta</t>
  </si>
  <si>
    <t>Lagarde</t>
  </si>
  <si>
    <t>Villeroy</t>
  </si>
  <si>
    <t>Kazarks</t>
  </si>
  <si>
    <t>Simkus</t>
  </si>
  <si>
    <t>Paulson</t>
  </si>
  <si>
    <t>Bostic</t>
  </si>
  <si>
    <t>Takashi</t>
  </si>
  <si>
    <t>List</t>
  </si>
  <si>
    <t>Range</t>
  </si>
  <si>
    <t>None</t>
  </si>
  <si>
    <t>Hold/uncertain</t>
  </si>
  <si>
    <t>Fewer cuts</t>
  </si>
  <si>
    <t>Labour – JPY</t>
  </si>
  <si>
    <t>Narrative Engine (do not edit)</t>
  </si>
  <si>
    <t>SetupScore</t>
  </si>
  <si>
    <t>SetupGrade</t>
  </si>
  <si>
    <t>SetupMeaning</t>
  </si>
  <si>
    <t>RateDiff_Now</t>
  </si>
  <si>
    <t>RateDiff_6M</t>
  </si>
  <si>
    <t>RateDiff_ChangeSteps</t>
  </si>
  <si>
    <t>RateDiff_ChangeBP</t>
  </si>
  <si>
    <t>RateDiff_NowLabel</t>
  </si>
  <si>
    <t>RateDiff_ChangeLabel</t>
  </si>
  <si>
    <t>FedTone</t>
  </si>
  <si>
    <t>ECBTone</t>
  </si>
  <si>
    <t>Strike1</t>
  </si>
  <si>
    <t>Strike2</t>
  </si>
  <si>
    <t>Strike3</t>
  </si>
  <si>
    <t>Strike4</t>
  </si>
  <si>
    <t>NearestStrike</t>
  </si>
  <si>
    <t>NearestSize</t>
  </si>
  <si>
    <t>NearestPips</t>
  </si>
  <si>
    <t>StrikeNote</t>
  </si>
  <si>
    <t>Narrative</t>
  </si>
  <si>
    <t>Action</t>
  </si>
  <si>
    <t>Glossary</t>
  </si>
  <si>
    <t>CT_TP1 (golden→Tier1Top)</t>
  </si>
  <si>
    <t>Macro Narrative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</si>
</sst>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0.0"/>
    <numFmt numFmtId="178" formatCode="0.00000"/>
    <numFmt numFmtId="179" formatCode="_(* #,##0.0_);_(* \(#,##0.0\);_(* &quot;-&quot;??_);_(@_)"/>
    <numFmt numFmtId="180" formatCode="_(* #,##0_);_(* \(#,##0\);_(* &quot;-&quot;??_);_(@_)"/>
    <numFmt numFmtId="181" formatCode="0.000"/>
    <numFmt numFmtId="182" formatCode="0.0%"/>
    <numFmt numFmtId="183" formatCode="&quot;$&quot;#,##0.00"/>
    <numFmt numFmtId="184" formatCode="_(&quot;$&quot;* #,##0_);_(&quot;$&quot;* \(#,##0\);_(&quot;$&quot;* &quot;-&quot;??_);_(@_)"/>
    <numFmt numFmtId="185" formatCode="[$-409]d\-mmm;@"/>
  </numFmts>
  <fonts count="3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rgb="FFFFFFFF"/>
      <name val="Calibri"/>
      <charset val="134"/>
    </font>
    <font>
      <b/>
      <sz val="11"/>
      <color rgb="FF1F4E79"/>
      <name val="Calibri"/>
      <charset val="134"/>
    </font>
    <font>
      <b/>
      <sz val="14"/>
      <color rgb="FFFFFFFF"/>
      <name val="Calibri"/>
      <charset val="134"/>
    </font>
    <font>
      <i/>
      <sz val="11"/>
      <color rgb="FF666666"/>
      <name val="Calibri"/>
      <charset val="134"/>
    </font>
    <font>
      <b/>
      <sz val="11"/>
      <color rgb="FF000000"/>
      <name val="Calibri"/>
      <charset val="134"/>
    </font>
    <font>
      <sz val="11"/>
      <color rgb="FF0000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C0C0C0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6" borderId="2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7" borderId="27" applyNumberFormat="0" applyAlignment="0" applyProtection="0">
      <alignment vertical="center"/>
    </xf>
    <xf numFmtId="0" fontId="21" fillId="7" borderId="28" applyNumberFormat="0" applyAlignment="0" applyProtection="0">
      <alignment vertical="center"/>
    </xf>
    <xf numFmtId="0" fontId="22" fillId="7" borderId="27" applyNumberFormat="0" applyAlignment="0" applyProtection="0">
      <alignment vertical="center"/>
    </xf>
    <xf numFmtId="0" fontId="23" fillId="18" borderId="29" applyNumberFormat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</cellStyleXfs>
  <cellXfs count="19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2" fontId="0" fillId="0" borderId="0" xfId="0" applyNumberFormat="1"/>
    <xf numFmtId="16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78" fontId="0" fillId="0" borderId="0" xfId="0" applyNumberFormat="1"/>
    <xf numFmtId="44" fontId="0" fillId="0" borderId="0" xfId="2"/>
    <xf numFmtId="0" fontId="0" fillId="3" borderId="4" xfId="0" applyFill="1" applyBorder="1" applyAlignment="1">
      <alignment horizontal="center"/>
    </xf>
    <xf numFmtId="178" fontId="0" fillId="3" borderId="5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44" fontId="0" fillId="3" borderId="5" xfId="2" applyFill="1" applyBorder="1" applyAlignment="1">
      <alignment horizontal="center"/>
    </xf>
    <xf numFmtId="1" fontId="0" fillId="3" borderId="5" xfId="1" applyNumberFormat="1" applyFill="1" applyBorder="1" applyAlignment="1">
      <alignment horizontal="center"/>
    </xf>
    <xf numFmtId="179" fontId="0" fillId="3" borderId="6" xfId="1" applyNumberFormat="1" applyFill="1" applyBorder="1" applyAlignment="1">
      <alignment horizontal="center"/>
    </xf>
    <xf numFmtId="178" fontId="0" fillId="4" borderId="0" xfId="0" applyNumberFormat="1" applyFill="1"/>
    <xf numFmtId="0" fontId="0" fillId="5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6" borderId="4" xfId="0" applyFill="1" applyBorder="1" applyAlignment="1">
      <alignment horizontal="center"/>
    </xf>
    <xf numFmtId="178" fontId="0" fillId="6" borderId="5" xfId="0" applyNumberFormat="1" applyFill="1" applyBorder="1" applyAlignment="1">
      <alignment horizontal="center"/>
    </xf>
    <xf numFmtId="178" fontId="0" fillId="0" borderId="0" xfId="0" applyNumberFormat="1" applyAlignment="1">
      <alignment horizontal="left"/>
    </xf>
    <xf numFmtId="178" fontId="0" fillId="0" borderId="0" xfId="0" applyNumberFormat="1" applyAlignment="1">
      <alignment wrapText="1"/>
    </xf>
    <xf numFmtId="0" fontId="0" fillId="3" borderId="7" xfId="0" applyFill="1" applyBorder="1" applyAlignment="1">
      <alignment horizontal="center"/>
    </xf>
    <xf numFmtId="178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44" fontId="0" fillId="3" borderId="8" xfId="2" applyFill="1" applyBorder="1" applyAlignment="1">
      <alignment horizontal="center"/>
    </xf>
    <xf numFmtId="1" fontId="0" fillId="3" borderId="8" xfId="1" applyNumberFormat="1" applyFill="1" applyBorder="1" applyAlignment="1">
      <alignment horizontal="center"/>
    </xf>
    <xf numFmtId="179" fontId="0" fillId="3" borderId="9" xfId="1" applyNumberFormat="1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4" borderId="0" xfId="0" applyFill="1"/>
    <xf numFmtId="177" fontId="0" fillId="0" borderId="0" xfId="0" applyNumberFormat="1" applyAlignment="1">
      <alignment horizontal="left"/>
    </xf>
    <xf numFmtId="44" fontId="0" fillId="0" borderId="0" xfId="0" applyNumberFormat="1"/>
    <xf numFmtId="180" fontId="0" fillId="0" borderId="0" xfId="1" applyNumberFormat="1"/>
    <xf numFmtId="177" fontId="0" fillId="0" borderId="0" xfId="0" applyNumberFormat="1"/>
    <xf numFmtId="1" fontId="0" fillId="0" borderId="0" xfId="1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0" fontId="3" fillId="2" borderId="1" xfId="0" applyFont="1" applyFill="1" applyBorder="1"/>
    <xf numFmtId="0" fontId="0" fillId="0" borderId="4" xfId="0" applyBorder="1" applyAlignment="1">
      <alignment horizontal="center"/>
    </xf>
    <xf numFmtId="178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 wrapText="1"/>
    </xf>
    <xf numFmtId="2" fontId="0" fillId="0" borderId="5" xfId="0" applyNumberFormat="1" applyBorder="1" applyAlignment="1">
      <alignment horizontal="center" wrapText="1"/>
    </xf>
    <xf numFmtId="44" fontId="0" fillId="0" borderId="5" xfId="2" applyBorder="1" applyAlignment="1">
      <alignment horizontal="center"/>
    </xf>
    <xf numFmtId="177" fontId="0" fillId="0" borderId="6" xfId="0" applyNumberFormat="1" applyBorder="1" applyAlignment="1">
      <alignment horizontal="center"/>
    </xf>
    <xf numFmtId="2" fontId="0" fillId="4" borderId="0" xfId="0" applyNumberFormat="1" applyFill="1"/>
    <xf numFmtId="178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178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8" xfId="0" applyNumberFormat="1" applyBorder="1" applyAlignment="1">
      <alignment horizontal="center" wrapText="1"/>
    </xf>
    <xf numFmtId="2" fontId="0" fillId="0" borderId="8" xfId="0" applyNumberFormat="1" applyBorder="1" applyAlignment="1">
      <alignment horizontal="center" wrapText="1"/>
    </xf>
    <xf numFmtId="44" fontId="0" fillId="0" borderId="8" xfId="2" applyBorder="1" applyAlignment="1">
      <alignment horizontal="center"/>
    </xf>
    <xf numFmtId="177" fontId="0" fillId="0" borderId="9" xfId="0" applyNumberFormat="1" applyBorder="1" applyAlignment="1">
      <alignment horizontal="center"/>
    </xf>
    <xf numFmtId="17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44" fontId="0" fillId="0" borderId="0" xfId="2" applyAlignment="1">
      <alignment horizontal="center"/>
    </xf>
    <xf numFmtId="177" fontId="0" fillId="0" borderId="0" xfId="0" applyNumberFormat="1" applyAlignment="1">
      <alignment horizontal="center"/>
    </xf>
    <xf numFmtId="9" fontId="0" fillId="0" borderId="0" xfId="3" applyAlignment="1">
      <alignment horizontal="left"/>
    </xf>
    <xf numFmtId="9" fontId="0" fillId="0" borderId="0" xfId="3" applyAlignment="1">
      <alignment horizontal="center"/>
    </xf>
    <xf numFmtId="9" fontId="0" fillId="0" borderId="0" xfId="3"/>
    <xf numFmtId="1" fontId="0" fillId="5" borderId="0" xfId="0" applyNumberFormat="1" applyFill="1"/>
    <xf numFmtId="0" fontId="0" fillId="5" borderId="0" xfId="0" applyFill="1"/>
    <xf numFmtId="16" fontId="0" fillId="0" borderId="0" xfId="0" applyNumberFormat="1"/>
    <xf numFmtId="0" fontId="4" fillId="0" borderId="0" xfId="0" applyFont="1"/>
    <xf numFmtId="58" fontId="0" fillId="0" borderId="0" xfId="0" applyNumberFormat="1"/>
    <xf numFmtId="181" fontId="0" fillId="0" borderId="0" xfId="0" applyNumberFormat="1"/>
    <xf numFmtId="1" fontId="0" fillId="0" borderId="0" xfId="0" applyNumberFormat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58" fontId="0" fillId="4" borderId="5" xfId="0" applyNumberFormat="1" applyFill="1" applyBorder="1"/>
    <xf numFmtId="49" fontId="0" fillId="4" borderId="5" xfId="0" applyNumberFormat="1" applyFill="1" applyBorder="1"/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177" fontId="0" fillId="4" borderId="5" xfId="0" applyNumberFormat="1" applyFill="1" applyBorder="1" applyAlignment="1">
      <alignment horizontal="center"/>
    </xf>
    <xf numFmtId="58" fontId="0" fillId="0" borderId="0" xfId="0" applyNumberFormat="1" applyAlignment="1">
      <alignment horizontal="center" vertical="center"/>
    </xf>
    <xf numFmtId="1" fontId="0" fillId="4" borderId="5" xfId="0" applyNumberFormat="1" applyFill="1" applyBorder="1" applyAlignment="1">
      <alignment horizontal="center"/>
    </xf>
    <xf numFmtId="10" fontId="0" fillId="4" borderId="5" xfId="0" applyNumberFormat="1" applyFill="1" applyBorder="1" applyAlignment="1">
      <alignment horizontal="center"/>
    </xf>
    <xf numFmtId="58" fontId="0" fillId="4" borderId="8" xfId="0" applyNumberFormat="1" applyFill="1" applyBorder="1"/>
    <xf numFmtId="0" fontId="0" fillId="4" borderId="8" xfId="0" applyFill="1" applyBorder="1"/>
    <xf numFmtId="10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5" fillId="7" borderId="0" xfId="0" applyFont="1" applyFill="1"/>
    <xf numFmtId="49" fontId="0" fillId="4" borderId="8" xfId="0" applyNumberFormat="1" applyFill="1" applyBorder="1"/>
    <xf numFmtId="2" fontId="0" fillId="4" borderId="5" xfId="0" applyNumberFormat="1" applyFill="1" applyBorder="1" applyAlignment="1">
      <alignment horizontal="center"/>
    </xf>
    <xf numFmtId="182" fontId="0" fillId="4" borderId="5" xfId="3" applyNumberFormat="1" applyFill="1" applyBorder="1" applyAlignment="1">
      <alignment horizontal="center"/>
    </xf>
    <xf numFmtId="10" fontId="0" fillId="4" borderId="5" xfId="3" applyNumberFormat="1" applyFill="1" applyBorder="1" applyAlignment="1">
      <alignment horizontal="center"/>
    </xf>
    <xf numFmtId="2" fontId="0" fillId="4" borderId="5" xfId="3" applyNumberFormat="1" applyFill="1" applyBorder="1" applyAlignment="1">
      <alignment horizontal="center"/>
    </xf>
    <xf numFmtId="182" fontId="0" fillId="4" borderId="8" xfId="3" applyNumberFormat="1" applyFill="1" applyBorder="1" applyAlignment="1">
      <alignment horizontal="center"/>
    </xf>
    <xf numFmtId="2" fontId="0" fillId="4" borderId="8" xfId="3" applyNumberFormat="1" applyFill="1" applyBorder="1" applyAlignment="1">
      <alignment horizontal="center"/>
    </xf>
    <xf numFmtId="0" fontId="6" fillId="8" borderId="0" xfId="0" applyFont="1" applyFill="1" applyAlignment="1">
      <alignment horizontal="left" vertical="center"/>
    </xf>
    <xf numFmtId="0" fontId="5" fillId="9" borderId="12" xfId="0" applyFont="1" applyFill="1" applyBorder="1" applyAlignment="1">
      <alignment horizontal="left" vertical="center"/>
    </xf>
    <xf numFmtId="1" fontId="5" fillId="9" borderId="12" xfId="0" applyNumberFormat="1" applyFont="1" applyFill="1" applyBorder="1" applyAlignment="1">
      <alignment horizontal="left" vertical="center"/>
    </xf>
    <xf numFmtId="0" fontId="5" fillId="0" borderId="13" xfId="0" applyFont="1" applyBorder="1" applyAlignment="1">
      <alignment horizontal="center" vertical="center" wrapText="1"/>
    </xf>
    <xf numFmtId="0" fontId="0" fillId="0" borderId="12" xfId="0" applyBorder="1"/>
    <xf numFmtId="181" fontId="0" fillId="0" borderId="12" xfId="0" applyNumberFormat="1" applyBorder="1" applyAlignment="1">
      <alignment vertical="top" wrapText="1"/>
    </xf>
    <xf numFmtId="1" fontId="0" fillId="0" borderId="12" xfId="0" applyNumberForma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horizontal="left" vertical="top" wrapText="1"/>
    </xf>
    <xf numFmtId="0" fontId="7" fillId="10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8" fillId="8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12" xfId="0" applyFont="1" applyBorder="1"/>
    <xf numFmtId="178" fontId="11" fillId="11" borderId="12" xfId="0" applyNumberFormat="1" applyFont="1" applyFill="1" applyBorder="1"/>
    <xf numFmtId="2" fontId="11" fillId="11" borderId="12" xfId="0" applyNumberFormat="1" applyFont="1" applyFill="1" applyBorder="1"/>
    <xf numFmtId="1" fontId="11" fillId="11" borderId="12" xfId="0" applyNumberFormat="1" applyFont="1" applyFill="1" applyBorder="1"/>
    <xf numFmtId="182" fontId="11" fillId="11" borderId="12" xfId="0" applyNumberFormat="1" applyFont="1" applyFill="1" applyBorder="1"/>
    <xf numFmtId="0" fontId="0" fillId="0" borderId="13" xfId="0" applyBorder="1" applyAlignment="1">
      <alignment horizontal="center" vertical="center" wrapText="1"/>
    </xf>
    <xf numFmtId="178" fontId="11" fillId="11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 vertical="center" wrapText="1"/>
    </xf>
    <xf numFmtId="0" fontId="0" fillId="0" borderId="16" xfId="0" applyBorder="1"/>
    <xf numFmtId="0" fontId="5" fillId="12" borderId="0" xfId="0" applyFont="1" applyFill="1"/>
    <xf numFmtId="0" fontId="0" fillId="12" borderId="0" xfId="0" applyFill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5" fillId="9" borderId="15" xfId="0" applyFont="1" applyFill="1" applyBorder="1"/>
    <xf numFmtId="0" fontId="5" fillId="9" borderId="12" xfId="0" applyFont="1" applyFill="1" applyBorder="1"/>
    <xf numFmtId="0" fontId="5" fillId="9" borderId="13" xfId="0" applyFont="1" applyFill="1" applyBorder="1" applyAlignment="1">
      <alignment horizontal="center" vertical="center" wrapText="1"/>
    </xf>
    <xf numFmtId="0" fontId="5" fillId="9" borderId="17" xfId="0" applyFont="1" applyFill="1" applyBorder="1"/>
    <xf numFmtId="178" fontId="0" fillId="0" borderId="12" xfId="0" applyNumberFormat="1" applyBorder="1"/>
    <xf numFmtId="177" fontId="0" fillId="0" borderId="12" xfId="0" applyNumberFormat="1" applyBorder="1"/>
    <xf numFmtId="3" fontId="0" fillId="0" borderId="13" xfId="0" applyNumberFormat="1" applyBorder="1" applyAlignment="1">
      <alignment horizontal="center" vertical="center" wrapText="1"/>
    </xf>
    <xf numFmtId="183" fontId="0" fillId="0" borderId="13" xfId="0" applyNumberForma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 vertical="center" wrapText="1"/>
    </xf>
    <xf numFmtId="177" fontId="0" fillId="0" borderId="17" xfId="0" applyNumberFormat="1" applyBorder="1"/>
    <xf numFmtId="0" fontId="0" fillId="0" borderId="18" xfId="0" applyBorder="1"/>
    <xf numFmtId="178" fontId="0" fillId="0" borderId="19" xfId="0" applyNumberFormat="1" applyBorder="1"/>
    <xf numFmtId="177" fontId="0" fillId="0" borderId="19" xfId="0" applyNumberFormat="1" applyBorder="1"/>
    <xf numFmtId="3" fontId="0" fillId="0" borderId="20" xfId="0" applyNumberFormat="1" applyBorder="1" applyAlignment="1">
      <alignment horizontal="center" vertical="center" wrapText="1"/>
    </xf>
    <xf numFmtId="183" fontId="0" fillId="0" borderId="20" xfId="0" applyNumberFormat="1" applyBorder="1" applyAlignment="1">
      <alignment horizontal="center" vertical="center" wrapText="1"/>
    </xf>
    <xf numFmtId="177" fontId="0" fillId="0" borderId="20" xfId="0" applyNumberFormat="1" applyBorder="1" applyAlignment="1">
      <alignment horizontal="center" vertical="center" wrapText="1"/>
    </xf>
    <xf numFmtId="177" fontId="0" fillId="0" borderId="21" xfId="0" applyNumberFormat="1" applyBorder="1"/>
    <xf numFmtId="1" fontId="0" fillId="0" borderId="13" xfId="0" applyNumberFormat="1" applyBorder="1" applyAlignment="1">
      <alignment horizontal="center" vertical="center" wrapText="1"/>
    </xf>
    <xf numFmtId="0" fontId="0" fillId="0" borderId="21" xfId="0" applyBorder="1"/>
    <xf numFmtId="0" fontId="6" fillId="14" borderId="0" xfId="0" applyFont="1" applyFill="1" applyAlignment="1">
      <alignment horizontal="left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177" fontId="0" fillId="0" borderId="5" xfId="0" applyNumberFormat="1" applyBorder="1" applyAlignment="1">
      <alignment horizontal="center"/>
    </xf>
    <xf numFmtId="180" fontId="0" fillId="0" borderId="6" xfId="1" applyNumberFormat="1" applyBorder="1" applyAlignment="1">
      <alignment horizontal="center"/>
    </xf>
    <xf numFmtId="0" fontId="0" fillId="0" borderId="7" xfId="0" applyBorder="1"/>
    <xf numFmtId="177" fontId="0" fillId="0" borderId="8" xfId="0" applyNumberFormat="1" applyBorder="1" applyAlignment="1">
      <alignment horizontal="center"/>
    </xf>
    <xf numFmtId="180" fontId="0" fillId="0" borderId="9" xfId="1" applyNumberFormat="1" applyBorder="1" applyAlignment="1">
      <alignment horizontal="center"/>
    </xf>
    <xf numFmtId="184" fontId="0" fillId="0" borderId="0" xfId="2" applyNumberFormat="1"/>
    <xf numFmtId="0" fontId="0" fillId="0" borderId="22" xfId="0" applyBorder="1"/>
    <xf numFmtId="0" fontId="0" fillId="0" borderId="23" xfId="0" applyBorder="1"/>
    <xf numFmtId="178" fontId="0" fillId="12" borderId="0" xfId="0" applyNumberFormat="1" applyFill="1"/>
    <xf numFmtId="1" fontId="0" fillId="0" borderId="0" xfId="0" applyNumberFormat="1" applyAlignment="1">
      <alignment vertical="center" wrapText="1"/>
    </xf>
    <xf numFmtId="185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4" fillId="0" borderId="5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16" fontId="0" fillId="12" borderId="0" xfId="0" applyNumberFormat="1" applyFill="1"/>
    <xf numFmtId="0" fontId="0" fillId="12" borderId="0" xfId="0" applyFill="1"/>
    <xf numFmtId="184" fontId="0" fillId="12" borderId="0" xfId="2" applyNumberFormat="1" applyFill="1"/>
    <xf numFmtId="44" fontId="0" fillId="12" borderId="0" xfId="2" applyFill="1"/>
    <xf numFmtId="184" fontId="0" fillId="12" borderId="0" xfId="0" applyNumberFormat="1" applyFill="1"/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/>
    </xf>
    <xf numFmtId="184" fontId="0" fillId="15" borderId="0" xfId="2" applyNumberFormat="1" applyFill="1" applyAlignment="1">
      <alignment horizontal="right"/>
    </xf>
    <xf numFmtId="0" fontId="0" fillId="15" borderId="0" xfId="0" applyFill="1" applyAlignment="1">
      <alignment horizontal="right"/>
    </xf>
    <xf numFmtId="184" fontId="0" fillId="0" borderId="0" xfId="2" applyNumberFormat="1" applyAlignment="1">
      <alignment horizontal="right"/>
    </xf>
    <xf numFmtId="177" fontId="0" fillId="0" borderId="0" xfId="2" applyNumberFormat="1" applyAlignment="1">
      <alignment horizontal="right"/>
    </xf>
    <xf numFmtId="2" fontId="0" fillId="15" borderId="0" xfId="3" applyNumberFormat="1" applyFill="1" applyAlignment="1">
      <alignment horizontal="right"/>
    </xf>
    <xf numFmtId="1" fontId="0" fillId="15" borderId="0" xfId="2" applyNumberFormat="1" applyFill="1" applyAlignment="1">
      <alignment horizontal="right"/>
    </xf>
    <xf numFmtId="44" fontId="0" fillId="15" borderId="0" xfId="2" applyFill="1" applyAlignment="1">
      <alignment horizontal="right"/>
    </xf>
    <xf numFmtId="44" fontId="0" fillId="0" borderId="0" xfId="2" applyAlignment="1">
      <alignment horizontal="right"/>
    </xf>
    <xf numFmtId="0" fontId="0" fillId="0" borderId="0" xfId="0" applyAlignment="1">
      <alignment horizontal="center" vertical="center" wrapText="1"/>
    </xf>
    <xf numFmtId="182" fontId="0" fillId="0" borderId="0" xfId="3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0">
    <dxf>
      <font>
        <name val="Calibri"/>
        <scheme val="none"/>
        <family val="2"/>
        <strike val="0"/>
        <sz val="11"/>
        <color theme="1"/>
      </font>
      <border>
        <left/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8" formatCode="0.0000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8" formatCode="0.0000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8" formatCode="0.0000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7" formatCode="0.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7" formatCode="0.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3" formatCode="#,##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183" formatCode="&quot;$&quot;#,##0.0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183" formatCode="&quot;$&quot;#,##0.0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2" formatCode="0.0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177" formatCode="0.0"/>
      <border>
        <left style="thin">
          <color rgb="FFC0C0C0"/>
        </left>
        <right/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border>
        <left/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8" formatCode="0.0000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8" formatCode="0.0000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8" formatCode="0.0000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7" formatCode="0.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7" formatCode="0.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3" formatCode="#,##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183" formatCode="&quot;$&quot;#,##0.0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183" formatCode="&quot;$&quot;#,##0.0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2" formatCode="0.0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177" formatCode="0.0"/>
      <border>
        <left style="thin">
          <color rgb="FFC0C0C0"/>
        </left>
        <right/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border>
        <left/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8" formatCode="0.0000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8" formatCode="0.0000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8" formatCode="0.0000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7" formatCode="0.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7" formatCode="0.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3" formatCode="#,##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183" formatCode="&quot;$&quot;#,##0.0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183" formatCode="&quot;$&quot;#,##0.0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2" formatCode="0.0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177" formatCode="0.0"/>
      <border>
        <left style="thin">
          <color rgb="FFC0C0C0"/>
        </left>
        <right/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border>
        <left/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8" formatCode="0.0000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8" formatCode="0.0000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8" formatCode="0.0000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7" formatCode="0.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177" formatCode="0.0"/>
      <border>
        <left style="thin">
          <color rgb="FFC0C0C0"/>
        </left>
        <right style="thin">
          <color rgb="FFC0C0C0"/>
        </right>
        <top style="thin">
          <color rgb="FFC0C0C0"/>
        </top>
        <bottom style="thin">
          <color rgb="FFC0C0C0"/>
        </bottom>
      </border>
    </dxf>
    <dxf>
      <font>
        <name val="Calibri"/>
        <scheme val="none"/>
        <family val="2"/>
        <strike val="0"/>
        <sz val="11"/>
        <color theme="1"/>
      </font>
      <numFmt numFmtId="3" formatCode="#,##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183" formatCode="&quot;$&quot;#,##0.0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183" formatCode="&quot;$&quot;#,##0.0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2" formatCode="0.00"/>
      <alignment horizontal="center" vertical="center" wrapText="1"/>
      <border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name val="Calibri"/>
        <scheme val="none"/>
        <family val="2"/>
        <strike val="0"/>
        <sz val="11"/>
        <color theme="1"/>
      </font>
      <numFmt numFmtId="177" formatCode="0.0"/>
      <border>
        <left style="thin">
          <color rgb="FFC0C0C0"/>
        </left>
        <right/>
        <top style="thin">
          <color rgb="FFC0C0C0"/>
        </top>
        <bottom style="thin">
          <color rgb="FFC0C0C0"/>
        </bottom>
      </border>
    </dxf>
    <dxf>
      <numFmt numFmtId="58" formatCode="m/d/yyyy"/>
      <alignment horizontal="center" vertical="center"/>
    </dxf>
    <dxf>
      <numFmt numFmtId="186" formatCode="yyyy\-mm\-dd\ h:mm:ss"/>
    </dxf>
    <dxf>
      <numFmt numFmtId="58" formatCode="m/d/yyyy"/>
      <alignment horizontal="center" vertical="center"/>
    </dxf>
    <dxf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numFmt numFmtId="2" formatCode="0.00"/>
      <alignment horizontal="center" vertical="center"/>
    </dxf>
    <dxf>
      <alignment horizontal="center" vertical="center"/>
    </dxf>
    <dxf>
      <numFmt numFmtId="1" formatCode="0"/>
    </dxf>
    <dxf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3" displayName="Table3" ref="A21:L25">
  <autoFilter xmlns:etc="http://www.wps.cn/officeDocument/2017/etCustomData" ref="A21:L25" etc:filterBottomFollowUsedRange="0"/>
  <tableColumns count="12">
    <tableColumn id="1" name="Week #"/>
    <tableColumn id="2" name="Active Days"/>
    <tableColumn id="3" name="Total Trades"/>
    <tableColumn id="4" name="Total Wins"/>
    <tableColumn id="5" name="Total Losses"/>
    <tableColumn id="6" name="Week Net P&amp;L"/>
    <tableColumn id="7" name="Weekly Target"/>
    <tableColumn id="8" name="Week Variance ($)"/>
    <tableColumn id="9" name="Avg Win Rate %"/>
    <tableColumn id="10" name="Avg Reward:Risk"/>
    <tableColumn id="11" name="Total R"/>
    <tableColumn id="12" name="Avg R per Da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4" displayName="Table4" ref="A1:B19">
  <autoFilter xmlns:etc="http://www.wps.cn/officeDocument/2017/etCustomData" ref="A1:B19" etc:filterBottomFollowUsedRange="0"/>
  <tableColumns count="2">
    <tableColumn id="1" name="Label"/>
    <tableColumn id="2" name="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1:Y41">
  <autoFilter xmlns:etc="http://www.wps.cn/officeDocument/2017/etCustomData" ref="A1:Y41" etc:filterBottomFollowUsedRange="0"/>
  <tableColumns count="25">
    <tableColumn id="1" name="Date"/>
    <tableColumn id="2" name="Week #"/>
    <tableColumn id="3" name="Day of Week"/>
    <tableColumn id="4" name="Active Trading Day? (Y/N)"/>
    <tableColumn id="5" name="Start NAV ($)"/>
    <tableColumn id="6" name="Risk per Trade R ($)"/>
    <tableColumn id="7" name="Max Daily Loss Cap ($)"/>
    <tableColumn id="8" name="Net P&amp;L ($)"/>
    <tableColumn id="9" name="Cumulative P&amp;L Month ($)"/>
    <tableColumn id="10" name="Week P&amp;L ($)"/>
    <tableColumn id="11" name="Weekly Target ($)"/>
    <tableColumn id="12" name="Week Variance vs Target ($)"/>
    <tableColumn id="13" name="Notes"/>
    <tableColumn id="14" name="# Trades"/>
    <tableColumn id="15" name="# Wins"/>
    <tableColumn id="16" name="# Losses"/>
    <tableColumn id="17" name="Total Wins ($)"/>
    <tableColumn id="18" name="Total Losses ($)"/>
    <tableColumn id="19" name="Win Rate (%)"/>
    <tableColumn id="20" name="Reward:Risk"/>
    <tableColumn id="21" name="Daily R-multiple"/>
    <tableColumn id="23" name="Losses vs Cap"/>
    <tableColumn id="24" name="Intraday Net P&amp;L (so far)"/>
    <tableColumn id="25" name="% of Cap Used (Net)"/>
    <tableColumn id="26" name="Worst Intraday DD % of Cap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1" displayName="Table1" ref="A1:J52">
  <autoFilter xmlns:etc="http://www.wps.cn/officeDocument/2017/etCustomData" ref="A1:J52" etc:filterBottomFollowUsedRange="0"/>
  <tableColumns count="10">
    <tableColumn id="1" name="Symbol"/>
    <tableColumn id="2" name="Name"/>
    <tableColumn id="3" name="Side"/>
    <tableColumn id="4" name="Quantity"/>
    <tableColumn id="5" name="Price"/>
    <tableColumn id="6" name="Profit"/>
    <tableColumn id="7" name="Deal ID"/>
    <tableColumn id="8" name="Time"/>
    <tableColumn id="9" name="Trade Date"/>
    <tableColumn id="10" name="Cumulative P&amp;L for the da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S1:AB5">
  <tableColumns count="10">
    <tableColumn id="1" name="Column1"/>
    <tableColumn id="2" name="Entry"/>
    <tableColumn id="3" name="TP"/>
    <tableColumn id="4" name="SL"/>
    <tableColumn id="5" name="Pips to TP1"/>
    <tableColumn id="6" name="Reward at TP1 ($)"/>
    <tableColumn id="7" name="Pips to SL"/>
    <tableColumn id="8" name="Risk at  SL ($)"/>
    <tableColumn id="9" name="R multiple at TP1"/>
    <tableColumn id="10" name="Unit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6" displayName="Table16" ref="A44:K48" totalsRowCount="1">
  <autoFilter xmlns:etc="http://www.wps.cn/officeDocument/2017/etCustomData" ref="A44:K47" etc:filterBottomFollowUsedRange="0"/>
  <tableColumns count="11">
    <tableColumn id="1" name="Rung" dataDxfId="0" totalsRowLabel="Total"/>
    <tableColumn id="2" name="Entry" dataDxfId="1" totalsRowFunction="average">
      <calculatedColumnFormula>Planner_v2!Q2</calculatedColumnFormula>
    </tableColumn>
    <tableColumn id="3" name="TP" dataDxfId="2" totalsRowFunction="average">
      <calculatedColumnFormula>Planner_v2!R2</calculatedColumnFormula>
    </tableColumn>
    <tableColumn id="4" name="SL" dataDxfId="3" totalsRowFunction="average">
      <calculatedColumnFormula>Planner_v2!S2</calculatedColumnFormula>
    </tableColumn>
    <tableColumn id="5" name="Pips→TP" dataDxfId="4" totalsRowFunction="average">
      <calculatedColumnFormula>Planner_v2!T2</calculatedColumnFormula>
    </tableColumn>
    <tableColumn id="6" name="EffPips→SL" dataDxfId="5" totalsRowFunction="average">
      <calculatedColumnFormula>Planner_v2!U2</calculatedColumnFormula>
    </tableColumn>
    <tableColumn id="7" name="Units" dataDxfId="6" totalsRowFunction="sum">
      <calculatedColumnFormula>Planner_v2!Y2</calculatedColumnFormula>
    </tableColumn>
    <tableColumn id="8" name="Risk $" dataDxfId="7" totalsRowFunction="sum">
      <calculatedColumnFormula>Planner_v2!W2</calculatedColumnFormula>
    </tableColumn>
    <tableColumn id="9" name="Reward $" dataDxfId="8" totalsRowFunction="sum">
      <calculatedColumnFormula>Planner_v2!X2</calculatedColumnFormula>
    </tableColumn>
    <tableColumn id="10" name="R" dataDxfId="9" totalsRowFunction="custom">
      <calculatedColumnFormula>Planner_v2!Z2</calculatedColumnFormula>
      <totalsRowFormula>Table16[[#Totals],[Reward $]]/Table16[[#Totals],[Risk $]]</totalsRowFormula>
    </tableColumn>
    <tableColumn id="11" name="R2" dataDxfId="10">
      <calculatedColumnFormula>Planner_v2!Z2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17" displayName="Table17" ref="A51:K55" totalsRowCount="1">
  <autoFilter xmlns:etc="http://www.wps.cn/officeDocument/2017/etCustomData" ref="A51:K54" etc:filterBottomFollowUsedRange="0"/>
  <tableColumns count="11">
    <tableColumn id="1" name="Rung" dataDxfId="11" totalsRowLabel="Total"/>
    <tableColumn id="2" name="Entry" dataDxfId="12" totalsRowFunction="average">
      <calculatedColumnFormula>Planner_v2!Q42</calculatedColumnFormula>
    </tableColumn>
    <tableColumn id="3" name="TP" dataDxfId="13" totalsRowFunction="average">
      <calculatedColumnFormula>Planner_v2!R42</calculatedColumnFormula>
    </tableColumn>
    <tableColumn id="4" name="SL" dataDxfId="14" totalsRowFunction="average">
      <calculatedColumnFormula>Planner_v2!S42</calculatedColumnFormula>
    </tableColumn>
    <tableColumn id="5" name="Pips→TP" dataDxfId="15" totalsRowFunction="average">
      <calculatedColumnFormula>Planner_v2!T42</calculatedColumnFormula>
    </tableColumn>
    <tableColumn id="6" name="EffPips→SL" dataDxfId="16" totalsRowFunction="average">
      <calculatedColumnFormula>Planner_v2!U42</calculatedColumnFormula>
    </tableColumn>
    <tableColumn id="7" name="Units" dataDxfId="17" totalsRowFunction="sum">
      <calculatedColumnFormula>Planner_v2!Y42</calculatedColumnFormula>
    </tableColumn>
    <tableColumn id="8" name="Risk $" dataDxfId="18" totalsRowFunction="sum">
      <calculatedColumnFormula>Planner_v2!W42</calculatedColumnFormula>
    </tableColumn>
    <tableColumn id="9" name="Reward $" dataDxfId="19" totalsRowFunction="sum">
      <calculatedColumnFormula>Planner_v2!X42</calculatedColumnFormula>
    </tableColumn>
    <tableColumn id="10" name="R" dataDxfId="20" totalsRowFunction="custom">
      <calculatedColumnFormula>Planner_v2!Z42</calculatedColumnFormula>
      <totalsRowFormula>Table17[[#Totals],[Reward $]]/Table17[[#Totals],[Risk $]]</totalsRowFormula>
    </tableColumn>
    <tableColumn id="11" name="R2" dataDxfId="21">
      <calculatedColumnFormula>Planner_v2!Z42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18" displayName="Table18" ref="A58:K62" totalsRowCount="1">
  <autoFilter xmlns:etc="http://www.wps.cn/officeDocument/2017/etCustomData" ref="A58:K61" etc:filterBottomFollowUsedRange="0"/>
  <tableColumns count="11">
    <tableColumn id="1" name="Rung" dataDxfId="22" totalsRowLabel="Total"/>
    <tableColumn id="2" name="Entry" dataDxfId="23" totalsRowFunction="average">
      <calculatedColumnFormula>Planner_v2!Q15</calculatedColumnFormula>
    </tableColumn>
    <tableColumn id="3" name="TP" dataDxfId="24" totalsRowFunction="average">
      <calculatedColumnFormula>Planner_v2!R15</calculatedColumnFormula>
    </tableColumn>
    <tableColumn id="4" name="SL" dataDxfId="25" totalsRowFunction="average">
      <calculatedColumnFormula>Planner_v2!S15</calculatedColumnFormula>
    </tableColumn>
    <tableColumn id="5" name="Pips→TP" dataDxfId="26" totalsRowFunction="average">
      <calculatedColumnFormula>Planner_v2!T15</calculatedColumnFormula>
    </tableColumn>
    <tableColumn id="6" name="EffPips→SL" dataDxfId="27" totalsRowFunction="average">
      <calculatedColumnFormula>Planner_v2!U15</calculatedColumnFormula>
    </tableColumn>
    <tableColumn id="7" name="Units" dataDxfId="28" totalsRowFunction="sum">
      <calculatedColumnFormula>Planner_v2!Y15</calculatedColumnFormula>
    </tableColumn>
    <tableColumn id="8" name="Risk $" dataDxfId="29" totalsRowFunction="sum">
      <calculatedColumnFormula>Planner_v2!W15</calculatedColumnFormula>
    </tableColumn>
    <tableColumn id="9" name="Reward $" dataDxfId="30" totalsRowFunction="sum">
      <calculatedColumnFormula>Planner_v2!X15</calculatedColumnFormula>
    </tableColumn>
    <tableColumn id="10" name="R" dataDxfId="31" totalsRowFunction="custom">
      <calculatedColumnFormula>Planner_v2!Z15</calculatedColumnFormula>
      <totalsRowFormula>Table18[[#Totals],[Reward $]]/Table18[[#Totals],[Risk $]]</totalsRowFormula>
    </tableColumn>
    <tableColumn id="11" name="R2" dataDxfId="32">
      <calculatedColumnFormula>Planner_v2!Z15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19" displayName="Table19" ref="A65:K69" totalsRowCount="1">
  <autoFilter xmlns:etc="http://www.wps.cn/officeDocument/2017/etCustomData" ref="A65:K68" etc:filterBottomFollowUsedRange="0"/>
  <tableColumns count="11">
    <tableColumn id="1" name="Rung" dataDxfId="33" totalsRowLabel="Total"/>
    <tableColumn id="2" name="Entry" dataDxfId="34" totalsRowFunction="average">
      <calculatedColumnFormula>Planner_v2!Q28</calculatedColumnFormula>
    </tableColumn>
    <tableColumn id="3" name="TP" dataDxfId="35" totalsRowFunction="average">
      <calculatedColumnFormula>Planner_v2!R28</calculatedColumnFormula>
    </tableColumn>
    <tableColumn id="4" name="SL" dataDxfId="36" totalsRowFunction="average">
      <calculatedColumnFormula>Planner_v2!S28</calculatedColumnFormula>
    </tableColumn>
    <tableColumn id="5" name="Pips→TP" dataDxfId="37" totalsRowFunction="average">
      <calculatedColumnFormula>Planner_v2!T28</calculatedColumnFormula>
    </tableColumn>
    <tableColumn id="6" name="EffPips→SL" dataDxfId="38" totalsRowFunction="average">
      <calculatedColumnFormula>Planner_v2!U28</calculatedColumnFormula>
    </tableColumn>
    <tableColumn id="7" name="Units" dataDxfId="39" totalsRowFunction="sum">
      <calculatedColumnFormula>Planner_v2!Y28</calculatedColumnFormula>
    </tableColumn>
    <tableColumn id="8" name="Risk $" dataDxfId="40" totalsRowFunction="sum">
      <calculatedColumnFormula>Planner_v2!W28</calculatedColumnFormula>
    </tableColumn>
    <tableColumn id="9" name="Reward $" dataDxfId="41" totalsRowFunction="sum">
      <calculatedColumnFormula>Planner_v2!X28</calculatedColumnFormula>
    </tableColumn>
    <tableColumn id="10" name="R" dataDxfId="42" totalsRowFunction="custom">
      <calculatedColumnFormula>Planner_v2!Z28</calculatedColumnFormula>
      <totalsRowFormula>Table19[[#Totals],[Reward $]]/Table19[[#Totals],[Risk $]]</totalsRowFormula>
    </tableColumn>
    <tableColumn id="11" name="Column1" dataDxfId="4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9" displayName="Table9" ref="A1:L90">
  <autoFilter xmlns:etc="http://www.wps.cn/officeDocument/2017/etCustomData" ref="A1:L90" etc:filterBottomFollowUsedRange="0"/>
  <tableColumns count="12">
    <tableColumn id="1" name="Date"/>
    <tableColumn id="2" name="Category"/>
    <tableColumn id="3" name="Event"/>
    <tableColumn id="4" name="Actual"/>
    <tableColumn id="5" name="Forecast"/>
    <tableColumn id="6" name="Previous"/>
    <tableColumn id="7" name="Surprise vs Forecast"/>
    <tableColumn id="8" name="Change vs Prev"/>
    <tableColumn id="9" name="Qualitative"/>
    <tableColumn id="12" name="EffectDirection"/>
    <tableColumn id="10" name="Adj_Surprise"/>
    <tableColumn id="11" name="Adj_ChangeAdj_ChangeAdj_ChangeAdj_ChangeAdj_ChangeAdj_ChangeAdj_ChangeAdj_ChangeAdj_Chang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2" displayName="Table12" ref="N1:X5">
  <autoFilter xmlns:etc="http://www.wps.cn/officeDocument/2017/etCustomData" ref="N1:X5" etc:filterBottomFollowUsedRange="0"/>
  <tableColumns count="11">
    <tableColumn id="1" name="Date" dataDxfId="44"/>
    <tableColumn id="2" name="Tenor"/>
    <tableColumn id="3" name="today's yield"/>
    <tableColumn id="4" name="yield 1 trading day ago"/>
    <tableColumn id="5" name="yield 5 trading day ago"/>
    <tableColumn id="6" name="yield 20 trading day ago"/>
    <tableColumn id="7" name="Δd (1d)"/>
    <tableColumn id="8" name=" Δ5d"/>
    <tableColumn id="9" name="Δ20d"/>
    <tableColumn id="10" name="Trend"/>
    <tableColumn id="11" name="TrendScor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3" displayName="Table13" ref="N6:X8">
  <autoFilter xmlns:etc="http://www.wps.cn/officeDocument/2017/etCustomData" ref="N6:X8" etc:filterBottomFollowUsedRange="0"/>
  <tableColumns count="11">
    <tableColumn id="1" name="Date"/>
    <tableColumn id="2" name="Tenor"/>
    <tableColumn id="3" name="today's yield"/>
    <tableColumn id="4" name="yield 1 trading day ago"/>
    <tableColumn id="5" name="yield 5 trading day ago"/>
    <tableColumn id="6" name="yield 20 trading day ago"/>
    <tableColumn id="7" name="Δd (1d)"/>
    <tableColumn id="8" name=" Δ5d"/>
    <tableColumn id="9" name="Δ20d"/>
    <tableColumn id="10" name="Trend"/>
    <tableColumn id="11" name="TrendScor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20" displayName="Table20" ref="N10:X17" totalsRowShown="0">
  <autoFilter xmlns:etc="http://www.wps.cn/officeDocument/2017/etCustomData" ref="N10:X17" etc:filterBottomFollowUsedRange="0"/>
  <tableColumns count="11">
    <tableColumn id="1" name="Date" dataDxfId="45"/>
    <tableColumn id="2" name="Tenor"/>
    <tableColumn id="3" name="today's yield"/>
    <tableColumn id="4" name="yield 1 trading day ago"/>
    <tableColumn id="5" name="yield 5 trading day ago"/>
    <tableColumn id="6" name="yield 20 trading day ago"/>
    <tableColumn id="7" name="Δd (1d)">
      <calculatedColumnFormula>IF(OR(P11="",Q11=""),"",P11-Q11)</calculatedColumnFormula>
    </tableColumn>
    <tableColumn id="8" name=" Δ5d">
      <calculatedColumnFormula>IF(OR(P11="",R11=""),"",P11-R11)</calculatedColumnFormula>
    </tableColumn>
    <tableColumn id="9" name="Δ20d">
      <calculatedColumnFormula>IF(OR(P11="",S11=""),"",P11-S11)</calculatedColumnFormula>
    </tableColumn>
    <tableColumn id="10" name="Trend"/>
    <tableColumn id="11" name="TrendSco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21" displayName="Table21" ref="N19:X26" totalsRowShown="0">
  <autoFilter xmlns:etc="http://www.wps.cn/officeDocument/2017/etCustomData" ref="N19:X26" etc:filterBottomFollowUsedRange="0"/>
  <tableColumns count="11">
    <tableColumn id="1" name="Date" dataDxfId="46"/>
    <tableColumn id="2" name="Tenor" dataDxfId="47"/>
    <tableColumn id="3" name="today's yield" dataDxfId="48"/>
    <tableColumn id="4" name="yield 1 trading day ago" dataDxfId="49"/>
    <tableColumn id="5" name="yield 5 trading day ago" dataDxfId="50"/>
    <tableColumn id="6" name="yield 20 trading day ago" dataDxfId="51"/>
    <tableColumn id="7" name="Δd (1d)" dataDxfId="52">
      <calculatedColumnFormula>IF(OR(P20="",Q20=""),"",P20-Q20)</calculatedColumnFormula>
    </tableColumn>
    <tableColumn id="8" name=" Δ5d" dataDxfId="53">
      <calculatedColumnFormula>IF(OR(P20="",R20=""),"",P20-R20)</calculatedColumnFormula>
    </tableColumn>
    <tableColumn id="9" name="Δ20d" dataDxfId="54">
      <calculatedColumnFormula>IF(OR(P20="",S20=""),"",P20-S20)</calculatedColumnFormula>
    </tableColumn>
    <tableColumn id="10" name="Trend" dataDxfId="55"/>
    <tableColumn id="11" name="TrendScore" dataDxfId="5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8" displayName="Table8" ref="A1:J12">
  <autoFilter xmlns:etc="http://www.wps.cn/officeDocument/2017/etCustomData" ref="A1:J12" etc:filterBottomFollowUsedRange="0"/>
  <tableColumns count="10">
    <tableColumn id="1" name="Date"/>
    <tableColumn id="2" name="Currency"/>
    <tableColumn id="3" name="Rate1_mid 350-375)"/>
    <tableColumn id="4" name="Prob1"/>
    <tableColumn id="5" name="Rate2_mid (375-400)"/>
    <tableColumn id="6" name="Prob2"/>
    <tableColumn id="7" name="Rate3_mid (325-350)"/>
    <tableColumn id="8" name="Prob3"/>
    <tableColumn id="9" name="ExpRate"/>
    <tableColumn id="10" name="CutsVsToda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11" displayName="Table11" ref="A1:J34">
  <autoFilter xmlns:etc="http://www.wps.cn/officeDocument/2017/etCustomData" ref="A1:J34" etc:filterBottomFollowUsedRange="0"/>
  <tableColumns count="10">
    <tableColumn id="1" name="Date"/>
    <tableColumn id="2" name="CentralBank"/>
    <tableColumn id="3" name="Person"/>
    <tableColumn id="4" name="Role"/>
    <tableColumn id="5" name="Event"/>
    <tableColumn id="6" name="Topic"/>
    <tableColumn id="7" name="Tone"/>
    <tableColumn id="8" name="Tone_Score"/>
    <tableColumn id="9" name="Notes"/>
    <tableColumn id="10" name="Link/Sourc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6" displayName="Table6" ref="A1:A55">
  <autoFilter xmlns:etc="http://www.wps.cn/officeDocument/2017/etCustomData" ref="A1:A55" etc:filterBottomFollowUsedRange="0"/>
  <tableColumns count="1">
    <tableColumn id="1" name="List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7" displayName="Table7" ref="P1:Z4">
  <autoFilter xmlns:etc="http://www.wps.cn/officeDocument/2017/etCustomData" ref="P1:Z4" etc:filterBottomFollowUsedRange="0"/>
  <tableColumns count="11">
    <tableColumn id="1" name="PRIMARY LADDER" dataDxfId="57"/>
    <tableColumn id="2" name="Entry" dataDxfId="58"/>
    <tableColumn id="3" name="TP" dataDxfId="59"/>
    <tableColumn id="4" name="SL" dataDxfId="60"/>
    <tableColumn id="5" name="Pips to TP1" dataDxfId="61"/>
    <tableColumn id="6" name="Pips to SL" dataDxfId="62"/>
    <tableColumn id="7" name="Weight" dataDxfId="63"/>
    <tableColumn id="8" name="Risk $" dataDxfId="64"/>
    <tableColumn id="11" name="Reward $" dataDxfId="65"/>
    <tableColumn id="9" name="Units" dataDxfId="66"/>
    <tableColumn id="10" name="R per rung" dataDxfId="67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5" displayName="Table15" ref="P14:Z17">
  <autoFilter xmlns:etc="http://www.wps.cn/officeDocument/2017/etCustomData" ref="P14:Z17" etc:filterBottomFollowUsedRange="0"/>
  <tableColumns count="11">
    <tableColumn id="1" name="A+ LADDER" dataDxfId="68"/>
    <tableColumn id="2" name="Entry" dataDxfId="69"/>
    <tableColumn id="3" name="TP" dataDxfId="70"/>
    <tableColumn id="4" name="SL" dataDxfId="71"/>
    <tableColumn id="5" name="Pips to TP1" dataDxfId="72"/>
    <tableColumn id="6" name="Pips to SL" dataDxfId="73"/>
    <tableColumn id="7" name="Weight" dataDxfId="74"/>
    <tableColumn id="8" name="Risk $" dataDxfId="75"/>
    <tableColumn id="9" name="Reward $" dataDxfId="76"/>
    <tableColumn id="10" name="Units" dataDxfId="77"/>
    <tableColumn id="11" name="R per rung" dataDxfId="78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1515" displayName="Table1515" ref="P27:Z30">
  <autoFilter xmlns:etc="http://www.wps.cn/officeDocument/2017/etCustomData" ref="P27:Z30" etc:filterBottomFollowUsedRange="0"/>
  <tableColumns count="11">
    <tableColumn id="1" name="CT LADDER" dataDxfId="79"/>
    <tableColumn id="2" name="Entry" dataDxfId="80"/>
    <tableColumn id="3" name="TP" dataDxfId="81"/>
    <tableColumn id="4" name="SL" dataDxfId="82"/>
    <tableColumn id="5" name="Pips to TP1" dataDxfId="83"/>
    <tableColumn id="6" name="Pips to SL" dataDxfId="84"/>
    <tableColumn id="7" name="Weight" dataDxfId="85"/>
    <tableColumn id="8" name="Risk $" dataDxfId="86"/>
    <tableColumn id="9" name="Reward $" dataDxfId="87"/>
    <tableColumn id="10" name="Units" dataDxfId="88"/>
    <tableColumn id="11" name="R per rung" dataDxfId="8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table" Target="../tables/table9.xml"/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5" Type="http://schemas.openxmlformats.org/officeDocument/2006/relationships/table" Target="../tables/table14.xml"/><Relationship Id="rId4" Type="http://schemas.openxmlformats.org/officeDocument/2006/relationships/table" Target="../tables/table13.xml"/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H9" sqref="H9"/>
    </sheetView>
  </sheetViews>
  <sheetFormatPr defaultColWidth="90.5727272727273" defaultRowHeight="14.5"/>
  <cols>
    <col min="1" max="1" width="32" customWidth="1"/>
    <col min="2" max="2" width="15.7090909090909" customWidth="1"/>
    <col min="3" max="3" width="16.2818181818182" customWidth="1"/>
    <col min="4" max="4" width="15" customWidth="1"/>
    <col min="5" max="5" width="16.1363636363636" customWidth="1"/>
    <col min="6" max="6" width="18.7090909090909" customWidth="1"/>
    <col min="7" max="7" width="18.5727272727273" customWidth="1"/>
    <col min="8" max="8" width="22.1363636363636" customWidth="1"/>
    <col min="9" max="9" width="19.5727272727273" customWidth="1"/>
    <col min="10" max="10" width="20.2818181818182" customWidth="1"/>
    <col min="11" max="11" width="11.5727272727273" customWidth="1"/>
    <col min="12" max="12" width="17.7090909090909" customWidth="1"/>
  </cols>
  <sheetData>
    <row r="1" spans="1:2">
      <c r="A1" s="185" t="s">
        <v>0</v>
      </c>
      <c r="B1" s="186" t="s">
        <v>1</v>
      </c>
    </row>
    <row r="2" spans="1:2">
      <c r="A2" s="16" t="s">
        <v>2</v>
      </c>
      <c r="B2" s="187">
        <v>20000</v>
      </c>
    </row>
    <row r="3" spans="1:2">
      <c r="A3" s="16" t="s">
        <v>3</v>
      </c>
      <c r="B3" s="188">
        <v>17</v>
      </c>
    </row>
    <row r="4" spans="1:2">
      <c r="A4" s="16" t="s">
        <v>4</v>
      </c>
      <c r="B4" s="189">
        <f>B2/B3</f>
        <v>1176.47058823529</v>
      </c>
    </row>
    <row r="5" spans="1:2">
      <c r="A5" s="16" t="s">
        <v>5</v>
      </c>
      <c r="B5" s="188">
        <v>4</v>
      </c>
    </row>
    <row r="6" spans="1:2">
      <c r="A6" s="16" t="s">
        <v>6</v>
      </c>
      <c r="B6" s="189">
        <f>B2/B5</f>
        <v>5000</v>
      </c>
    </row>
    <row r="7" spans="1:2">
      <c r="A7" s="16" t="s">
        <v>7</v>
      </c>
      <c r="B7" s="190">
        <f>B6/B17</f>
        <v>9.02265035765854</v>
      </c>
    </row>
    <row r="8" spans="1:2">
      <c r="A8" s="16" t="s">
        <v>8</v>
      </c>
      <c r="B8" s="191">
        <v>0.07</v>
      </c>
    </row>
    <row r="9" spans="1:2">
      <c r="A9" s="16" t="s">
        <v>9</v>
      </c>
      <c r="B9" s="192">
        <v>2</v>
      </c>
    </row>
    <row r="10" spans="1:2">
      <c r="A10" t="s">
        <v>10</v>
      </c>
      <c r="B10" s="193">
        <v>7175.38</v>
      </c>
    </row>
    <row r="11" spans="1:2">
      <c r="A11" s="16" t="s">
        <v>11</v>
      </c>
      <c r="B11" s="194">
        <f>IFERROR(LOOKUP(2,1/('Daily Log'!$I:$I&lt;&gt;""),'Daily Log'!$I:$I),"")</f>
        <v>515.0023</v>
      </c>
    </row>
    <row r="12" spans="1:2">
      <c r="A12" s="16" t="s">
        <v>12</v>
      </c>
      <c r="B12" s="22">
        <f>B2-B11</f>
        <v>19484.9977</v>
      </c>
    </row>
    <row r="13" spans="1:2">
      <c r="A13" s="16" t="s">
        <v>13</v>
      </c>
      <c r="B13">
        <f>COUNTIFS('Daily Log'!D:D,"Y")</f>
        <v>2</v>
      </c>
    </row>
    <row r="14" spans="1:2">
      <c r="A14" s="16" t="s">
        <v>14</v>
      </c>
      <c r="B14">
        <f>B3-B13</f>
        <v>15</v>
      </c>
    </row>
    <row r="15" spans="1:2">
      <c r="A15" s="16" t="s">
        <v>15</v>
      </c>
      <c r="B15" s="22">
        <f>IF(B14&gt;0,B12/B14,"")</f>
        <v>1298.99984666667</v>
      </c>
    </row>
    <row r="16" spans="1:2">
      <c r="A16" s="16" t="s">
        <v>16</v>
      </c>
      <c r="B16" s="49">
        <f>IF(AND(B14&gt;0,B18&gt;0),B15/B18,"")</f>
        <v>2.61057301867797</v>
      </c>
    </row>
    <row r="17" spans="1:12">
      <c r="A17" s="16" t="s">
        <v>17</v>
      </c>
      <c r="B17" s="194">
        <f>B11+(B14*B16)</f>
        <v>554.160895280169</v>
      </c>
    </row>
    <row r="18" spans="1:12">
      <c r="A18" s="16" t="s">
        <v>18</v>
      </c>
      <c r="B18" s="194">
        <f>IF(K22&gt;0,B11/K22,"")</f>
        <v>497.591845687771</v>
      </c>
    </row>
    <row r="19" spans="1:12">
      <c r="A19" s="16" t="s">
        <v>19</v>
      </c>
      <c r="B19" s="189" t="str">
        <f ca="1">Planner_v2!AF18</f>
        <v/>
      </c>
    </row>
    <row r="21" spans="1:12">
      <c r="A21" s="195" t="s">
        <v>20</v>
      </c>
      <c r="B21" s="195" t="s">
        <v>21</v>
      </c>
      <c r="C21" s="195" t="s">
        <v>22</v>
      </c>
      <c r="D21" s="195" t="s">
        <v>23</v>
      </c>
      <c r="E21" s="195" t="s">
        <v>24</v>
      </c>
      <c r="F21" s="195" t="s">
        <v>25</v>
      </c>
      <c r="G21" s="195" t="s">
        <v>26</v>
      </c>
      <c r="H21" s="195" t="s">
        <v>27</v>
      </c>
      <c r="I21" s="195" t="s">
        <v>28</v>
      </c>
      <c r="J21" s="195" t="s">
        <v>29</v>
      </c>
      <c r="K21" s="195" t="s">
        <v>30</v>
      </c>
      <c r="L21" s="195" t="s">
        <v>31</v>
      </c>
    </row>
    <row r="22" spans="1:12">
      <c r="A22" s="2">
        <v>1</v>
      </c>
      <c r="B22" s="2">
        <f>COUNTIFS('Daily Log'!$B:$B,$A22,'Daily Log'!$D:$D,"Y")</f>
        <v>2</v>
      </c>
      <c r="C22" s="2">
        <f>SUMIFS('Daily Log'!$N:$N,'Daily Log'!$B:$B,$A22)</f>
        <v>2</v>
      </c>
      <c r="D22" s="2">
        <f>SUMIFS('Daily Log'!$O:$O,'Daily Log'!$B:$B,$A22)</f>
        <v>1</v>
      </c>
      <c r="E22" s="2">
        <f>SUMIFS('Daily Log'!$P:$P,'Daily Log'!$B:$B,$A22)</f>
        <v>1</v>
      </c>
      <c r="F22" s="75">
        <f>SUMIFS('Daily Log'!$H:$H,'Daily Log'!$B:$B,$A22)</f>
        <v>515.0023</v>
      </c>
      <c r="G22" s="75">
        <f>$B$6</f>
        <v>5000</v>
      </c>
      <c r="H22" s="75">
        <f>F22-G22</f>
        <v>-4484.9977</v>
      </c>
      <c r="I22" s="196">
        <f>IF(B22&gt;0,AVERAGEIFS('Daily Log'!$S:$S,'Daily Log'!$B:$B,$A22,'Daily Log'!$D:$D,"Y"),"")</f>
        <v>0.5</v>
      </c>
      <c r="J22" s="76" t="str">
        <f>IF(B22&gt;0,IFERROR(AVERAGEIFS('Daily Log'!$T:$T,'Daily Log'!$B:$B,$A22,'Daily Log'!$D:$D,"Y",'Daily Log'!$T:$T,"&gt;0"),""),"")</f>
        <v/>
      </c>
      <c r="K22" s="76">
        <f>SUMIFS('Daily Log'!$U:$U,'Daily Log'!$B:$B,$A22,'Daily Log'!$D:$D,"Y")</f>
        <v>1.03498942851076</v>
      </c>
      <c r="L22" s="76">
        <f>IF(B22&gt;0,K22/B22,"")</f>
        <v>0.51749471425538</v>
      </c>
    </row>
    <row r="23" spans="1:12">
      <c r="A23" s="2">
        <v>2</v>
      </c>
      <c r="B23" s="2">
        <f>COUNTIFS('Daily Log'!$B:$B,$A23,'Daily Log'!$D:$D,"Y")</f>
        <v>0</v>
      </c>
      <c r="C23" s="2">
        <f>SUMIFS('Daily Log'!$N:$N,'Daily Log'!$B:$B,$A23)</f>
        <v>0</v>
      </c>
      <c r="D23" s="2">
        <f>SUMIFS('Daily Log'!$O:$O,'Daily Log'!$B:$B,$A23)</f>
        <v>0</v>
      </c>
      <c r="E23" s="2">
        <f>SUMIFS('Daily Log'!$P:$P,'Daily Log'!$B:$B,$A23)</f>
        <v>0</v>
      </c>
      <c r="F23" s="75">
        <f>SUMIFS('Daily Log'!$H:$H,'Daily Log'!$B:$B,$A23)</f>
        <v>0</v>
      </c>
      <c r="G23" s="75">
        <f>$B$6</f>
        <v>5000</v>
      </c>
      <c r="H23" s="75">
        <f>F23-G23</f>
        <v>-5000</v>
      </c>
      <c r="I23" s="196" t="str">
        <f>IF(B23&gt;0,AVERAGEIFS('Daily Log'!$S:$S,'Daily Log'!$B:$B,$A23,'Daily Log'!$D:$D,"Y"),"")</f>
        <v/>
      </c>
      <c r="J23" s="76" t="str">
        <f>IF(B23&gt;0,AVERAGEIFS('Daily Log'!$T:$T,'Daily Log'!$B:$B,$A23,'Daily Log'!$D:$D,"Y",'Daily Log'!$T:$T,"&gt;0"),"")</f>
        <v/>
      </c>
      <c r="K23" s="76">
        <f>SUMIFS('Daily Log'!$U:$U,'Daily Log'!$B:$B,$A23,'Daily Log'!$D:$D,"Y")</f>
        <v>0</v>
      </c>
      <c r="L23" s="76" t="str">
        <f>IF(B23&gt;0,K23/B23,"")</f>
        <v/>
      </c>
    </row>
    <row r="24" spans="1:12">
      <c r="A24" s="2">
        <v>3</v>
      </c>
      <c r="B24" s="2">
        <f>COUNTIFS('Daily Log'!$B:$B,$A24,'Daily Log'!$D:$D,"Y")</f>
        <v>0</v>
      </c>
      <c r="C24" s="2">
        <f>SUMIFS('Daily Log'!$N:$N,'Daily Log'!$B:$B,$A24)</f>
        <v>0</v>
      </c>
      <c r="D24" s="2">
        <f>SUMIFS('Daily Log'!$O:$O,'Daily Log'!$B:$B,$A24)</f>
        <v>0</v>
      </c>
      <c r="E24" s="2">
        <f>SUMIFS('Daily Log'!$P:$P,'Daily Log'!$B:$B,$A24)</f>
        <v>0</v>
      </c>
      <c r="F24" s="75">
        <f>SUMIFS('Daily Log'!$H:$H,'Daily Log'!$B:$B,$A24)</f>
        <v>0</v>
      </c>
      <c r="G24" s="75">
        <f>$B$6</f>
        <v>5000</v>
      </c>
      <c r="H24" s="75">
        <f>F24-G24</f>
        <v>-5000</v>
      </c>
      <c r="I24" s="196" t="str">
        <f>IF(B24&gt;0,AVERAGEIFS('Daily Log'!$S:$S,'Daily Log'!$B:$B,$A24,'Daily Log'!$D:$D,"Y"),"")</f>
        <v/>
      </c>
      <c r="J24" s="76" t="str">
        <f>IF(B24&gt;0,AVERAGEIFS('Daily Log'!$T:$T,'Daily Log'!$B:$B,$A24,'Daily Log'!$D:$D,"Y",'Daily Log'!$T:$T,"&gt;0"),"")</f>
        <v/>
      </c>
      <c r="K24" s="76">
        <f>SUMIFS('Daily Log'!$U:$U,'Daily Log'!$B:$B,$A24,'Daily Log'!$D:$D,"Y")</f>
        <v>0</v>
      </c>
      <c r="L24" s="76" t="str">
        <f>IF(B24&gt;0,K24/B24,"")</f>
        <v/>
      </c>
    </row>
    <row r="25" spans="1:12">
      <c r="A25" s="2">
        <v>4</v>
      </c>
      <c r="B25" s="2">
        <f>COUNTIFS('Daily Log'!$B:$B,$A25,'Daily Log'!$D:$D,"Y")</f>
        <v>0</v>
      </c>
      <c r="C25" s="2">
        <f>SUMIFS('Daily Log'!$N:$N,'Daily Log'!$B:$B,$A25)</f>
        <v>0</v>
      </c>
      <c r="D25" s="2">
        <f>SUMIFS('Daily Log'!$O:$O,'Daily Log'!$B:$B,$A25)</f>
        <v>0</v>
      </c>
      <c r="E25" s="2">
        <f>SUMIFS('Daily Log'!$P:$P,'Daily Log'!$B:$B,$A25)</f>
        <v>0</v>
      </c>
      <c r="F25" s="75">
        <f>SUMIFS('Daily Log'!$H:$H,'Daily Log'!$B:$B,$A25)</f>
        <v>0</v>
      </c>
      <c r="G25" s="75">
        <f>$B$6</f>
        <v>5000</v>
      </c>
      <c r="H25" s="75">
        <f>F25-G25</f>
        <v>-5000</v>
      </c>
      <c r="I25" s="196" t="str">
        <f>IF(B25&gt;0,AVERAGEIFS('Daily Log'!$S:$S,'Daily Log'!$B:$B,$A25,'Daily Log'!$D:$D,"Y"),"")</f>
        <v/>
      </c>
      <c r="J25" s="76" t="str">
        <f>IF(B25&gt;0,AVERAGEIFS('Daily Log'!$T:$T,'Daily Log'!$B:$B,$A25,'Daily Log'!$D:$D,"Y",'Daily Log'!$T:$T,"&gt;0"),"")</f>
        <v/>
      </c>
      <c r="K25" s="76">
        <f>SUMIFS('Daily Log'!$U:$U,'Daily Log'!$B:$B,$A25,'Daily Log'!$D:$D,"Y")</f>
        <v>0</v>
      </c>
      <c r="L25" s="76" t="str">
        <f>IF(B25&gt;0,K25/B25,"")</f>
        <v/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1"/>
  <sheetViews>
    <sheetView topLeftCell="A22" workbookViewId="0">
      <selection activeCell="B2" sqref="B2:B41"/>
    </sheetView>
  </sheetViews>
  <sheetFormatPr defaultColWidth="9" defaultRowHeight="14.5"/>
  <cols>
    <col min="1" max="1" width="9.28181818181818" customWidth="1"/>
    <col min="2" max="2" width="9.85454545454546" customWidth="1"/>
    <col min="3" max="3" width="14.4272727272727" customWidth="1"/>
    <col min="4" max="4" width="25.7090909090909" customWidth="1"/>
    <col min="5" max="5" width="14.5727272727273" customWidth="1"/>
    <col min="6" max="6" width="20" customWidth="1"/>
    <col min="7" max="7" width="22.5727272727273" customWidth="1"/>
    <col min="8" max="8" width="13.2818181818182" customWidth="1"/>
    <col min="9" max="9" width="26.5727272727273" customWidth="1"/>
    <col min="10" max="10" width="15.2818181818182" customWidth="1"/>
    <col min="11" max="11" width="18.8545454545455" customWidth="1"/>
    <col min="12" max="12" width="27.7090909090909" customWidth="1"/>
    <col min="13" max="13" width="8.42727272727273" customWidth="1"/>
    <col min="14" max="14" width="10.4272727272727" customWidth="1"/>
    <col min="15" max="15" width="9.13636363636364" customWidth="1"/>
    <col min="16" max="16" width="10.2818181818182" customWidth="1"/>
    <col min="17" max="17" width="18.2818181818182" customWidth="1"/>
    <col min="18" max="18" width="16.5727272727273" customWidth="1"/>
    <col min="19" max="19" width="14.7090909090909" customWidth="1"/>
    <col min="20" max="20" width="14" customWidth="1"/>
    <col min="21" max="21" width="17.4272727272727" customWidth="1"/>
    <col min="22" max="22" width="17.2818181818182" customWidth="1"/>
    <col min="23" max="23" width="27.7090909090909" customWidth="1"/>
    <col min="24" max="24" width="23.5727272727273" customWidth="1"/>
    <col min="25" max="25" width="30.2818181818182" customWidth="1"/>
  </cols>
  <sheetData>
    <row r="1" spans="1:25">
      <c r="A1" s="178" t="s">
        <v>32</v>
      </c>
      <c r="B1" s="178" t="s">
        <v>20</v>
      </c>
      <c r="C1" s="178" t="s">
        <v>33</v>
      </c>
      <c r="D1" s="178" t="s">
        <v>34</v>
      </c>
      <c r="E1" s="178" t="s">
        <v>35</v>
      </c>
      <c r="F1" s="178" t="s">
        <v>36</v>
      </c>
      <c r="G1" s="178" t="s">
        <v>37</v>
      </c>
      <c r="H1" s="178" t="s">
        <v>38</v>
      </c>
      <c r="I1" s="178" t="s">
        <v>11</v>
      </c>
      <c r="J1" s="178" t="s">
        <v>39</v>
      </c>
      <c r="K1" s="178" t="s">
        <v>40</v>
      </c>
      <c r="L1" s="178" t="s">
        <v>41</v>
      </c>
      <c r="M1" s="178" t="s">
        <v>42</v>
      </c>
      <c r="N1" s="179" t="s">
        <v>43</v>
      </c>
      <c r="O1" s="179" t="s">
        <v>44</v>
      </c>
      <c r="P1" s="179" t="s">
        <v>45</v>
      </c>
      <c r="Q1" s="179" t="s">
        <v>46</v>
      </c>
      <c r="R1" s="179" t="s">
        <v>47</v>
      </c>
      <c r="S1" s="179" t="s">
        <v>48</v>
      </c>
      <c r="T1" s="179" t="s">
        <v>49</v>
      </c>
      <c r="U1" s="179" t="s">
        <v>50</v>
      </c>
      <c r="V1" s="179" t="s">
        <v>51</v>
      </c>
      <c r="W1" s="179" t="s">
        <v>52</v>
      </c>
      <c r="X1" s="179" t="s">
        <v>53</v>
      </c>
      <c r="Y1" s="179" t="s">
        <v>54</v>
      </c>
    </row>
    <row r="2" spans="1:25">
      <c r="A2" s="180">
        <v>46033</v>
      </c>
      <c r="B2" s="181">
        <v>1</v>
      </c>
      <c r="C2" s="181" t="str">
        <f t="shared" ref="C2:C41" si="0">TEXT(A2,"dddd")</f>
        <v>Sunday</v>
      </c>
      <c r="D2" s="181" t="s">
        <v>55</v>
      </c>
      <c r="E2" s="182">
        <v>7175.38</v>
      </c>
      <c r="F2" s="183">
        <f>IF($A2="","",$E2*Summary!$B$8)</f>
        <v>502.2766</v>
      </c>
      <c r="G2" s="183">
        <f>IF($A2="","",F2*Summary!$B$9)</f>
        <v>1004.5532</v>
      </c>
      <c r="H2" s="171">
        <f>IF($A2="","",SUMIFS('Raw daily data'!$F:$F,'Raw daily data'!$I:$I,$A2))</f>
        <v>-60</v>
      </c>
      <c r="I2" s="171">
        <f>H2</f>
        <v>-60</v>
      </c>
      <c r="J2" s="171">
        <f t="shared" ref="J2:J41" si="1">SUMIF($B$2:$B$41,B2,$H$2:$H$41)</f>
        <v>515.0023</v>
      </c>
      <c r="K2" s="171">
        <f>Summary!$B$6</f>
        <v>5000</v>
      </c>
      <c r="L2" s="171">
        <f t="shared" ref="L2:L41" si="2">J2-K2</f>
        <v>-4484.9977</v>
      </c>
      <c r="N2">
        <f>IF($A2="","",COUNTIFS('Raw daily data'!$I:$I,$A2))</f>
        <v>1</v>
      </c>
      <c r="O2">
        <f>IF($A2="","",COUNTIFS('Raw daily data'!$I:$I,$A2,'Raw daily data'!$F:$F,"&gt;0"))</f>
        <v>0</v>
      </c>
      <c r="P2">
        <f>IF($A2="","",COUNTIFS('Raw daily data'!$I:$I,$A2,'Raw daily data'!$F:$F,"&lt;0"))</f>
        <v>1</v>
      </c>
      <c r="Q2" s="22">
        <f>IF($A2="","",SUMIFS('Raw daily data'!$F:$F,'Raw daily data'!$I:$I,$A2,'Raw daily data'!$F:$F,"&gt;0"))</f>
        <v>0</v>
      </c>
      <c r="R2" s="22">
        <f>IF($A2="","",ABS(SUMIFS('Raw daily data'!$F:$F,'Raw daily data'!$I:$I,$A2,'Raw daily data'!$F:$F,"&lt;0")))</f>
        <v>60</v>
      </c>
      <c r="S2" s="79">
        <f t="shared" ref="S2:S41" si="3">IF(N2&gt;0,O2/N2,"")</f>
        <v>0</v>
      </c>
      <c r="T2" s="12">
        <f t="shared" ref="T2:T41" si="4">IF(R2&gt;0,Q2/ABS(R2),"")</f>
        <v>0</v>
      </c>
      <c r="U2" s="49">
        <f t="shared" ref="U2:U41" si="5">IF(F2&gt;0,H2/F2,"")</f>
        <v>-0.11945609251954</v>
      </c>
      <c r="V2" s="79">
        <f t="shared" ref="V2:V41" si="6">IF(H2&lt;0,MIN(ABS(H2)/G2,1),0)</f>
        <v>0.05972804625977</v>
      </c>
      <c r="W2" s="22">
        <f>IF($A2="","",_xlfn.MAXIFS('Raw daily data'!$J:$J,'Raw daily data'!$I:$I,$A2))</f>
        <v>-60</v>
      </c>
      <c r="X2" s="79">
        <f t="shared" ref="X2:X41" si="7">IF(W2&gt;=0,0,ABS(W2)/G2)</f>
        <v>0.05972804625977</v>
      </c>
      <c r="Y2" s="79">
        <f>IF($A2="","",ABS(MIN(0,_xlfn.MINIFS('Raw daily data'!$J:$J,'Raw daily data'!$I:$I,$A2)))/G2)</f>
        <v>0.05972804625977</v>
      </c>
    </row>
    <row r="3" spans="1:25">
      <c r="A3" s="180">
        <v>46034</v>
      </c>
      <c r="B3" s="181">
        <v>1</v>
      </c>
      <c r="C3" s="181" t="str">
        <f t="shared" si="0"/>
        <v>Monday</v>
      </c>
      <c r="D3" s="181" t="s">
        <v>55</v>
      </c>
      <c r="E3" s="182">
        <f t="shared" ref="E3:E23" si="8">E2+H2</f>
        <v>7115.38</v>
      </c>
      <c r="F3" s="183">
        <f>IF($A3="","",$E3*Summary!$B$8)</f>
        <v>498.0766</v>
      </c>
      <c r="G3" s="183">
        <f>IF($A3="","",F3*Summary!$B$9)</f>
        <v>996.1532</v>
      </c>
      <c r="H3" s="171">
        <f>IF($A3="","",SUMIFS('Raw daily data'!$F:$F,'Raw daily data'!$I:$I,$A3))</f>
        <v>575.0023</v>
      </c>
      <c r="I3" s="171">
        <f t="shared" ref="I3:I41" si="9">I2+H3</f>
        <v>515.0023</v>
      </c>
      <c r="J3" s="171">
        <f t="shared" si="1"/>
        <v>515.0023</v>
      </c>
      <c r="K3" s="171">
        <f>Summary!$B$6</f>
        <v>5000</v>
      </c>
      <c r="L3" s="171">
        <f t="shared" si="2"/>
        <v>-4484.9977</v>
      </c>
      <c r="N3">
        <f>IF($A3="","",COUNTIFS('Raw daily data'!$I:$I,$A3))</f>
        <v>1</v>
      </c>
      <c r="O3">
        <f>IF($A3="","",COUNTIFS('Raw daily data'!$I:$I,$A3,'Raw daily data'!$F:$F,"&gt;0"))</f>
        <v>1</v>
      </c>
      <c r="P3">
        <f>IF($A3="","",COUNTIFS('Raw daily data'!$I:$I,$A3,'Raw daily data'!$F:$F,"&lt;0"))</f>
        <v>0</v>
      </c>
      <c r="Q3" s="22">
        <f>IF($A3="","",SUMIFS('Raw daily data'!$F:$F,'Raw daily data'!$I:$I,$A3,'Raw daily data'!$F:$F,"&gt;0"))</f>
        <v>575.0023</v>
      </c>
      <c r="R3" s="22">
        <f>IF($A3="","",ABS(SUMIFS('Raw daily data'!$F:$F,'Raw daily data'!$I:$I,$A3,'Raw daily data'!$F:$F,"&lt;0")))</f>
        <v>0</v>
      </c>
      <c r="S3" s="79">
        <f t="shared" si="3"/>
        <v>1</v>
      </c>
      <c r="T3" s="12" t="str">
        <f t="shared" si="4"/>
        <v/>
      </c>
      <c r="U3" s="49">
        <f t="shared" si="5"/>
        <v>1.1544455210303</v>
      </c>
      <c r="V3" s="79">
        <f t="shared" si="6"/>
        <v>0</v>
      </c>
      <c r="W3" s="22">
        <f>IF($A3="","",_xlfn.MAXIFS('Raw daily data'!$J:$J,'Raw daily data'!$I:$I,$A3))</f>
        <v>575.0023</v>
      </c>
      <c r="X3" s="79">
        <f t="shared" si="7"/>
        <v>0</v>
      </c>
      <c r="Y3" s="79">
        <f>IF($A3="","",ABS(MIN(0,_xlfn.MINIFS('Raw daily data'!$J:$J,'Raw daily data'!$I:$I,$A3)))/G3)</f>
        <v>0</v>
      </c>
    </row>
    <row r="4" spans="1:25">
      <c r="A4" s="180">
        <v>46035</v>
      </c>
      <c r="B4" s="181">
        <v>1</v>
      </c>
      <c r="C4" s="181" t="str">
        <f t="shared" si="0"/>
        <v>Tuesday</v>
      </c>
      <c r="D4" s="181" t="s">
        <v>56</v>
      </c>
      <c r="E4" s="182">
        <f t="shared" si="8"/>
        <v>7690.3823</v>
      </c>
      <c r="F4" s="183">
        <f>IF($A4="","",$E4*Summary!$B$8)</f>
        <v>538.326761</v>
      </c>
      <c r="G4" s="183">
        <f>IF($A4="","",F4*Summary!$B$9)</f>
        <v>1076.653522</v>
      </c>
      <c r="H4" s="171">
        <f>IF($A4="","",SUMIFS('Raw daily data'!$F:$F,'Raw daily data'!$I:$I,$A4))</f>
        <v>0</v>
      </c>
      <c r="I4" s="171">
        <f t="shared" si="9"/>
        <v>515.0023</v>
      </c>
      <c r="J4" s="171">
        <f t="shared" si="1"/>
        <v>515.0023</v>
      </c>
      <c r="K4" s="171">
        <f>Summary!$B$6</f>
        <v>5000</v>
      </c>
      <c r="L4" s="171">
        <f t="shared" si="2"/>
        <v>-4484.9977</v>
      </c>
      <c r="N4">
        <f>IF($A4="","",COUNTIFS('Raw daily data'!$I:$I,$A4))</f>
        <v>0</v>
      </c>
      <c r="O4">
        <f>IF($A4="","",COUNTIFS('Raw daily data'!$I:$I,$A4,'Raw daily data'!$F:$F,"&gt;0"))</f>
        <v>0</v>
      </c>
      <c r="P4">
        <f>IF($A4="","",COUNTIFS('Raw daily data'!$I:$I,$A4,'Raw daily data'!$F:$F,"&lt;0"))</f>
        <v>0</v>
      </c>
      <c r="Q4" s="22">
        <f>IF($A4="","",SUMIFS('Raw daily data'!$F:$F,'Raw daily data'!$I:$I,$A4,'Raw daily data'!$F:$F,"&gt;0"))</f>
        <v>0</v>
      </c>
      <c r="R4" s="22">
        <f>IF($A4="","",ABS(SUMIFS('Raw daily data'!$F:$F,'Raw daily data'!$I:$I,$A4,'Raw daily data'!$F:$F,"&lt;0")))</f>
        <v>0</v>
      </c>
      <c r="S4" s="79" t="str">
        <f t="shared" si="3"/>
        <v/>
      </c>
      <c r="T4" s="12" t="str">
        <f t="shared" si="4"/>
        <v/>
      </c>
      <c r="U4" s="49">
        <f t="shared" si="5"/>
        <v>0</v>
      </c>
      <c r="V4" s="79">
        <f t="shared" si="6"/>
        <v>0</v>
      </c>
      <c r="W4" s="22">
        <f>IF($A4="","",_xlfn.MAXIFS('Raw daily data'!$J:$J,'Raw daily data'!$I:$I,$A4))</f>
        <v>0</v>
      </c>
      <c r="X4" s="79">
        <f t="shared" si="7"/>
        <v>0</v>
      </c>
      <c r="Y4" s="79">
        <f>IF($A4="","",ABS(MIN(0,_xlfn.MINIFS('Raw daily data'!$J:$J,'Raw daily data'!$I:$I,$A4)))/G4)</f>
        <v>0</v>
      </c>
    </row>
    <row r="5" spans="1:25">
      <c r="A5" s="180">
        <v>46036</v>
      </c>
      <c r="B5" s="181">
        <v>1</v>
      </c>
      <c r="C5" s="181" t="str">
        <f t="shared" si="0"/>
        <v>Wednesday</v>
      </c>
      <c r="D5" s="181" t="s">
        <v>56</v>
      </c>
      <c r="E5" s="182">
        <f t="shared" si="8"/>
        <v>7690.3823</v>
      </c>
      <c r="F5" s="183">
        <f>IF($A5="","",$E5*Summary!$B$8)</f>
        <v>538.326761</v>
      </c>
      <c r="G5" s="183">
        <f>IF($A5="","",F5*Summary!$B$9)</f>
        <v>1076.653522</v>
      </c>
      <c r="H5" s="171">
        <f>IF($A5="","",SUMIFS('Raw daily data'!$F:$F,'Raw daily data'!$I:$I,$A5))</f>
        <v>0</v>
      </c>
      <c r="I5" s="171">
        <f t="shared" si="9"/>
        <v>515.0023</v>
      </c>
      <c r="J5" s="171">
        <f t="shared" si="1"/>
        <v>515.0023</v>
      </c>
      <c r="K5" s="171">
        <f>Summary!$B$6</f>
        <v>5000</v>
      </c>
      <c r="L5" s="171">
        <f t="shared" si="2"/>
        <v>-4484.9977</v>
      </c>
      <c r="N5">
        <f>IF($A5="","",COUNTIFS('Raw daily data'!$I:$I,$A5))</f>
        <v>0</v>
      </c>
      <c r="O5">
        <f>IF($A5="","",COUNTIFS('Raw daily data'!$I:$I,$A5,'Raw daily data'!$F:$F,"&gt;0"))</f>
        <v>0</v>
      </c>
      <c r="P5">
        <f>IF($A5="","",COUNTIFS('Raw daily data'!$I:$I,$A5,'Raw daily data'!$F:$F,"&lt;0"))</f>
        <v>0</v>
      </c>
      <c r="Q5" s="22">
        <f>IF($A5="","",SUMIFS('Raw daily data'!$F:$F,'Raw daily data'!$I:$I,$A5,'Raw daily data'!$F:$F,"&gt;0"))</f>
        <v>0</v>
      </c>
      <c r="R5" s="22">
        <f>IF($A5="","",ABS(SUMIFS('Raw daily data'!$F:$F,'Raw daily data'!$I:$I,$A5,'Raw daily data'!$F:$F,"&lt;0")))</f>
        <v>0</v>
      </c>
      <c r="S5" s="79" t="str">
        <f t="shared" si="3"/>
        <v/>
      </c>
      <c r="T5" s="12" t="str">
        <f t="shared" si="4"/>
        <v/>
      </c>
      <c r="U5" s="49">
        <f t="shared" si="5"/>
        <v>0</v>
      </c>
      <c r="V5" s="79">
        <f t="shared" si="6"/>
        <v>0</v>
      </c>
      <c r="W5" s="22">
        <f>IF($A5="","",_xlfn.MAXIFS('Raw daily data'!$J:$J,'Raw daily data'!$I:$I,$A5))</f>
        <v>0</v>
      </c>
      <c r="X5" s="79">
        <f t="shared" si="7"/>
        <v>0</v>
      </c>
      <c r="Y5" s="79">
        <f>IF($A5="","",ABS(MIN(0,_xlfn.MINIFS('Raw daily data'!$J:$J,'Raw daily data'!$I:$I,$A5)))/G5)</f>
        <v>0</v>
      </c>
    </row>
    <row r="6" spans="1:25">
      <c r="A6" s="180">
        <v>46037</v>
      </c>
      <c r="B6" s="181">
        <v>1</v>
      </c>
      <c r="C6" s="181" t="str">
        <f t="shared" si="0"/>
        <v>Thursday</v>
      </c>
      <c r="D6" s="181" t="s">
        <v>56</v>
      </c>
      <c r="E6" s="182">
        <f t="shared" si="8"/>
        <v>7690.3823</v>
      </c>
      <c r="F6" s="183">
        <f>IF($A6="","",$E6*Summary!$B$8)</f>
        <v>538.326761</v>
      </c>
      <c r="G6" s="183">
        <f>IF($A6="","",F6*Summary!$B$9)</f>
        <v>1076.653522</v>
      </c>
      <c r="H6" s="171">
        <f>IF($A6="","",SUMIFS('Raw daily data'!$F:$F,'Raw daily data'!$I:$I,$A6))</f>
        <v>0</v>
      </c>
      <c r="I6" s="171">
        <f t="shared" si="9"/>
        <v>515.0023</v>
      </c>
      <c r="J6" s="171">
        <f t="shared" si="1"/>
        <v>515.0023</v>
      </c>
      <c r="K6" s="171">
        <f>Summary!$B$6</f>
        <v>5000</v>
      </c>
      <c r="L6" s="171">
        <f t="shared" si="2"/>
        <v>-4484.9977</v>
      </c>
      <c r="N6">
        <f>IF($A6="","",COUNTIFS('Raw daily data'!$I:$I,$A6))</f>
        <v>0</v>
      </c>
      <c r="O6">
        <f>IF($A6="","",COUNTIFS('Raw daily data'!$I:$I,$A6,'Raw daily data'!$F:$F,"&gt;0"))</f>
        <v>0</v>
      </c>
      <c r="P6">
        <f>IF($A6="","",COUNTIFS('Raw daily data'!$I:$I,$A6,'Raw daily data'!$F:$F,"&lt;0"))</f>
        <v>0</v>
      </c>
      <c r="Q6" s="22">
        <f>IF($A6="","",SUMIFS('Raw daily data'!$F:$F,'Raw daily data'!$I:$I,$A6,'Raw daily data'!$F:$F,"&gt;0"))</f>
        <v>0</v>
      </c>
      <c r="R6" s="22">
        <f>IF($A6="","",ABS(SUMIFS('Raw daily data'!$F:$F,'Raw daily data'!$I:$I,$A6,'Raw daily data'!$F:$F,"&lt;0")))</f>
        <v>0</v>
      </c>
      <c r="S6" s="79" t="str">
        <f t="shared" si="3"/>
        <v/>
      </c>
      <c r="T6" s="12" t="str">
        <f t="shared" si="4"/>
        <v/>
      </c>
      <c r="U6" s="49">
        <f t="shared" si="5"/>
        <v>0</v>
      </c>
      <c r="V6" s="79">
        <f t="shared" si="6"/>
        <v>0</v>
      </c>
      <c r="W6" s="22">
        <f>IF($A6="","",_xlfn.MAXIFS('Raw daily data'!$J:$J,'Raw daily data'!$I:$I,$A6))</f>
        <v>0</v>
      </c>
      <c r="X6" s="79">
        <f t="shared" si="7"/>
        <v>0</v>
      </c>
      <c r="Y6" s="79">
        <f>IF($A6="","",ABS(MIN(0,_xlfn.MINIFS('Raw daily data'!$J:$J,'Raw daily data'!$I:$I,$A6)))/G6)</f>
        <v>0</v>
      </c>
    </row>
    <row r="7" spans="1:25">
      <c r="A7" s="180">
        <v>46038</v>
      </c>
      <c r="B7" s="181">
        <v>1</v>
      </c>
      <c r="C7" s="181" t="str">
        <f t="shared" si="0"/>
        <v>Friday</v>
      </c>
      <c r="D7" s="181" t="s">
        <v>56</v>
      </c>
      <c r="E7" s="184">
        <f t="shared" si="8"/>
        <v>7690.3823</v>
      </c>
      <c r="F7" s="183">
        <f>IF($A7="","",$E7*Summary!$B$8)</f>
        <v>538.326761</v>
      </c>
      <c r="G7" s="183">
        <f>IF($A7="","",F7*Summary!$B$9)</f>
        <v>1076.653522</v>
      </c>
      <c r="H7" s="171">
        <f>IF($A7="","",SUMIFS('Raw daily data'!$F:$F,'Raw daily data'!$I:$I,$A7))</f>
        <v>0</v>
      </c>
      <c r="I7" s="171">
        <f t="shared" si="9"/>
        <v>515.0023</v>
      </c>
      <c r="J7" s="171">
        <f t="shared" si="1"/>
        <v>515.0023</v>
      </c>
      <c r="K7" s="171">
        <f>Summary!$B$6</f>
        <v>5000</v>
      </c>
      <c r="L7" s="171">
        <f t="shared" si="2"/>
        <v>-4484.9977</v>
      </c>
      <c r="N7">
        <f>IF($A7="","",COUNTIFS('Raw daily data'!$I:$I,$A7))</f>
        <v>0</v>
      </c>
      <c r="O7">
        <f>IF($A7="","",COUNTIFS('Raw daily data'!$I:$I,$A7,'Raw daily data'!$F:$F,"&gt;0"))</f>
        <v>0</v>
      </c>
      <c r="P7">
        <f>IF($A7="","",COUNTIFS('Raw daily data'!$I:$I,$A7,'Raw daily data'!$F:$F,"&lt;0"))</f>
        <v>0</v>
      </c>
      <c r="Q7" s="22">
        <f>IF($A7="","",SUMIFS('Raw daily data'!$F:$F,'Raw daily data'!$I:$I,$A7,'Raw daily data'!$F:$F,"&gt;0"))</f>
        <v>0</v>
      </c>
      <c r="R7" s="22">
        <f>IF($A7="","",ABS(SUMIFS('Raw daily data'!$F:$F,'Raw daily data'!$I:$I,$A7,'Raw daily data'!$F:$F,"&lt;0")))</f>
        <v>0</v>
      </c>
      <c r="S7" s="79" t="str">
        <f t="shared" si="3"/>
        <v/>
      </c>
      <c r="T7" s="12" t="str">
        <f t="shared" si="4"/>
        <v/>
      </c>
      <c r="U7" s="49">
        <f t="shared" si="5"/>
        <v>0</v>
      </c>
      <c r="V7" s="79">
        <f t="shared" si="6"/>
        <v>0</v>
      </c>
      <c r="W7" s="22">
        <f>IF($A7="","",_xlfn.MAXIFS('Raw daily data'!$J:$J,'Raw daily data'!$I:$I,$A7))</f>
        <v>0</v>
      </c>
      <c r="X7" s="79">
        <f t="shared" si="7"/>
        <v>0</v>
      </c>
      <c r="Y7" s="79">
        <f>IF($A7="","",ABS(MIN(0,_xlfn.MINIFS('Raw daily data'!$J:$J,'Raw daily data'!$I:$I,$A7)))/G7)</f>
        <v>0</v>
      </c>
    </row>
    <row r="8" spans="1:25">
      <c r="A8" s="180">
        <v>46039</v>
      </c>
      <c r="B8" s="181">
        <v>1</v>
      </c>
      <c r="C8" s="181" t="str">
        <f t="shared" si="0"/>
        <v>Saturday</v>
      </c>
      <c r="D8" s="181" t="s">
        <v>56</v>
      </c>
      <c r="E8" s="184">
        <f t="shared" si="8"/>
        <v>7690.3823</v>
      </c>
      <c r="F8" s="183">
        <f>IF($A8="","",$E8*Summary!$B$8)</f>
        <v>538.326761</v>
      </c>
      <c r="G8" s="183">
        <f>IF($A8="","",F8*Summary!$B$9)</f>
        <v>1076.653522</v>
      </c>
      <c r="H8" s="171">
        <f>IF($A8="","",SUMIFS('Raw daily data'!$F:$F,'Raw daily data'!$I:$I,$A8))</f>
        <v>0</v>
      </c>
      <c r="I8" s="171">
        <f t="shared" si="9"/>
        <v>515.0023</v>
      </c>
      <c r="J8" s="171">
        <f t="shared" si="1"/>
        <v>515.0023</v>
      </c>
      <c r="K8" s="171">
        <f>Summary!$B$6</f>
        <v>5000</v>
      </c>
      <c r="L8" s="171">
        <f t="shared" si="2"/>
        <v>-4484.9977</v>
      </c>
      <c r="N8">
        <f>IF($A8="","",COUNTIFS('Raw daily data'!$I:$I,$A8))</f>
        <v>0</v>
      </c>
      <c r="O8">
        <f>IF($A8="","",COUNTIFS('Raw daily data'!$I:$I,$A8,'Raw daily data'!$F:$F,"&gt;0"))</f>
        <v>0</v>
      </c>
      <c r="P8">
        <f>IF($A8="","",COUNTIFS('Raw daily data'!$I:$I,$A8,'Raw daily data'!$F:$F,"&lt;0"))</f>
        <v>0</v>
      </c>
      <c r="Q8" s="22">
        <f>IF($A8="","",SUMIFS('Raw daily data'!$F:$F,'Raw daily data'!$I:$I,$A8,'Raw daily data'!$F:$F,"&gt;0"))</f>
        <v>0</v>
      </c>
      <c r="R8" s="22">
        <f>IF($A8="","",ABS(SUMIFS('Raw daily data'!$F:$F,'Raw daily data'!$I:$I,$A8,'Raw daily data'!$F:$F,"&lt;0")))</f>
        <v>0</v>
      </c>
      <c r="S8" s="79" t="str">
        <f t="shared" si="3"/>
        <v/>
      </c>
      <c r="T8" s="12" t="str">
        <f t="shared" si="4"/>
        <v/>
      </c>
      <c r="U8" s="49">
        <f t="shared" si="5"/>
        <v>0</v>
      </c>
      <c r="V8" s="79">
        <f t="shared" si="6"/>
        <v>0</v>
      </c>
      <c r="W8" s="22">
        <f>IF($A8="","",_xlfn.MAXIFS('Raw daily data'!$J:$J,'Raw daily data'!$I:$I,$A8))</f>
        <v>0</v>
      </c>
      <c r="X8" s="79">
        <f t="shared" si="7"/>
        <v>0</v>
      </c>
      <c r="Y8" s="79">
        <f>IF($A8="","",ABS(MIN(0,_xlfn.MINIFS('Raw daily data'!$J:$J,'Raw daily data'!$I:$I,$A8)))/G8)</f>
        <v>0</v>
      </c>
    </row>
    <row r="9" spans="1:25">
      <c r="A9" s="180">
        <v>46040</v>
      </c>
      <c r="B9" s="181">
        <v>2</v>
      </c>
      <c r="C9" s="181" t="str">
        <f t="shared" si="0"/>
        <v>Sunday</v>
      </c>
      <c r="D9" s="181" t="s">
        <v>56</v>
      </c>
      <c r="E9" s="184">
        <f t="shared" si="8"/>
        <v>7690.3823</v>
      </c>
      <c r="F9" s="183">
        <f>IF($A9="","",$E9*Summary!$B$8)</f>
        <v>538.326761</v>
      </c>
      <c r="G9" s="183">
        <f>IF($A9="","",F9*Summary!$B$9)</f>
        <v>1076.653522</v>
      </c>
      <c r="H9" s="171">
        <f>IF($A9="","",SUMIFS('Raw daily data'!$F:$F,'Raw daily data'!$I:$I,$A9))</f>
        <v>0</v>
      </c>
      <c r="I9" s="171">
        <f t="shared" si="9"/>
        <v>515.0023</v>
      </c>
      <c r="J9" s="171">
        <f t="shared" si="1"/>
        <v>0</v>
      </c>
      <c r="K9" s="171">
        <f>Summary!$B$6</f>
        <v>5000</v>
      </c>
      <c r="L9" s="171">
        <f t="shared" si="2"/>
        <v>-5000</v>
      </c>
      <c r="N9">
        <f>IF($A9="","",COUNTIFS('Raw daily data'!$I:$I,$A9))</f>
        <v>0</v>
      </c>
      <c r="O9">
        <f>IF($A9="","",COUNTIFS('Raw daily data'!$I:$I,$A9,'Raw daily data'!$F:$F,"&gt;0"))</f>
        <v>0</v>
      </c>
      <c r="P9">
        <f>IF($A9="","",COUNTIFS('Raw daily data'!$I:$I,$A9,'Raw daily data'!$F:$F,"&lt;0"))</f>
        <v>0</v>
      </c>
      <c r="Q9" s="22">
        <f>IF($A9="","",SUMIFS('Raw daily data'!$F:$F,'Raw daily data'!$I:$I,$A9,'Raw daily data'!$F:$F,"&gt;0"))</f>
        <v>0</v>
      </c>
      <c r="R9" s="22">
        <f>IF($A9="","",ABS(SUMIFS('Raw daily data'!$F:$F,'Raw daily data'!$I:$I,$A9,'Raw daily data'!$F:$F,"&lt;0")))</f>
        <v>0</v>
      </c>
      <c r="S9" s="79" t="str">
        <f t="shared" si="3"/>
        <v/>
      </c>
      <c r="T9" s="12" t="str">
        <f t="shared" si="4"/>
        <v/>
      </c>
      <c r="U9" s="49">
        <f t="shared" si="5"/>
        <v>0</v>
      </c>
      <c r="V9" s="79">
        <f t="shared" si="6"/>
        <v>0</v>
      </c>
      <c r="W9" s="22">
        <f>IF($A9="","",_xlfn.MAXIFS('Raw daily data'!$J:$J,'Raw daily data'!$I:$I,$A9))</f>
        <v>0</v>
      </c>
      <c r="X9" s="79">
        <f t="shared" si="7"/>
        <v>0</v>
      </c>
      <c r="Y9" s="79">
        <f>IF($A9="","",ABS(MIN(0,_xlfn.MINIFS('Raw daily data'!$J:$J,'Raw daily data'!$I:$I,$A9)))/G9)</f>
        <v>0</v>
      </c>
    </row>
    <row r="10" spans="1:25">
      <c r="A10" s="180">
        <v>46041</v>
      </c>
      <c r="B10" s="181">
        <v>2</v>
      </c>
      <c r="C10" s="181" t="str">
        <f t="shared" si="0"/>
        <v>Monday</v>
      </c>
      <c r="D10" s="181"/>
      <c r="E10" s="184">
        <f t="shared" si="8"/>
        <v>7690.3823</v>
      </c>
      <c r="F10" s="183">
        <f>IF($A10="","",$E10*Summary!$B$8)</f>
        <v>538.326761</v>
      </c>
      <c r="G10" s="183">
        <f>IF($A10="","",F10*Summary!$B$9)</f>
        <v>1076.653522</v>
      </c>
      <c r="H10" s="171">
        <f>IF($A10="","",SUMIFS('Raw daily data'!$F:$F,'Raw daily data'!$I:$I,$A10))</f>
        <v>0</v>
      </c>
      <c r="I10" s="171">
        <f t="shared" si="9"/>
        <v>515.0023</v>
      </c>
      <c r="J10" s="171">
        <f t="shared" si="1"/>
        <v>0</v>
      </c>
      <c r="K10" s="171">
        <f>Summary!$B$6</f>
        <v>5000</v>
      </c>
      <c r="L10" s="171">
        <f t="shared" si="2"/>
        <v>-5000</v>
      </c>
      <c r="N10">
        <f>IF($A10="","",COUNTIFS('Raw daily data'!$I:$I,$A10))</f>
        <v>0</v>
      </c>
      <c r="O10">
        <f>IF($A10="","",COUNTIFS('Raw daily data'!$I:$I,$A10,'Raw daily data'!$F:$F,"&gt;0"))</f>
        <v>0</v>
      </c>
      <c r="P10">
        <f>IF($A10="","",COUNTIFS('Raw daily data'!$I:$I,$A10,'Raw daily data'!$F:$F,"&lt;0"))</f>
        <v>0</v>
      </c>
      <c r="Q10" s="22">
        <f>IF($A10="","",SUMIFS('Raw daily data'!$F:$F,'Raw daily data'!$I:$I,$A10,'Raw daily data'!$F:$F,"&gt;0"))</f>
        <v>0</v>
      </c>
      <c r="R10" s="22">
        <f>IF($A10="","",ABS(SUMIFS('Raw daily data'!$F:$F,'Raw daily data'!$I:$I,$A10,'Raw daily data'!$F:$F,"&lt;0")))</f>
        <v>0</v>
      </c>
      <c r="S10" s="79" t="str">
        <f t="shared" si="3"/>
        <v/>
      </c>
      <c r="T10" s="12" t="str">
        <f t="shared" si="4"/>
        <v/>
      </c>
      <c r="U10" s="49">
        <f t="shared" si="5"/>
        <v>0</v>
      </c>
      <c r="V10" s="79">
        <f t="shared" si="6"/>
        <v>0</v>
      </c>
      <c r="W10" s="22">
        <f>IF($A10="","",_xlfn.MAXIFS('Raw daily data'!$J:$J,'Raw daily data'!$I:$I,$A10))</f>
        <v>0</v>
      </c>
      <c r="X10" s="79">
        <f t="shared" si="7"/>
        <v>0</v>
      </c>
      <c r="Y10" s="79">
        <f>IF($A10="","",ABS(MIN(0,_xlfn.MINIFS('Raw daily data'!$J:$J,'Raw daily data'!$I:$I,$A10)))/G10)</f>
        <v>0</v>
      </c>
    </row>
    <row r="11" spans="1:25">
      <c r="A11" s="180">
        <v>46042</v>
      </c>
      <c r="B11" s="181">
        <v>2</v>
      </c>
      <c r="C11" s="181" t="str">
        <f t="shared" si="0"/>
        <v>Tuesday</v>
      </c>
      <c r="D11" s="181"/>
      <c r="E11" s="184">
        <f t="shared" si="8"/>
        <v>7690.3823</v>
      </c>
      <c r="F11" s="183">
        <f>IF($A11="","",$E11*Summary!$B$8)</f>
        <v>538.326761</v>
      </c>
      <c r="G11" s="183">
        <f>IF($A11="","",F11*Summary!$B$9)</f>
        <v>1076.653522</v>
      </c>
      <c r="H11" s="171">
        <f>IF($A11="","",SUMIFS('Raw daily data'!$F:$F,'Raw daily data'!$I:$I,$A11))</f>
        <v>0</v>
      </c>
      <c r="I11" s="171">
        <f t="shared" si="9"/>
        <v>515.0023</v>
      </c>
      <c r="J11" s="171">
        <f t="shared" si="1"/>
        <v>0</v>
      </c>
      <c r="K11" s="171">
        <f>Summary!$B$6</f>
        <v>5000</v>
      </c>
      <c r="L11" s="171">
        <f t="shared" si="2"/>
        <v>-5000</v>
      </c>
      <c r="N11">
        <f>IF($A11="","",COUNTIFS('Raw daily data'!$I:$I,$A11))</f>
        <v>0</v>
      </c>
      <c r="O11">
        <f>IF($A11="","",COUNTIFS('Raw daily data'!$I:$I,$A11,'Raw daily data'!$F:$F,"&gt;0"))</f>
        <v>0</v>
      </c>
      <c r="P11">
        <f>IF($A11="","",COUNTIFS('Raw daily data'!$I:$I,$A11,'Raw daily data'!$F:$F,"&lt;0"))</f>
        <v>0</v>
      </c>
      <c r="Q11" s="22">
        <f>IF($A11="","",SUMIFS('Raw daily data'!$F:$F,'Raw daily data'!$I:$I,$A11,'Raw daily data'!$F:$F,"&gt;0"))</f>
        <v>0</v>
      </c>
      <c r="R11" s="22">
        <f>IF($A11="","",ABS(SUMIFS('Raw daily data'!$F:$F,'Raw daily data'!$I:$I,$A11,'Raw daily data'!$F:$F,"&lt;0")))</f>
        <v>0</v>
      </c>
      <c r="S11" s="79" t="str">
        <f t="shared" si="3"/>
        <v/>
      </c>
      <c r="T11" s="12" t="str">
        <f t="shared" si="4"/>
        <v/>
      </c>
      <c r="U11" s="49">
        <f t="shared" si="5"/>
        <v>0</v>
      </c>
      <c r="V11" s="79">
        <f t="shared" si="6"/>
        <v>0</v>
      </c>
      <c r="W11" s="22">
        <f>IF($A11="","",_xlfn.MAXIFS('Raw daily data'!$J:$J,'Raw daily data'!$I:$I,$A11))</f>
        <v>0</v>
      </c>
      <c r="X11" s="79">
        <f t="shared" si="7"/>
        <v>0</v>
      </c>
      <c r="Y11" s="79">
        <f>IF($A11="","",ABS(MIN(0,_xlfn.MINIFS('Raw daily data'!$J:$J,'Raw daily data'!$I:$I,$A11)))/G11)</f>
        <v>0</v>
      </c>
    </row>
    <row r="12" spans="1:25">
      <c r="A12" s="180">
        <v>46043</v>
      </c>
      <c r="B12" s="181">
        <v>2</v>
      </c>
      <c r="C12" s="181" t="str">
        <f t="shared" si="0"/>
        <v>Wednesday</v>
      </c>
      <c r="D12" s="181"/>
      <c r="E12" s="184">
        <f t="shared" si="8"/>
        <v>7690.3823</v>
      </c>
      <c r="F12" s="183">
        <f>IF($A12="","",$E12*Summary!$B$8)</f>
        <v>538.326761</v>
      </c>
      <c r="G12" s="183">
        <f>IF($A12="","",F12*Summary!$B$9)</f>
        <v>1076.653522</v>
      </c>
      <c r="H12" s="171">
        <f>IF($A12="","",SUMIFS('Raw daily data'!$F:$F,'Raw daily data'!$I:$I,$A12))</f>
        <v>0</v>
      </c>
      <c r="I12" s="171">
        <f t="shared" si="9"/>
        <v>515.0023</v>
      </c>
      <c r="J12" s="171">
        <f t="shared" si="1"/>
        <v>0</v>
      </c>
      <c r="K12" s="171">
        <f>Summary!$B$6</f>
        <v>5000</v>
      </c>
      <c r="L12" s="171">
        <f t="shared" si="2"/>
        <v>-5000</v>
      </c>
      <c r="N12">
        <f>IF($A12="","",COUNTIFS('Raw daily data'!$I:$I,$A12))</f>
        <v>0</v>
      </c>
      <c r="O12">
        <f>IF($A12="","",COUNTIFS('Raw daily data'!$I:$I,$A12,'Raw daily data'!$F:$F,"&gt;0"))</f>
        <v>0</v>
      </c>
      <c r="P12">
        <f>IF($A12="","",COUNTIFS('Raw daily data'!$I:$I,$A12,'Raw daily data'!$F:$F,"&lt;0"))</f>
        <v>0</v>
      </c>
      <c r="Q12" s="22">
        <f>IF($A12="","",SUMIFS('Raw daily data'!$F:$F,'Raw daily data'!$I:$I,$A12,'Raw daily data'!$F:$F,"&gt;0"))</f>
        <v>0</v>
      </c>
      <c r="R12" s="22">
        <f>IF($A12="","",ABS(SUMIFS('Raw daily data'!$F:$F,'Raw daily data'!$I:$I,$A12,'Raw daily data'!$F:$F,"&lt;0")))</f>
        <v>0</v>
      </c>
      <c r="S12" s="79" t="str">
        <f t="shared" si="3"/>
        <v/>
      </c>
      <c r="T12" s="12" t="str">
        <f t="shared" si="4"/>
        <v/>
      </c>
      <c r="U12" s="49">
        <f t="shared" si="5"/>
        <v>0</v>
      </c>
      <c r="V12" s="79">
        <f t="shared" si="6"/>
        <v>0</v>
      </c>
      <c r="W12" s="22">
        <f>IF($A12="","",_xlfn.MAXIFS('Raw daily data'!$J:$J,'Raw daily data'!$I:$I,$A12))</f>
        <v>0</v>
      </c>
      <c r="X12" s="79">
        <f t="shared" si="7"/>
        <v>0</v>
      </c>
      <c r="Y12" s="79">
        <f>IF($A12="","",ABS(MIN(0,_xlfn.MINIFS('Raw daily data'!$J:$J,'Raw daily data'!$I:$I,$A12)))/G12)</f>
        <v>0</v>
      </c>
    </row>
    <row r="13" spans="1:25">
      <c r="A13" s="180">
        <v>46044</v>
      </c>
      <c r="B13" s="181">
        <v>2</v>
      </c>
      <c r="C13" s="181" t="str">
        <f t="shared" si="0"/>
        <v>Thursday</v>
      </c>
      <c r="D13" s="181"/>
      <c r="E13" s="184">
        <f t="shared" si="8"/>
        <v>7690.3823</v>
      </c>
      <c r="F13" s="183">
        <f>IF($A13="","",$E13*Summary!$B$8)</f>
        <v>538.326761</v>
      </c>
      <c r="G13" s="183">
        <f>IF($A13="","",F13*Summary!$B$9)</f>
        <v>1076.653522</v>
      </c>
      <c r="H13" s="171">
        <f>IF($A13="","",SUMIFS('Raw daily data'!$F:$F,'Raw daily data'!$I:$I,$A13))</f>
        <v>0</v>
      </c>
      <c r="I13" s="171">
        <f t="shared" si="9"/>
        <v>515.0023</v>
      </c>
      <c r="J13" s="171">
        <f t="shared" si="1"/>
        <v>0</v>
      </c>
      <c r="K13" s="171">
        <f>Summary!$B$6</f>
        <v>5000</v>
      </c>
      <c r="L13" s="171">
        <f t="shared" si="2"/>
        <v>-5000</v>
      </c>
      <c r="N13">
        <f>IF($A13="","",COUNTIFS('Raw daily data'!$I:$I,$A13))</f>
        <v>0</v>
      </c>
      <c r="O13">
        <f>IF($A13="","",COUNTIFS('Raw daily data'!$I:$I,$A13,'Raw daily data'!$F:$F,"&gt;0"))</f>
        <v>0</v>
      </c>
      <c r="P13">
        <f>IF($A13="","",COUNTIFS('Raw daily data'!$I:$I,$A13,'Raw daily data'!$F:$F,"&lt;0"))</f>
        <v>0</v>
      </c>
      <c r="Q13" s="22">
        <f>IF($A13="","",SUMIFS('Raw daily data'!$F:$F,'Raw daily data'!$I:$I,$A13,'Raw daily data'!$F:$F,"&gt;0"))</f>
        <v>0</v>
      </c>
      <c r="R13" s="22">
        <f>IF($A13="","",ABS(SUMIFS('Raw daily data'!$F:$F,'Raw daily data'!$I:$I,$A13,'Raw daily data'!$F:$F,"&lt;0")))</f>
        <v>0</v>
      </c>
      <c r="S13" s="79" t="str">
        <f t="shared" si="3"/>
        <v/>
      </c>
      <c r="T13" s="12" t="str">
        <f t="shared" si="4"/>
        <v/>
      </c>
      <c r="U13" s="49">
        <f t="shared" si="5"/>
        <v>0</v>
      </c>
      <c r="V13" s="79">
        <f t="shared" si="6"/>
        <v>0</v>
      </c>
      <c r="W13" s="22">
        <f>IF($A13="","",_xlfn.MAXIFS('Raw daily data'!$J:$J,'Raw daily data'!$I:$I,$A13))</f>
        <v>0</v>
      </c>
      <c r="X13" s="79">
        <f t="shared" si="7"/>
        <v>0</v>
      </c>
      <c r="Y13" s="79">
        <f>IF($A13="","",ABS(MIN(0,_xlfn.MINIFS('Raw daily data'!$J:$J,'Raw daily data'!$I:$I,$A13)))/G13)</f>
        <v>0</v>
      </c>
    </row>
    <row r="14" spans="1:25">
      <c r="A14" s="180">
        <v>46045</v>
      </c>
      <c r="B14" s="181">
        <v>2</v>
      </c>
      <c r="C14" s="181" t="str">
        <f t="shared" si="0"/>
        <v>Friday</v>
      </c>
      <c r="D14" s="181"/>
      <c r="E14" s="184">
        <f t="shared" si="8"/>
        <v>7690.3823</v>
      </c>
      <c r="F14" s="183">
        <f>IF($A14="","",$E14*Summary!$B$8)</f>
        <v>538.326761</v>
      </c>
      <c r="G14" s="183">
        <f>IF($A14="","",F14*Summary!$B$9)</f>
        <v>1076.653522</v>
      </c>
      <c r="H14" s="171">
        <f>IF($A14="","",SUMIFS('Raw daily data'!$F:$F,'Raw daily data'!$I:$I,$A14))</f>
        <v>0</v>
      </c>
      <c r="I14" s="171">
        <f t="shared" si="9"/>
        <v>515.0023</v>
      </c>
      <c r="J14" s="171">
        <f t="shared" si="1"/>
        <v>0</v>
      </c>
      <c r="K14" s="171">
        <f>Summary!$B$6</f>
        <v>5000</v>
      </c>
      <c r="L14" s="171">
        <f t="shared" si="2"/>
        <v>-5000</v>
      </c>
      <c r="N14">
        <f>IF($A14="","",COUNTIFS('Raw daily data'!$I:$I,$A14))</f>
        <v>0</v>
      </c>
      <c r="O14">
        <f>IF($A14="","",COUNTIFS('Raw daily data'!$I:$I,$A14,'Raw daily data'!$F:$F,"&gt;0"))</f>
        <v>0</v>
      </c>
      <c r="P14">
        <f>IF($A14="","",COUNTIFS('Raw daily data'!$I:$I,$A14,'Raw daily data'!$F:$F,"&lt;0"))</f>
        <v>0</v>
      </c>
      <c r="Q14" s="22">
        <f>IF($A14="","",SUMIFS('Raw daily data'!$F:$F,'Raw daily data'!$I:$I,$A14,'Raw daily data'!$F:$F,"&gt;0"))</f>
        <v>0</v>
      </c>
      <c r="R14" s="22">
        <f>IF($A14="","",ABS(SUMIFS('Raw daily data'!$F:$F,'Raw daily data'!$I:$I,$A14,'Raw daily data'!$F:$F,"&lt;0")))</f>
        <v>0</v>
      </c>
      <c r="S14" s="79" t="str">
        <f t="shared" si="3"/>
        <v/>
      </c>
      <c r="T14" s="12" t="str">
        <f t="shared" si="4"/>
        <v/>
      </c>
      <c r="U14" s="49">
        <f t="shared" si="5"/>
        <v>0</v>
      </c>
      <c r="V14" s="79">
        <f t="shared" si="6"/>
        <v>0</v>
      </c>
      <c r="W14" s="22">
        <f>IF($A14="","",_xlfn.MAXIFS('Raw daily data'!$J:$J,'Raw daily data'!$I:$I,$A14))</f>
        <v>0</v>
      </c>
      <c r="X14" s="79">
        <f t="shared" si="7"/>
        <v>0</v>
      </c>
      <c r="Y14" s="79">
        <f>IF($A14="","",ABS(MIN(0,_xlfn.MINIFS('Raw daily data'!$J:$J,'Raw daily data'!$I:$I,$A14)))/G14)</f>
        <v>0</v>
      </c>
    </row>
    <row r="15" spans="1:25">
      <c r="A15" s="180">
        <v>46046</v>
      </c>
      <c r="B15" s="181">
        <v>2</v>
      </c>
      <c r="C15" s="181" t="str">
        <f t="shared" si="0"/>
        <v>Saturday</v>
      </c>
      <c r="D15" s="181" t="s">
        <v>56</v>
      </c>
      <c r="E15" s="184">
        <f t="shared" si="8"/>
        <v>7690.3823</v>
      </c>
      <c r="F15" s="183">
        <f>IF($A15="","",$E15*Summary!$B$8)</f>
        <v>538.326761</v>
      </c>
      <c r="G15" s="183">
        <f>IF($A15="","",F15*Summary!$B$9)</f>
        <v>1076.653522</v>
      </c>
      <c r="H15" s="171">
        <f>IF($A15="","",SUMIFS('Raw daily data'!$F:$F,'Raw daily data'!$I:$I,$A15))</f>
        <v>0</v>
      </c>
      <c r="I15" s="171">
        <f t="shared" si="9"/>
        <v>515.0023</v>
      </c>
      <c r="J15" s="171">
        <f t="shared" si="1"/>
        <v>0</v>
      </c>
      <c r="K15" s="171">
        <f>Summary!$B$6</f>
        <v>5000</v>
      </c>
      <c r="L15" s="171">
        <f t="shared" si="2"/>
        <v>-5000</v>
      </c>
      <c r="N15">
        <f>IF($A15="","",COUNTIFS('Raw daily data'!$I:$I,$A15))</f>
        <v>0</v>
      </c>
      <c r="O15">
        <f>IF($A15="","",COUNTIFS('Raw daily data'!$I:$I,$A15,'Raw daily data'!$F:$F,"&gt;0"))</f>
        <v>0</v>
      </c>
      <c r="P15">
        <f>IF($A15="","",COUNTIFS('Raw daily data'!$I:$I,$A15,'Raw daily data'!$F:$F,"&lt;0"))</f>
        <v>0</v>
      </c>
      <c r="Q15" s="22">
        <f>IF($A15="","",SUMIFS('Raw daily data'!$F:$F,'Raw daily data'!$I:$I,$A15,'Raw daily data'!$F:$F,"&gt;0"))</f>
        <v>0</v>
      </c>
      <c r="R15" s="22">
        <f>IF($A15="","",ABS(SUMIFS('Raw daily data'!$F:$F,'Raw daily data'!$I:$I,$A15,'Raw daily data'!$F:$F,"&lt;0")))</f>
        <v>0</v>
      </c>
      <c r="S15" s="79" t="str">
        <f t="shared" si="3"/>
        <v/>
      </c>
      <c r="T15" s="12" t="str">
        <f t="shared" si="4"/>
        <v/>
      </c>
      <c r="U15" s="49">
        <f t="shared" si="5"/>
        <v>0</v>
      </c>
      <c r="V15" s="79">
        <f t="shared" si="6"/>
        <v>0</v>
      </c>
      <c r="W15" s="22">
        <f>IF($A15="","",_xlfn.MAXIFS('Raw daily data'!$J:$J,'Raw daily data'!$I:$I,$A15))</f>
        <v>0</v>
      </c>
      <c r="X15" s="79">
        <f t="shared" si="7"/>
        <v>0</v>
      </c>
      <c r="Y15" s="79">
        <f>IF($A15="","",ABS(MIN(0,_xlfn.MINIFS('Raw daily data'!$J:$J,'Raw daily data'!$I:$I,$A15)))/G15)</f>
        <v>0</v>
      </c>
    </row>
    <row r="16" spans="1:25">
      <c r="A16" s="180">
        <v>46047</v>
      </c>
      <c r="B16" s="181">
        <v>3</v>
      </c>
      <c r="C16" s="181" t="str">
        <f t="shared" si="0"/>
        <v>Sunday</v>
      </c>
      <c r="D16" s="181" t="s">
        <v>56</v>
      </c>
      <c r="E16" s="184">
        <f t="shared" si="8"/>
        <v>7690.3823</v>
      </c>
      <c r="F16" s="183">
        <f>IF($A16="","",$E16*Summary!$B$8)</f>
        <v>538.326761</v>
      </c>
      <c r="G16" s="183">
        <f>IF($A16="","",F16*Summary!$B$9)</f>
        <v>1076.653522</v>
      </c>
      <c r="H16" s="171">
        <f>IF($A16="","",SUMIFS('Raw daily data'!$F:$F,'Raw daily data'!$I:$I,$A16))</f>
        <v>0</v>
      </c>
      <c r="I16" s="171">
        <f t="shared" si="9"/>
        <v>515.0023</v>
      </c>
      <c r="J16" s="171">
        <f t="shared" si="1"/>
        <v>0</v>
      </c>
      <c r="K16" s="171">
        <f>Summary!$B$6</f>
        <v>5000</v>
      </c>
      <c r="L16" s="171">
        <f t="shared" si="2"/>
        <v>-5000</v>
      </c>
      <c r="N16">
        <f>IF($A16="","",COUNTIFS('Raw daily data'!$I:$I,$A16))</f>
        <v>0</v>
      </c>
      <c r="O16">
        <f>IF($A16="","",COUNTIFS('Raw daily data'!$I:$I,$A16,'Raw daily data'!$F:$F,"&gt;0"))</f>
        <v>0</v>
      </c>
      <c r="P16">
        <f>IF($A16="","",COUNTIFS('Raw daily data'!$I:$I,$A16,'Raw daily data'!$F:$F,"&lt;0"))</f>
        <v>0</v>
      </c>
      <c r="Q16" s="22">
        <f>IF($A16="","",SUMIFS('Raw daily data'!$F:$F,'Raw daily data'!$I:$I,$A16,'Raw daily data'!$F:$F,"&gt;0"))</f>
        <v>0</v>
      </c>
      <c r="R16" s="22">
        <f>IF($A16="","",ABS(SUMIFS('Raw daily data'!$F:$F,'Raw daily data'!$I:$I,$A16,'Raw daily data'!$F:$F,"&lt;0")))</f>
        <v>0</v>
      </c>
      <c r="S16" s="79" t="str">
        <f t="shared" si="3"/>
        <v/>
      </c>
      <c r="T16" s="12" t="str">
        <f t="shared" si="4"/>
        <v/>
      </c>
      <c r="U16" s="49">
        <f t="shared" si="5"/>
        <v>0</v>
      </c>
      <c r="V16" s="79">
        <f t="shared" si="6"/>
        <v>0</v>
      </c>
      <c r="W16" s="22">
        <f>IF($A16="","",_xlfn.MAXIFS('Raw daily data'!$J:$J,'Raw daily data'!$I:$I,$A16))</f>
        <v>0</v>
      </c>
      <c r="X16" s="79">
        <f t="shared" si="7"/>
        <v>0</v>
      </c>
      <c r="Y16" s="79">
        <f>IF($A16="","",ABS(MIN(0,_xlfn.MINIFS('Raw daily data'!$J:$J,'Raw daily data'!$I:$I,$A16)))/G16)</f>
        <v>0</v>
      </c>
    </row>
    <row r="17" spans="1:25">
      <c r="A17" s="180">
        <v>46048</v>
      </c>
      <c r="B17" s="181">
        <v>3</v>
      </c>
      <c r="C17" s="181" t="str">
        <f t="shared" si="0"/>
        <v>Monday</v>
      </c>
      <c r="D17" s="181"/>
      <c r="E17" s="184">
        <f t="shared" si="8"/>
        <v>7690.3823</v>
      </c>
      <c r="F17" s="183">
        <f>IF($A17="","",$E17*Summary!$B$8)</f>
        <v>538.326761</v>
      </c>
      <c r="G17" s="183">
        <f>IF($A17="","",F17*Summary!$B$9)</f>
        <v>1076.653522</v>
      </c>
      <c r="H17" s="171">
        <f>IF($A17="","",SUMIFS('Raw daily data'!$F:$F,'Raw daily data'!$I:$I,$A17))</f>
        <v>0</v>
      </c>
      <c r="I17" s="171">
        <f t="shared" si="9"/>
        <v>515.0023</v>
      </c>
      <c r="J17" s="171">
        <f t="shared" si="1"/>
        <v>0</v>
      </c>
      <c r="K17" s="171">
        <f>Summary!$B$6</f>
        <v>5000</v>
      </c>
      <c r="L17" s="171">
        <f t="shared" si="2"/>
        <v>-5000</v>
      </c>
      <c r="N17">
        <f>IF($A17="","",COUNTIFS('Raw daily data'!$I:$I,$A17))</f>
        <v>0</v>
      </c>
      <c r="O17">
        <f>IF($A17="","",COUNTIFS('Raw daily data'!$I:$I,$A17,'Raw daily data'!$F:$F,"&gt;0"))</f>
        <v>0</v>
      </c>
      <c r="P17">
        <f>IF($A17="","",COUNTIFS('Raw daily data'!$I:$I,$A17,'Raw daily data'!$F:$F,"&lt;0"))</f>
        <v>0</v>
      </c>
      <c r="Q17" s="22">
        <f>IF($A17="","",SUMIFS('Raw daily data'!$F:$F,'Raw daily data'!$I:$I,$A17,'Raw daily data'!$F:$F,"&gt;0"))</f>
        <v>0</v>
      </c>
      <c r="R17" s="22">
        <f>IF($A17="","",ABS(SUMIFS('Raw daily data'!$F:$F,'Raw daily data'!$I:$I,$A17,'Raw daily data'!$F:$F,"&lt;0")))</f>
        <v>0</v>
      </c>
      <c r="S17" s="79" t="str">
        <f t="shared" si="3"/>
        <v/>
      </c>
      <c r="T17" s="12" t="str">
        <f t="shared" si="4"/>
        <v/>
      </c>
      <c r="U17" s="49">
        <f t="shared" si="5"/>
        <v>0</v>
      </c>
      <c r="V17" s="79">
        <f t="shared" si="6"/>
        <v>0</v>
      </c>
      <c r="W17" s="22">
        <f>IF($A17="","",_xlfn.MAXIFS('Raw daily data'!$J:$J,'Raw daily data'!$I:$I,$A17))</f>
        <v>0</v>
      </c>
      <c r="X17" s="79">
        <f t="shared" si="7"/>
        <v>0</v>
      </c>
      <c r="Y17" s="79">
        <f>IF($A17="","",ABS(MIN(0,_xlfn.MINIFS('Raw daily data'!$J:$J,'Raw daily data'!$I:$I,$A17)))/G17)</f>
        <v>0</v>
      </c>
    </row>
    <row r="18" spans="1:25">
      <c r="A18" s="180">
        <v>46049</v>
      </c>
      <c r="B18" s="181">
        <v>3</v>
      </c>
      <c r="C18" s="181" t="str">
        <f t="shared" si="0"/>
        <v>Tuesday</v>
      </c>
      <c r="D18" s="181"/>
      <c r="E18" s="184">
        <f t="shared" si="8"/>
        <v>7690.3823</v>
      </c>
      <c r="F18" s="183">
        <f>IF($A18="","",$E18*Summary!$B$8)</f>
        <v>538.326761</v>
      </c>
      <c r="G18" s="183">
        <f>IF($A18="","",F18*Summary!$B$9)</f>
        <v>1076.653522</v>
      </c>
      <c r="H18" s="171">
        <f>IF($A18="","",SUMIFS('Raw daily data'!$F:$F,'Raw daily data'!$I:$I,$A18))</f>
        <v>0</v>
      </c>
      <c r="I18" s="171">
        <f t="shared" si="9"/>
        <v>515.0023</v>
      </c>
      <c r="J18" s="171">
        <f t="shared" si="1"/>
        <v>0</v>
      </c>
      <c r="K18" s="171">
        <f>Summary!$B$6</f>
        <v>5000</v>
      </c>
      <c r="L18" s="171">
        <f t="shared" si="2"/>
        <v>-5000</v>
      </c>
      <c r="N18">
        <f>IF($A18="","",COUNTIFS('Raw daily data'!$I:$I,$A18))</f>
        <v>0</v>
      </c>
      <c r="O18">
        <f>IF($A18="","",COUNTIFS('Raw daily data'!$I:$I,$A18,'Raw daily data'!$F:$F,"&gt;0"))</f>
        <v>0</v>
      </c>
      <c r="P18">
        <f>IF($A18="","",COUNTIFS('Raw daily data'!$I:$I,$A18,'Raw daily data'!$F:$F,"&lt;0"))</f>
        <v>0</v>
      </c>
      <c r="Q18" s="22">
        <f>IF($A18="","",SUMIFS('Raw daily data'!$F:$F,'Raw daily data'!$I:$I,$A18,'Raw daily data'!$F:$F,"&gt;0"))</f>
        <v>0</v>
      </c>
      <c r="R18" s="22">
        <f>IF($A18="","",ABS(SUMIFS('Raw daily data'!$F:$F,'Raw daily data'!$I:$I,$A18,'Raw daily data'!$F:$F,"&lt;0")))</f>
        <v>0</v>
      </c>
      <c r="S18" s="79" t="str">
        <f t="shared" si="3"/>
        <v/>
      </c>
      <c r="T18" s="12" t="str">
        <f t="shared" si="4"/>
        <v/>
      </c>
      <c r="U18" s="49">
        <f t="shared" si="5"/>
        <v>0</v>
      </c>
      <c r="V18" s="79">
        <f t="shared" si="6"/>
        <v>0</v>
      </c>
      <c r="W18" s="22">
        <f>IF($A18="","",_xlfn.MAXIFS('Raw daily data'!$J:$J,'Raw daily data'!$I:$I,$A18))</f>
        <v>0</v>
      </c>
      <c r="X18" s="79">
        <f t="shared" si="7"/>
        <v>0</v>
      </c>
      <c r="Y18" s="79">
        <f>IF($A18="","",ABS(MIN(0,_xlfn.MINIFS('Raw daily data'!$J:$J,'Raw daily data'!$I:$I,$A18)))/G18)</f>
        <v>0</v>
      </c>
    </row>
    <row r="19" spans="1:25">
      <c r="A19" s="180">
        <v>46050</v>
      </c>
      <c r="B19" s="181">
        <v>3</v>
      </c>
      <c r="C19" s="181" t="str">
        <f t="shared" si="0"/>
        <v>Wednesday</v>
      </c>
      <c r="D19" s="181"/>
      <c r="E19" s="184">
        <f t="shared" si="8"/>
        <v>7690.3823</v>
      </c>
      <c r="F19" s="183">
        <f>IF($A19="","",$E19*Summary!$B$8)</f>
        <v>538.326761</v>
      </c>
      <c r="G19" s="183">
        <f>IF($A19="","",F19*Summary!$B$9)</f>
        <v>1076.653522</v>
      </c>
      <c r="H19" s="171">
        <f>IF($A19="","",SUMIFS('Raw daily data'!$F:$F,'Raw daily data'!$I:$I,$A19))</f>
        <v>0</v>
      </c>
      <c r="I19" s="171">
        <f t="shared" si="9"/>
        <v>515.0023</v>
      </c>
      <c r="J19" s="171">
        <f t="shared" si="1"/>
        <v>0</v>
      </c>
      <c r="K19" s="171">
        <f>Summary!$B$6</f>
        <v>5000</v>
      </c>
      <c r="L19" s="171">
        <f t="shared" si="2"/>
        <v>-5000</v>
      </c>
      <c r="N19">
        <f>IF($A19="","",COUNTIFS('Raw daily data'!$I:$I,$A19))</f>
        <v>0</v>
      </c>
      <c r="O19">
        <f>IF($A19="","",COUNTIFS('Raw daily data'!$I:$I,$A19,'Raw daily data'!$F:$F,"&gt;0"))</f>
        <v>0</v>
      </c>
      <c r="P19">
        <f>IF($A19="","",COUNTIFS('Raw daily data'!$I:$I,$A19,'Raw daily data'!$F:$F,"&lt;0"))</f>
        <v>0</v>
      </c>
      <c r="Q19" s="22">
        <f>IF($A19="","",SUMIFS('Raw daily data'!$F:$F,'Raw daily data'!$I:$I,$A19,'Raw daily data'!$F:$F,"&gt;0"))</f>
        <v>0</v>
      </c>
      <c r="R19" s="22">
        <f>IF($A19="","",ABS(SUMIFS('Raw daily data'!$F:$F,'Raw daily data'!$I:$I,$A19,'Raw daily data'!$F:$F,"&lt;0")))</f>
        <v>0</v>
      </c>
      <c r="S19" s="79" t="str">
        <f t="shared" si="3"/>
        <v/>
      </c>
      <c r="T19" s="12" t="str">
        <f t="shared" si="4"/>
        <v/>
      </c>
      <c r="U19" s="49">
        <f t="shared" si="5"/>
        <v>0</v>
      </c>
      <c r="V19" s="79">
        <f t="shared" si="6"/>
        <v>0</v>
      </c>
      <c r="W19" s="22">
        <f>IF($A19="","",_xlfn.MAXIFS('Raw daily data'!$J:$J,'Raw daily data'!$I:$I,$A19))</f>
        <v>0</v>
      </c>
      <c r="X19" s="79">
        <f t="shared" si="7"/>
        <v>0</v>
      </c>
      <c r="Y19" s="79">
        <f>IF($A19="","",ABS(MIN(0,_xlfn.MINIFS('Raw daily data'!$J:$J,'Raw daily data'!$I:$I,$A19)))/G19)</f>
        <v>0</v>
      </c>
    </row>
    <row r="20" spans="1:25">
      <c r="A20" s="180">
        <v>46051</v>
      </c>
      <c r="B20" s="181">
        <v>3</v>
      </c>
      <c r="C20" s="181" t="str">
        <f t="shared" si="0"/>
        <v>Thursday</v>
      </c>
      <c r="D20" s="181"/>
      <c r="E20" s="184">
        <f t="shared" si="8"/>
        <v>7690.3823</v>
      </c>
      <c r="F20" s="183">
        <f>IF($A20="","",$E20*Summary!$B$8)</f>
        <v>538.326761</v>
      </c>
      <c r="G20" s="183">
        <f>IF($A20="","",F20*Summary!$B$9)</f>
        <v>1076.653522</v>
      </c>
      <c r="H20" s="171">
        <f>IF($A20="","",SUMIFS('Raw daily data'!$F:$F,'Raw daily data'!$I:$I,$A20))</f>
        <v>0</v>
      </c>
      <c r="I20" s="171">
        <f t="shared" si="9"/>
        <v>515.0023</v>
      </c>
      <c r="J20" s="171">
        <f t="shared" si="1"/>
        <v>0</v>
      </c>
      <c r="K20" s="171">
        <f>Summary!$B$6</f>
        <v>5000</v>
      </c>
      <c r="L20" s="171">
        <f t="shared" si="2"/>
        <v>-5000</v>
      </c>
      <c r="N20">
        <f>IF($A20="","",COUNTIFS('Raw daily data'!$I:$I,$A20))</f>
        <v>0</v>
      </c>
      <c r="O20">
        <f>IF($A20="","",COUNTIFS('Raw daily data'!$I:$I,$A20,'Raw daily data'!$F:$F,"&gt;0"))</f>
        <v>0</v>
      </c>
      <c r="P20">
        <f>IF($A20="","",COUNTIFS('Raw daily data'!$I:$I,$A20,'Raw daily data'!$F:$F,"&lt;0"))</f>
        <v>0</v>
      </c>
      <c r="Q20" s="22">
        <f>IF($A20="","",SUMIFS('Raw daily data'!$F:$F,'Raw daily data'!$I:$I,$A20,'Raw daily data'!$F:$F,"&gt;0"))</f>
        <v>0</v>
      </c>
      <c r="R20" s="22">
        <f>IF($A20="","",ABS(SUMIFS('Raw daily data'!$F:$F,'Raw daily data'!$I:$I,$A20,'Raw daily data'!$F:$F,"&lt;0")))</f>
        <v>0</v>
      </c>
      <c r="S20" s="79" t="str">
        <f t="shared" si="3"/>
        <v/>
      </c>
      <c r="T20" s="12" t="str">
        <f t="shared" si="4"/>
        <v/>
      </c>
      <c r="U20" s="49">
        <f t="shared" si="5"/>
        <v>0</v>
      </c>
      <c r="V20" s="79">
        <f t="shared" si="6"/>
        <v>0</v>
      </c>
      <c r="W20" s="22">
        <f>IF($A20="","",_xlfn.MAXIFS('Raw daily data'!$J:$J,'Raw daily data'!$I:$I,$A20))</f>
        <v>0</v>
      </c>
      <c r="X20" s="79">
        <f t="shared" si="7"/>
        <v>0</v>
      </c>
      <c r="Y20" s="79">
        <f>IF($A20="","",ABS(MIN(0,_xlfn.MINIFS('Raw daily data'!$J:$J,'Raw daily data'!$I:$I,$A20)))/G20)</f>
        <v>0</v>
      </c>
    </row>
    <row r="21" spans="1:25">
      <c r="A21" s="180">
        <v>46052</v>
      </c>
      <c r="B21" s="181">
        <v>3</v>
      </c>
      <c r="C21" s="181" t="str">
        <f t="shared" si="0"/>
        <v>Friday</v>
      </c>
      <c r="D21" s="181"/>
      <c r="E21" s="184">
        <f t="shared" si="8"/>
        <v>7690.3823</v>
      </c>
      <c r="F21" s="183">
        <f>IF($A21="","",$E21*Summary!$B$8)</f>
        <v>538.326761</v>
      </c>
      <c r="G21" s="183">
        <f>IF($A21="","",F21*Summary!$B$9)</f>
        <v>1076.653522</v>
      </c>
      <c r="H21" s="171">
        <f>IF($A21="","",SUMIFS('Raw daily data'!$F:$F,'Raw daily data'!$I:$I,$A21))</f>
        <v>0</v>
      </c>
      <c r="I21" s="171">
        <f t="shared" si="9"/>
        <v>515.0023</v>
      </c>
      <c r="J21" s="171">
        <f t="shared" si="1"/>
        <v>0</v>
      </c>
      <c r="K21" s="171">
        <f>Summary!$B$6</f>
        <v>5000</v>
      </c>
      <c r="L21" s="171">
        <f t="shared" si="2"/>
        <v>-5000</v>
      </c>
      <c r="N21">
        <f>IF($A21="","",COUNTIFS('Raw daily data'!$I:$I,$A21))</f>
        <v>0</v>
      </c>
      <c r="O21">
        <f>IF($A21="","",COUNTIFS('Raw daily data'!$I:$I,$A21,'Raw daily data'!$F:$F,"&gt;0"))</f>
        <v>0</v>
      </c>
      <c r="P21">
        <f>IF($A21="","",COUNTIFS('Raw daily data'!$I:$I,$A21,'Raw daily data'!$F:$F,"&lt;0"))</f>
        <v>0</v>
      </c>
      <c r="Q21" s="22">
        <f>IF($A21="","",SUMIFS('Raw daily data'!$F:$F,'Raw daily data'!$I:$I,$A21,'Raw daily data'!$F:$F,"&gt;0"))</f>
        <v>0</v>
      </c>
      <c r="R21" s="22">
        <f>IF($A21="","",ABS(SUMIFS('Raw daily data'!$F:$F,'Raw daily data'!$I:$I,$A21,'Raw daily data'!$F:$F,"&lt;0")))</f>
        <v>0</v>
      </c>
      <c r="S21" s="79" t="str">
        <f t="shared" si="3"/>
        <v/>
      </c>
      <c r="T21" s="12" t="str">
        <f t="shared" si="4"/>
        <v/>
      </c>
      <c r="U21" s="49">
        <f t="shared" si="5"/>
        <v>0</v>
      </c>
      <c r="V21" s="79">
        <f t="shared" si="6"/>
        <v>0</v>
      </c>
      <c r="W21" s="22">
        <f>IF($A21="","",_xlfn.MAXIFS('Raw daily data'!$J:$J,'Raw daily data'!$I:$I,$A21))</f>
        <v>0</v>
      </c>
      <c r="X21" s="79">
        <f t="shared" si="7"/>
        <v>0</v>
      </c>
      <c r="Y21" s="79">
        <f>IF($A21="","",ABS(MIN(0,_xlfn.MINIFS('Raw daily data'!$J:$J,'Raw daily data'!$I:$I,$A21)))/G21)</f>
        <v>0</v>
      </c>
    </row>
    <row r="22" spans="1:25">
      <c r="A22" s="180">
        <v>46053</v>
      </c>
      <c r="B22" s="181">
        <v>3</v>
      </c>
      <c r="C22" s="181" t="str">
        <f t="shared" si="0"/>
        <v>Saturday</v>
      </c>
      <c r="D22" s="181" t="s">
        <v>56</v>
      </c>
      <c r="E22" s="184">
        <f t="shared" si="8"/>
        <v>7690.3823</v>
      </c>
      <c r="F22" s="183">
        <f>IF($A22="","",$E22*Summary!$B$8)</f>
        <v>538.326761</v>
      </c>
      <c r="G22" s="183">
        <f>IF($A22="","",F22*Summary!$B$9)</f>
        <v>1076.653522</v>
      </c>
      <c r="H22" s="171">
        <f>IF($A22="","",SUMIFS('Raw daily data'!$F:$F,'Raw daily data'!$I:$I,$A22))</f>
        <v>0</v>
      </c>
      <c r="I22" s="171">
        <f t="shared" si="9"/>
        <v>515.0023</v>
      </c>
      <c r="J22" s="171">
        <f t="shared" si="1"/>
        <v>0</v>
      </c>
      <c r="K22" s="171">
        <f>Summary!$B$6</f>
        <v>5000</v>
      </c>
      <c r="L22" s="171">
        <f t="shared" si="2"/>
        <v>-5000</v>
      </c>
      <c r="N22">
        <f>IF($A22="","",COUNTIFS('Raw daily data'!$I:$I,$A22))</f>
        <v>0</v>
      </c>
      <c r="O22">
        <f>IF($A22="","",COUNTIFS('Raw daily data'!$I:$I,$A22,'Raw daily data'!$F:$F,"&gt;0"))</f>
        <v>0</v>
      </c>
      <c r="P22">
        <f>IF($A22="","",COUNTIFS('Raw daily data'!$I:$I,$A22,'Raw daily data'!$F:$F,"&lt;0"))</f>
        <v>0</v>
      </c>
      <c r="Q22" s="22">
        <f>IF($A22="","",SUMIFS('Raw daily data'!$F:$F,'Raw daily data'!$I:$I,$A22,'Raw daily data'!$F:$F,"&gt;0"))</f>
        <v>0</v>
      </c>
      <c r="R22" s="22">
        <f>IF($A22="","",ABS(SUMIFS('Raw daily data'!$F:$F,'Raw daily data'!$I:$I,$A22,'Raw daily data'!$F:$F,"&lt;0")))</f>
        <v>0</v>
      </c>
      <c r="S22" s="79" t="str">
        <f t="shared" si="3"/>
        <v/>
      </c>
      <c r="T22" s="12" t="str">
        <f t="shared" si="4"/>
        <v/>
      </c>
      <c r="U22" s="49">
        <f t="shared" si="5"/>
        <v>0</v>
      </c>
      <c r="V22" s="79">
        <f t="shared" si="6"/>
        <v>0</v>
      </c>
      <c r="W22" s="22">
        <f>IF($A22="","",_xlfn.MAXIFS('Raw daily data'!$J:$J,'Raw daily data'!$I:$I,$A22))</f>
        <v>0</v>
      </c>
      <c r="X22" s="79">
        <f t="shared" si="7"/>
        <v>0</v>
      </c>
      <c r="Y22" s="79">
        <f>IF($A22="","",ABS(MIN(0,_xlfn.MINIFS('Raw daily data'!$J:$J,'Raw daily data'!$I:$I,$A22)))/G22)</f>
        <v>0</v>
      </c>
    </row>
    <row r="23" spans="1:25">
      <c r="A23" s="180">
        <v>46054</v>
      </c>
      <c r="B23" s="181">
        <v>4</v>
      </c>
      <c r="C23" s="181" t="str">
        <f t="shared" si="0"/>
        <v>Sunday</v>
      </c>
      <c r="D23" s="181" t="s">
        <v>56</v>
      </c>
      <c r="E23" s="184">
        <f t="shared" si="8"/>
        <v>7690.3823</v>
      </c>
      <c r="F23" s="183">
        <f>IF($A23="","",$E23*Summary!$B$8)</f>
        <v>538.326761</v>
      </c>
      <c r="G23" s="183">
        <f>IF($A23="","",F23*Summary!$B$9)</f>
        <v>1076.653522</v>
      </c>
      <c r="H23" s="171">
        <f>IF($A23="","",SUMIFS('Raw daily data'!$F:$F,'Raw daily data'!$I:$I,$A23))</f>
        <v>0</v>
      </c>
      <c r="I23" s="171">
        <f t="shared" si="9"/>
        <v>515.0023</v>
      </c>
      <c r="J23" s="171">
        <f t="shared" si="1"/>
        <v>0</v>
      </c>
      <c r="K23" s="171">
        <f>Summary!$B$6</f>
        <v>5000</v>
      </c>
      <c r="L23" s="171">
        <f t="shared" si="2"/>
        <v>-5000</v>
      </c>
      <c r="N23">
        <f>IF($A23="","",COUNTIFS('Raw daily data'!$I:$I,$A23))</f>
        <v>0</v>
      </c>
      <c r="O23">
        <f>IF($A23="","",COUNTIFS('Raw daily data'!$I:$I,$A23,'Raw daily data'!$F:$F,"&gt;0"))</f>
        <v>0</v>
      </c>
      <c r="P23">
        <f>IF($A23="","",COUNTIFS('Raw daily data'!$I:$I,$A23,'Raw daily data'!$F:$F,"&lt;0"))</f>
        <v>0</v>
      </c>
      <c r="Q23" s="22">
        <f>IF($A23="","",SUMIFS('Raw daily data'!$F:$F,'Raw daily data'!$I:$I,$A23,'Raw daily data'!$F:$F,"&gt;0"))</f>
        <v>0</v>
      </c>
      <c r="R23" s="22">
        <f>IF($A23="","",ABS(SUMIFS('Raw daily data'!$F:$F,'Raw daily data'!$I:$I,$A23,'Raw daily data'!$F:$F,"&lt;0")))</f>
        <v>0</v>
      </c>
      <c r="S23" s="79" t="str">
        <f t="shared" si="3"/>
        <v/>
      </c>
      <c r="T23" s="12" t="str">
        <f t="shared" si="4"/>
        <v/>
      </c>
      <c r="U23" s="49">
        <f t="shared" si="5"/>
        <v>0</v>
      </c>
      <c r="V23" s="79">
        <f t="shared" si="6"/>
        <v>0</v>
      </c>
      <c r="W23" s="22">
        <f>IF($A23="","",_xlfn.MAXIFS('Raw daily data'!$J:$J,'Raw daily data'!$I:$I,$A23))</f>
        <v>0</v>
      </c>
      <c r="X23" s="79">
        <f t="shared" si="7"/>
        <v>0</v>
      </c>
      <c r="Y23" s="79">
        <f>IF($A23="","",ABS(MIN(0,_xlfn.MINIFS('Raw daily data'!$J:$J,'Raw daily data'!$I:$I,$A23)))/G23)</f>
        <v>0</v>
      </c>
    </row>
    <row r="24" spans="1:25">
      <c r="A24" s="180">
        <v>46055</v>
      </c>
      <c r="B24" s="181">
        <v>4</v>
      </c>
      <c r="C24" s="181" t="str">
        <f t="shared" si="0"/>
        <v>Monday</v>
      </c>
      <c r="D24" s="181"/>
      <c r="E24" s="181"/>
      <c r="F24" s="183">
        <f>IF($A24="","",$E24*Summary!$B$8)</f>
        <v>0</v>
      </c>
      <c r="G24" s="183">
        <f>IF($A24="","",F24*Summary!$B$9)</f>
        <v>0</v>
      </c>
      <c r="H24" s="171">
        <f>IF($A24="","",SUMIFS('Raw daily data'!$F:$F,'Raw daily data'!$I:$I,$A24))</f>
        <v>0</v>
      </c>
      <c r="I24" s="171">
        <f t="shared" si="9"/>
        <v>515.0023</v>
      </c>
      <c r="J24" s="171">
        <f t="shared" si="1"/>
        <v>0</v>
      </c>
      <c r="K24" s="171">
        <f>Summary!$B$6</f>
        <v>5000</v>
      </c>
      <c r="L24" s="171">
        <f t="shared" si="2"/>
        <v>-5000</v>
      </c>
      <c r="N24">
        <f>IF($A24="","",COUNTIFS('Raw daily data'!$I:$I,$A24))</f>
        <v>0</v>
      </c>
      <c r="O24">
        <f>IF($A24="","",COUNTIFS('Raw daily data'!$I:$I,$A24,'Raw daily data'!$F:$F,"&gt;0"))</f>
        <v>0</v>
      </c>
      <c r="P24">
        <f>IF($A24="","",COUNTIFS('Raw daily data'!$I:$I,$A24,'Raw daily data'!$F:$F,"&lt;0"))</f>
        <v>0</v>
      </c>
      <c r="Q24" s="22">
        <f>IF($A24="","",SUMIFS('Raw daily data'!$F:$F,'Raw daily data'!$I:$I,$A24,'Raw daily data'!$F:$F,"&gt;0"))</f>
        <v>0</v>
      </c>
      <c r="R24" s="22">
        <f>IF($A24="","",ABS(SUMIFS('Raw daily data'!$F:$F,'Raw daily data'!$I:$I,$A24,'Raw daily data'!$F:$F,"&lt;0")))</f>
        <v>0</v>
      </c>
      <c r="S24" s="79" t="str">
        <f t="shared" si="3"/>
        <v/>
      </c>
      <c r="T24" s="12" t="str">
        <f t="shared" si="4"/>
        <v/>
      </c>
      <c r="U24" s="49" t="str">
        <f t="shared" si="5"/>
        <v/>
      </c>
      <c r="V24" s="79">
        <f t="shared" si="6"/>
        <v>0</v>
      </c>
      <c r="W24" s="22">
        <f>IF($A24="","",_xlfn.MAXIFS('Raw daily data'!$J:$J,'Raw daily data'!$I:$I,$A24))</f>
        <v>0</v>
      </c>
      <c r="X24" s="79">
        <f t="shared" si="7"/>
        <v>0</v>
      </c>
      <c r="Y24" s="79" t="str">
        <f>IFERROR(IF($A24="","",ABS(MIN(0,_xlfn.MINIFS('Raw daily data'!$J:$J,'Raw daily data'!$I:$I,$A24)))/G24),"")</f>
        <v/>
      </c>
    </row>
    <row r="25" spans="1:25">
      <c r="A25" s="180">
        <v>46056</v>
      </c>
      <c r="B25" s="181">
        <v>4</v>
      </c>
      <c r="C25" s="181" t="str">
        <f t="shared" si="0"/>
        <v>Tuesday</v>
      </c>
      <c r="D25" s="181"/>
      <c r="E25" s="181"/>
      <c r="F25" s="183">
        <f>IF($A25="","",$E25*Summary!$B$8)</f>
        <v>0</v>
      </c>
      <c r="G25" s="183">
        <f>IF($A25="","",F25*Summary!$B$9)</f>
        <v>0</v>
      </c>
      <c r="H25" s="171">
        <f>IF($A25="","",SUMIFS('Raw daily data'!$F:$F,'Raw daily data'!$I:$I,$A25))</f>
        <v>0</v>
      </c>
      <c r="I25" s="171">
        <f t="shared" si="9"/>
        <v>515.0023</v>
      </c>
      <c r="J25" s="171">
        <f t="shared" si="1"/>
        <v>0</v>
      </c>
      <c r="K25" s="171">
        <f>Summary!$B$6</f>
        <v>5000</v>
      </c>
      <c r="L25" s="171">
        <f t="shared" si="2"/>
        <v>-5000</v>
      </c>
      <c r="N25">
        <f>IF($A25="","",COUNTIFS('Raw daily data'!$I:$I,$A25))</f>
        <v>0</v>
      </c>
      <c r="O25">
        <f>IF($A25="","",COUNTIFS('Raw daily data'!$I:$I,$A25,'Raw daily data'!$F:$F,"&gt;0"))</f>
        <v>0</v>
      </c>
      <c r="P25">
        <f>IF($A25="","",COUNTIFS('Raw daily data'!$I:$I,$A25,'Raw daily data'!$F:$F,"&lt;0"))</f>
        <v>0</v>
      </c>
      <c r="Q25" s="22">
        <f>IF($A25="","",SUMIFS('Raw daily data'!$F:$F,'Raw daily data'!$I:$I,$A25,'Raw daily data'!$F:$F,"&gt;0"))</f>
        <v>0</v>
      </c>
      <c r="R25" s="22">
        <f>IF($A25="","",ABS(SUMIFS('Raw daily data'!$F:$F,'Raw daily data'!$I:$I,$A25,'Raw daily data'!$F:$F,"&lt;0")))</f>
        <v>0</v>
      </c>
      <c r="S25" s="79" t="str">
        <f t="shared" si="3"/>
        <v/>
      </c>
      <c r="T25" s="12" t="str">
        <f t="shared" si="4"/>
        <v/>
      </c>
      <c r="U25" s="49" t="str">
        <f t="shared" si="5"/>
        <v/>
      </c>
      <c r="V25" s="79">
        <f t="shared" si="6"/>
        <v>0</v>
      </c>
      <c r="W25" s="22">
        <f>IF($A25="","",_xlfn.MAXIFS('Raw daily data'!$J:$J,'Raw daily data'!$I:$I,$A25))</f>
        <v>0</v>
      </c>
      <c r="X25" s="79">
        <f t="shared" si="7"/>
        <v>0</v>
      </c>
      <c r="Y25" s="79" t="str">
        <f>IFERROR(IF($A25="","",ABS(MIN(0,_xlfn.MINIFS('Raw daily data'!$J:$J,'Raw daily data'!$I:$I,$A25)))/G25),"")</f>
        <v/>
      </c>
    </row>
    <row r="26" spans="1:25">
      <c r="A26" s="180">
        <v>46057</v>
      </c>
      <c r="B26" s="181">
        <v>4</v>
      </c>
      <c r="C26" s="181" t="str">
        <f t="shared" si="0"/>
        <v>Wednesday</v>
      </c>
      <c r="D26" s="181"/>
      <c r="E26" s="181"/>
      <c r="F26" s="183">
        <f>IF($A26="","",$E26*Summary!$B$8)</f>
        <v>0</v>
      </c>
      <c r="G26" s="183">
        <f>IF($A26="","",F26*Summary!$B$9)</f>
        <v>0</v>
      </c>
      <c r="H26" s="171">
        <f>IF($A26="","",SUMIFS('Raw daily data'!$F:$F,'Raw daily data'!$I:$I,$A26))</f>
        <v>0</v>
      </c>
      <c r="I26" s="171">
        <f t="shared" si="9"/>
        <v>515.0023</v>
      </c>
      <c r="J26" s="171">
        <f t="shared" si="1"/>
        <v>0</v>
      </c>
      <c r="K26" s="171">
        <f>Summary!$B$6</f>
        <v>5000</v>
      </c>
      <c r="L26" s="171">
        <f t="shared" si="2"/>
        <v>-5000</v>
      </c>
      <c r="N26">
        <f>IF($A26="","",COUNTIFS('Raw daily data'!$I:$I,$A26))</f>
        <v>0</v>
      </c>
      <c r="O26">
        <f>IF($A26="","",COUNTIFS('Raw daily data'!$I:$I,$A26,'Raw daily data'!$F:$F,"&gt;0"))</f>
        <v>0</v>
      </c>
      <c r="P26">
        <f>IF($A26="","",COUNTIFS('Raw daily data'!$I:$I,$A26,'Raw daily data'!$F:$F,"&lt;0"))</f>
        <v>0</v>
      </c>
      <c r="Q26" s="22">
        <f>IF($A26="","",SUMIFS('Raw daily data'!$F:$F,'Raw daily data'!$I:$I,$A26,'Raw daily data'!$F:$F,"&gt;0"))</f>
        <v>0</v>
      </c>
      <c r="R26" s="22">
        <f>IF($A26="","",ABS(SUMIFS('Raw daily data'!$F:$F,'Raw daily data'!$I:$I,$A26,'Raw daily data'!$F:$F,"&lt;0")))</f>
        <v>0</v>
      </c>
      <c r="S26" s="79" t="str">
        <f t="shared" si="3"/>
        <v/>
      </c>
      <c r="T26" s="12" t="str">
        <f t="shared" si="4"/>
        <v/>
      </c>
      <c r="U26" s="49" t="str">
        <f t="shared" si="5"/>
        <v/>
      </c>
      <c r="V26" s="79">
        <f t="shared" si="6"/>
        <v>0</v>
      </c>
      <c r="W26" s="22">
        <f>IF($A26="","",_xlfn.MAXIFS('Raw daily data'!$J:$J,'Raw daily data'!$I:$I,$A26))</f>
        <v>0</v>
      </c>
      <c r="X26" s="79">
        <f t="shared" si="7"/>
        <v>0</v>
      </c>
      <c r="Y26" s="79" t="str">
        <f>IFERROR(IF($A26="","",ABS(MIN(0,_xlfn.MINIFS('Raw daily data'!$J:$J,'Raw daily data'!$I:$I,$A26)))/G26),"")</f>
        <v/>
      </c>
    </row>
    <row r="27" spans="1:25">
      <c r="A27" s="180">
        <v>46058</v>
      </c>
      <c r="B27" s="181">
        <v>4</v>
      </c>
      <c r="C27" s="181" t="str">
        <f t="shared" si="0"/>
        <v>Thursday</v>
      </c>
      <c r="D27" s="181"/>
      <c r="E27" s="181"/>
      <c r="F27" s="183">
        <f>IF($A27="","",$E27*Summary!$B$8)</f>
        <v>0</v>
      </c>
      <c r="G27" s="183">
        <f>IF($A27="","",F27*Summary!$B$9)</f>
        <v>0</v>
      </c>
      <c r="H27" s="171">
        <f>IF($A27="","",SUMIFS('Raw daily data'!$F:$F,'Raw daily data'!$I:$I,$A27))</f>
        <v>0</v>
      </c>
      <c r="I27" s="171">
        <f t="shared" si="9"/>
        <v>515.0023</v>
      </c>
      <c r="J27" s="171">
        <f t="shared" si="1"/>
        <v>0</v>
      </c>
      <c r="K27" s="171">
        <f>Summary!$B$6</f>
        <v>5000</v>
      </c>
      <c r="L27" s="171">
        <f t="shared" si="2"/>
        <v>-5000</v>
      </c>
      <c r="N27">
        <f>IF($A27="","",COUNTIFS('Raw daily data'!$I:$I,$A27))</f>
        <v>0</v>
      </c>
      <c r="O27">
        <f>IF($A27="","",COUNTIFS('Raw daily data'!$I:$I,$A27,'Raw daily data'!$F:$F,"&gt;0"))</f>
        <v>0</v>
      </c>
      <c r="P27">
        <f>IF($A27="","",COUNTIFS('Raw daily data'!$I:$I,$A27,'Raw daily data'!$F:$F,"&lt;0"))</f>
        <v>0</v>
      </c>
      <c r="Q27" s="22">
        <f>IF($A27="","",SUMIFS('Raw daily data'!$F:$F,'Raw daily data'!$I:$I,$A27,'Raw daily data'!$F:$F,"&gt;0"))</f>
        <v>0</v>
      </c>
      <c r="R27" s="22">
        <f>IF($A27="","",ABS(SUMIFS('Raw daily data'!$F:$F,'Raw daily data'!$I:$I,$A27,'Raw daily data'!$F:$F,"&lt;0")))</f>
        <v>0</v>
      </c>
      <c r="S27" s="79" t="str">
        <f t="shared" si="3"/>
        <v/>
      </c>
      <c r="T27" s="12" t="str">
        <f t="shared" si="4"/>
        <v/>
      </c>
      <c r="U27" s="49" t="str">
        <f t="shared" si="5"/>
        <v/>
      </c>
      <c r="V27" s="79">
        <f t="shared" si="6"/>
        <v>0</v>
      </c>
      <c r="W27" s="22">
        <f>IF($A27="","",_xlfn.MAXIFS('Raw daily data'!$J:$J,'Raw daily data'!$I:$I,$A27))</f>
        <v>0</v>
      </c>
      <c r="X27" s="79">
        <f t="shared" si="7"/>
        <v>0</v>
      </c>
      <c r="Y27" s="79" t="str">
        <f>IFERROR(IF($A27="","",ABS(MIN(0,_xlfn.MINIFS('Raw daily data'!$J:$J,'Raw daily data'!$I:$I,$A27)))/G27),"")</f>
        <v/>
      </c>
    </row>
    <row r="28" spans="1:25">
      <c r="A28" s="180">
        <v>46059</v>
      </c>
      <c r="B28" s="181">
        <v>4</v>
      </c>
      <c r="C28" s="181" t="str">
        <f t="shared" si="0"/>
        <v>Friday</v>
      </c>
      <c r="D28" s="181"/>
      <c r="E28" s="181"/>
      <c r="F28" s="183">
        <f>IF($A28="","",$E28*Summary!$B$8)</f>
        <v>0</v>
      </c>
      <c r="G28" s="183">
        <f>IF($A28="","",F28*Summary!$B$9)</f>
        <v>0</v>
      </c>
      <c r="H28" s="171">
        <f>IF($A28="","",SUMIFS('Raw daily data'!$F:$F,'Raw daily data'!$I:$I,$A28))</f>
        <v>0</v>
      </c>
      <c r="I28" s="171">
        <f t="shared" si="9"/>
        <v>515.0023</v>
      </c>
      <c r="J28" s="171">
        <f t="shared" si="1"/>
        <v>0</v>
      </c>
      <c r="K28" s="171">
        <f>Summary!$B$6</f>
        <v>5000</v>
      </c>
      <c r="L28" s="171">
        <f t="shared" si="2"/>
        <v>-5000</v>
      </c>
      <c r="N28">
        <f>IF($A28="","",COUNTIFS('Raw daily data'!$I:$I,$A28))</f>
        <v>0</v>
      </c>
      <c r="O28">
        <f>IF($A28="","",COUNTIFS('Raw daily data'!$I:$I,$A28,'Raw daily data'!$F:$F,"&gt;0"))</f>
        <v>0</v>
      </c>
      <c r="P28">
        <f>IF($A28="","",COUNTIFS('Raw daily data'!$I:$I,$A28,'Raw daily data'!$F:$F,"&lt;0"))</f>
        <v>0</v>
      </c>
      <c r="Q28" s="22">
        <f>IF($A28="","",SUMIFS('Raw daily data'!$F:$F,'Raw daily data'!$I:$I,$A28,'Raw daily data'!$F:$F,"&gt;0"))</f>
        <v>0</v>
      </c>
      <c r="R28" s="22">
        <f>IF($A28="","",ABS(SUMIFS('Raw daily data'!$F:$F,'Raw daily data'!$I:$I,$A28,'Raw daily data'!$F:$F,"&lt;0")))</f>
        <v>0</v>
      </c>
      <c r="S28" s="79" t="str">
        <f t="shared" si="3"/>
        <v/>
      </c>
      <c r="T28" s="12" t="str">
        <f t="shared" si="4"/>
        <v/>
      </c>
      <c r="U28" s="49" t="str">
        <f t="shared" si="5"/>
        <v/>
      </c>
      <c r="V28" s="79">
        <f t="shared" si="6"/>
        <v>0</v>
      </c>
      <c r="W28" s="22">
        <f>IF($A28="","",_xlfn.MAXIFS('Raw daily data'!$J:$J,'Raw daily data'!$I:$I,$A28))</f>
        <v>0</v>
      </c>
      <c r="X28" s="79">
        <f t="shared" si="7"/>
        <v>0</v>
      </c>
      <c r="Y28" s="79" t="str">
        <f>IFERROR(IF($A28="","",ABS(MIN(0,_xlfn.MINIFS('Raw daily data'!$J:$J,'Raw daily data'!$I:$I,$A28)))/G28),"")</f>
        <v/>
      </c>
    </row>
    <row r="29" spans="1:25">
      <c r="A29" s="180">
        <v>46060</v>
      </c>
      <c r="B29" s="181">
        <v>4</v>
      </c>
      <c r="C29" s="181" t="str">
        <f t="shared" si="0"/>
        <v>Saturday</v>
      </c>
      <c r="D29" s="181" t="s">
        <v>56</v>
      </c>
      <c r="E29" s="181"/>
      <c r="F29" s="183">
        <f>IF($A29="","",$E29*Summary!$B$8)</f>
        <v>0</v>
      </c>
      <c r="G29" s="183">
        <f>IF($A29="","",F29*Summary!$B$9)</f>
        <v>0</v>
      </c>
      <c r="H29" s="171">
        <f>IF($A29="","",SUMIFS('Raw daily data'!$F:$F,'Raw daily data'!$I:$I,$A29))</f>
        <v>0</v>
      </c>
      <c r="I29" s="171">
        <f t="shared" si="9"/>
        <v>515.0023</v>
      </c>
      <c r="J29" s="171">
        <f t="shared" si="1"/>
        <v>0</v>
      </c>
      <c r="K29" s="171">
        <f>Summary!$B$6</f>
        <v>5000</v>
      </c>
      <c r="L29" s="171">
        <f t="shared" si="2"/>
        <v>-5000</v>
      </c>
      <c r="N29">
        <f>IF($A29="","",COUNTIFS('Raw daily data'!$I:$I,$A29))</f>
        <v>0</v>
      </c>
      <c r="O29">
        <f>IF($A29="","",COUNTIFS('Raw daily data'!$I:$I,$A29,'Raw daily data'!$F:$F,"&gt;0"))</f>
        <v>0</v>
      </c>
      <c r="P29">
        <f>IF($A29="","",COUNTIFS('Raw daily data'!$I:$I,$A29,'Raw daily data'!$F:$F,"&lt;0"))</f>
        <v>0</v>
      </c>
      <c r="Q29" s="22">
        <f>IF($A29="","",SUMIFS('Raw daily data'!$F:$F,'Raw daily data'!$I:$I,$A29,'Raw daily data'!$F:$F,"&gt;0"))</f>
        <v>0</v>
      </c>
      <c r="R29" s="22">
        <f>IF($A29="","",ABS(SUMIFS('Raw daily data'!$F:$F,'Raw daily data'!$I:$I,$A29,'Raw daily data'!$F:$F,"&lt;0")))</f>
        <v>0</v>
      </c>
      <c r="S29" s="79" t="str">
        <f t="shared" si="3"/>
        <v/>
      </c>
      <c r="T29" s="12" t="str">
        <f t="shared" si="4"/>
        <v/>
      </c>
      <c r="U29" s="49" t="str">
        <f t="shared" si="5"/>
        <v/>
      </c>
      <c r="V29" s="79">
        <f t="shared" si="6"/>
        <v>0</v>
      </c>
      <c r="W29" s="22">
        <f>IF($A29="","",_xlfn.MAXIFS('Raw daily data'!$J:$J,'Raw daily data'!$I:$I,$A29))</f>
        <v>0</v>
      </c>
      <c r="X29" s="79">
        <f t="shared" si="7"/>
        <v>0</v>
      </c>
      <c r="Y29" s="79" t="str">
        <f>IFERROR(IF($A29="","",ABS(MIN(0,_xlfn.MINIFS('Raw daily data'!$J:$J,'Raw daily data'!$I:$I,$A29)))/G29),"")</f>
        <v/>
      </c>
    </row>
    <row r="30" spans="1:25">
      <c r="A30" s="180">
        <v>46061</v>
      </c>
      <c r="B30" s="181">
        <v>4</v>
      </c>
      <c r="C30" s="181" t="str">
        <f t="shared" si="0"/>
        <v>Sunday</v>
      </c>
      <c r="D30" s="181" t="s">
        <v>56</v>
      </c>
      <c r="E30" s="181"/>
      <c r="F30" s="183">
        <f>IF($A30="","",$E30*Summary!$B$8)</f>
        <v>0</v>
      </c>
      <c r="G30" s="183">
        <f>IF($A30="","",F30*Summary!$B$9)</f>
        <v>0</v>
      </c>
      <c r="H30" s="171">
        <f>IF($A30="","",SUMIFS('Raw daily data'!$F:$F,'Raw daily data'!$I:$I,$A30))</f>
        <v>0</v>
      </c>
      <c r="I30" s="171">
        <f t="shared" si="9"/>
        <v>515.0023</v>
      </c>
      <c r="J30" s="171">
        <f t="shared" si="1"/>
        <v>0</v>
      </c>
      <c r="K30" s="171">
        <f>Summary!$B$6</f>
        <v>5000</v>
      </c>
      <c r="L30" s="171">
        <f t="shared" si="2"/>
        <v>-5000</v>
      </c>
      <c r="N30">
        <f>IF($A30="","",COUNTIFS('Raw daily data'!$I:$I,$A30))</f>
        <v>0</v>
      </c>
      <c r="O30">
        <f>IF($A30="","",COUNTIFS('Raw daily data'!$I:$I,$A30,'Raw daily data'!$F:$F,"&gt;0"))</f>
        <v>0</v>
      </c>
      <c r="P30">
        <f>IF($A30="","",COUNTIFS('Raw daily data'!$I:$I,$A30,'Raw daily data'!$F:$F,"&lt;0"))</f>
        <v>0</v>
      </c>
      <c r="Q30" s="22">
        <f>IF($A30="","",SUMIFS('Raw daily data'!$F:$F,'Raw daily data'!$I:$I,$A30,'Raw daily data'!$F:$F,"&gt;0"))</f>
        <v>0</v>
      </c>
      <c r="R30" s="22">
        <f>IF($A30="","",ABS(SUMIFS('Raw daily data'!$F:$F,'Raw daily data'!$I:$I,$A30,'Raw daily data'!$F:$F,"&lt;0")))</f>
        <v>0</v>
      </c>
      <c r="S30" s="79" t="str">
        <f t="shared" si="3"/>
        <v/>
      </c>
      <c r="T30" s="12" t="str">
        <f t="shared" si="4"/>
        <v/>
      </c>
      <c r="U30" s="49" t="str">
        <f t="shared" si="5"/>
        <v/>
      </c>
      <c r="V30" s="79">
        <f t="shared" si="6"/>
        <v>0</v>
      </c>
      <c r="W30" s="22">
        <f>IF($A30="","",_xlfn.MAXIFS('Raw daily data'!$J:$J,'Raw daily data'!$I:$I,$A30))</f>
        <v>0</v>
      </c>
      <c r="X30" s="79">
        <f t="shared" si="7"/>
        <v>0</v>
      </c>
      <c r="Y30" s="79" t="str">
        <f>IFERROR(IF($A30="","",ABS(MIN(0,_xlfn.MINIFS('Raw daily data'!$J:$J,'Raw daily data'!$I:$I,$A30)))/G30),"")</f>
        <v/>
      </c>
    </row>
    <row r="31" spans="1:25">
      <c r="A31" s="180">
        <v>46062</v>
      </c>
      <c r="B31" s="181"/>
      <c r="C31" s="181" t="str">
        <f t="shared" si="0"/>
        <v>Monday</v>
      </c>
      <c r="D31" s="181"/>
      <c r="E31" s="181"/>
      <c r="F31" s="183">
        <f>IF($A31="","",$E31*Summary!$B$8)</f>
        <v>0</v>
      </c>
      <c r="G31" s="183">
        <f>IF($A31="","",F31*Summary!$B$9)</f>
        <v>0</v>
      </c>
      <c r="H31" s="171">
        <f>IF($A31="","",SUMIFS('Raw daily data'!$F:$F,'Raw daily data'!$I:$I,$A31))</f>
        <v>0</v>
      </c>
      <c r="I31" s="171">
        <f t="shared" si="9"/>
        <v>515.0023</v>
      </c>
      <c r="J31" s="171">
        <f t="shared" si="1"/>
        <v>0</v>
      </c>
      <c r="K31" s="171">
        <f>Summary!$B$6</f>
        <v>5000</v>
      </c>
      <c r="L31" s="171">
        <f t="shared" si="2"/>
        <v>-5000</v>
      </c>
      <c r="N31">
        <f>IF($A31="","",COUNTIFS('Raw daily data'!$I:$I,$A31))</f>
        <v>0</v>
      </c>
      <c r="O31">
        <f>IF($A31="","",COUNTIFS('Raw daily data'!$I:$I,$A31,'Raw daily data'!$F:$F,"&gt;0"))</f>
        <v>0</v>
      </c>
      <c r="P31">
        <f>IF($A31="","",COUNTIFS('Raw daily data'!$I:$I,$A31,'Raw daily data'!$F:$F,"&lt;0"))</f>
        <v>0</v>
      </c>
      <c r="Q31" s="22">
        <f>IF($A31="","",SUMIFS('Raw daily data'!$F:$F,'Raw daily data'!$I:$I,$A31,'Raw daily data'!$F:$F,"&gt;0"))</f>
        <v>0</v>
      </c>
      <c r="R31" s="22">
        <f>IF($A31="","",ABS(SUMIFS('Raw daily data'!$F:$F,'Raw daily data'!$I:$I,$A31,'Raw daily data'!$F:$F,"&lt;0")))</f>
        <v>0</v>
      </c>
      <c r="S31" s="79" t="str">
        <f t="shared" si="3"/>
        <v/>
      </c>
      <c r="T31" s="12" t="str">
        <f t="shared" si="4"/>
        <v/>
      </c>
      <c r="U31" s="49" t="str">
        <f t="shared" si="5"/>
        <v/>
      </c>
      <c r="V31" s="79">
        <f t="shared" si="6"/>
        <v>0</v>
      </c>
      <c r="W31" s="22">
        <f>IF($A31="","",_xlfn.MAXIFS('Raw daily data'!$J:$J,'Raw daily data'!$I:$I,$A31))</f>
        <v>0</v>
      </c>
      <c r="X31" s="79">
        <f t="shared" si="7"/>
        <v>0</v>
      </c>
      <c r="Y31" s="79" t="str">
        <f>IFERROR(IF($A31="","",ABS(MIN(0,_xlfn.MINIFS('Raw daily data'!$J:$J,'Raw daily data'!$I:$I,$A31)))/G31),"")</f>
        <v/>
      </c>
    </row>
    <row r="32" spans="1:25">
      <c r="A32" s="180">
        <v>46063</v>
      </c>
      <c r="B32" s="181"/>
      <c r="C32" s="181" t="str">
        <f t="shared" si="0"/>
        <v>Tuesday</v>
      </c>
      <c r="D32" s="181"/>
      <c r="E32" s="181"/>
      <c r="F32" s="183">
        <f>IF($A32="","",$E32*Summary!$B$8)</f>
        <v>0</v>
      </c>
      <c r="G32" s="183">
        <f>IF($A32="","",F32*Summary!$B$9)</f>
        <v>0</v>
      </c>
      <c r="H32" s="171">
        <f>IF($A32="","",SUMIFS('Raw daily data'!$F:$F,'Raw daily data'!$I:$I,$A32))</f>
        <v>0</v>
      </c>
      <c r="I32" s="171">
        <f t="shared" si="9"/>
        <v>515.0023</v>
      </c>
      <c r="J32" s="171">
        <f t="shared" si="1"/>
        <v>0</v>
      </c>
      <c r="K32" s="171">
        <f>Summary!$B$6</f>
        <v>5000</v>
      </c>
      <c r="L32" s="171">
        <f t="shared" si="2"/>
        <v>-5000</v>
      </c>
      <c r="N32">
        <f>IF($A32="","",COUNTIFS('Raw daily data'!$I:$I,$A32))</f>
        <v>0</v>
      </c>
      <c r="O32">
        <f>IF($A32="","",COUNTIFS('Raw daily data'!$I:$I,$A32,'Raw daily data'!$F:$F,"&gt;0"))</f>
        <v>0</v>
      </c>
      <c r="P32">
        <f>IF($A32="","",COUNTIFS('Raw daily data'!$I:$I,$A32,'Raw daily data'!$F:$F,"&lt;0"))</f>
        <v>0</v>
      </c>
      <c r="Q32" s="22">
        <f>IF($A32="","",SUMIFS('Raw daily data'!$F:$F,'Raw daily data'!$I:$I,$A32,'Raw daily data'!$F:$F,"&gt;0"))</f>
        <v>0</v>
      </c>
      <c r="R32" s="22">
        <f>IF($A32="","",ABS(SUMIFS('Raw daily data'!$F:$F,'Raw daily data'!$I:$I,$A32,'Raw daily data'!$F:$F,"&lt;0")))</f>
        <v>0</v>
      </c>
      <c r="S32" s="79" t="str">
        <f t="shared" si="3"/>
        <v/>
      </c>
      <c r="T32" s="12" t="str">
        <f t="shared" si="4"/>
        <v/>
      </c>
      <c r="U32" s="49" t="str">
        <f t="shared" si="5"/>
        <v/>
      </c>
      <c r="V32" s="79">
        <f t="shared" si="6"/>
        <v>0</v>
      </c>
      <c r="W32" s="22">
        <f>IF($A32="","",_xlfn.MAXIFS('Raw daily data'!$J:$J,'Raw daily data'!$I:$I,$A32))</f>
        <v>0</v>
      </c>
      <c r="X32" s="79">
        <f t="shared" si="7"/>
        <v>0</v>
      </c>
      <c r="Y32" s="79" t="str">
        <f>IFERROR(IF($A32="","",ABS(MIN(0,_xlfn.MINIFS('Raw daily data'!$J:$J,'Raw daily data'!$I:$I,$A32)))/G32),"")</f>
        <v/>
      </c>
    </row>
    <row r="33" spans="1:25">
      <c r="A33" s="180">
        <v>46064</v>
      </c>
      <c r="B33" s="181"/>
      <c r="C33" s="181" t="str">
        <f t="shared" si="0"/>
        <v>Wednesday</v>
      </c>
      <c r="D33" s="181"/>
      <c r="E33" s="181"/>
      <c r="F33" s="183">
        <f>IF($A33="","",$E33*Summary!$B$8)</f>
        <v>0</v>
      </c>
      <c r="G33" s="183">
        <f>IF($A33="","",F33*Summary!$B$9)</f>
        <v>0</v>
      </c>
      <c r="H33" s="171">
        <f>IF($A33="","",SUMIFS('Raw daily data'!$F:$F,'Raw daily data'!$I:$I,$A33))</f>
        <v>0</v>
      </c>
      <c r="I33" s="171">
        <f t="shared" si="9"/>
        <v>515.0023</v>
      </c>
      <c r="J33" s="171">
        <f t="shared" si="1"/>
        <v>0</v>
      </c>
      <c r="K33" s="171">
        <f>Summary!$B$6</f>
        <v>5000</v>
      </c>
      <c r="L33" s="171">
        <f t="shared" si="2"/>
        <v>-5000</v>
      </c>
      <c r="N33">
        <f>IF($A33="","",COUNTIFS('Raw daily data'!$I:$I,$A33))</f>
        <v>0</v>
      </c>
      <c r="O33">
        <f>IF($A33="","",COUNTIFS('Raw daily data'!$I:$I,$A33,'Raw daily data'!$F:$F,"&gt;0"))</f>
        <v>0</v>
      </c>
      <c r="P33">
        <f>IF($A33="","",COUNTIFS('Raw daily data'!$I:$I,$A33,'Raw daily data'!$F:$F,"&lt;0"))</f>
        <v>0</v>
      </c>
      <c r="Q33" s="22">
        <f>IF($A33="","",SUMIFS('Raw daily data'!$F:$F,'Raw daily data'!$I:$I,$A33,'Raw daily data'!$F:$F,"&gt;0"))</f>
        <v>0</v>
      </c>
      <c r="R33" s="22">
        <f>IF($A33="","",ABS(SUMIFS('Raw daily data'!$F:$F,'Raw daily data'!$I:$I,$A33,'Raw daily data'!$F:$F,"&lt;0")))</f>
        <v>0</v>
      </c>
      <c r="S33" s="79" t="str">
        <f t="shared" si="3"/>
        <v/>
      </c>
      <c r="T33" s="12" t="str">
        <f t="shared" si="4"/>
        <v/>
      </c>
      <c r="U33" s="49" t="str">
        <f t="shared" si="5"/>
        <v/>
      </c>
      <c r="V33" s="79">
        <f t="shared" si="6"/>
        <v>0</v>
      </c>
      <c r="W33" s="22">
        <f>IF($A33="","",_xlfn.MAXIFS('Raw daily data'!$J:$J,'Raw daily data'!$I:$I,$A33))</f>
        <v>0</v>
      </c>
      <c r="X33" s="79">
        <f t="shared" si="7"/>
        <v>0</v>
      </c>
      <c r="Y33" s="79" t="str">
        <f>IFERROR(IF($A33="","",ABS(MIN(0,_xlfn.MINIFS('Raw daily data'!$J:$J,'Raw daily data'!$I:$I,$A33)))/G33),"")</f>
        <v/>
      </c>
    </row>
    <row r="34" spans="1:25">
      <c r="A34" s="180">
        <v>46065</v>
      </c>
      <c r="B34" s="181"/>
      <c r="C34" s="181" t="str">
        <f t="shared" si="0"/>
        <v>Thursday</v>
      </c>
      <c r="D34" s="181"/>
      <c r="E34" s="181"/>
      <c r="F34" s="183">
        <f>IF($A34="","",$E34*Summary!$B$8)</f>
        <v>0</v>
      </c>
      <c r="G34" s="183">
        <f>IF($A34="","",F34*Summary!$B$9)</f>
        <v>0</v>
      </c>
      <c r="H34" s="171">
        <f>IF($A34="","",SUMIFS('Raw daily data'!$F:$F,'Raw daily data'!$I:$I,$A34))</f>
        <v>0</v>
      </c>
      <c r="I34" s="171">
        <f t="shared" si="9"/>
        <v>515.0023</v>
      </c>
      <c r="J34" s="171">
        <f t="shared" si="1"/>
        <v>0</v>
      </c>
      <c r="K34" s="171">
        <f>Summary!$B$6</f>
        <v>5000</v>
      </c>
      <c r="L34" s="171">
        <f t="shared" si="2"/>
        <v>-5000</v>
      </c>
      <c r="N34">
        <f>IF($A34="","",COUNTIFS('Raw daily data'!$I:$I,$A34))</f>
        <v>0</v>
      </c>
      <c r="O34">
        <f>IF($A34="","",COUNTIFS('Raw daily data'!$I:$I,$A34,'Raw daily data'!$F:$F,"&gt;0"))</f>
        <v>0</v>
      </c>
      <c r="P34">
        <f>IF($A34="","",COUNTIFS('Raw daily data'!$I:$I,$A34,'Raw daily data'!$F:$F,"&lt;0"))</f>
        <v>0</v>
      </c>
      <c r="Q34" s="22">
        <f>IF($A34="","",SUMIFS('Raw daily data'!$F:$F,'Raw daily data'!$I:$I,$A34,'Raw daily data'!$F:$F,"&gt;0"))</f>
        <v>0</v>
      </c>
      <c r="R34" s="22">
        <f>IF($A34="","",ABS(SUMIFS('Raw daily data'!$F:$F,'Raw daily data'!$I:$I,$A34,'Raw daily data'!$F:$F,"&lt;0")))</f>
        <v>0</v>
      </c>
      <c r="S34" s="79" t="str">
        <f t="shared" si="3"/>
        <v/>
      </c>
      <c r="T34" s="12" t="str">
        <f t="shared" si="4"/>
        <v/>
      </c>
      <c r="U34" s="49" t="str">
        <f t="shared" si="5"/>
        <v/>
      </c>
      <c r="V34" s="79">
        <f t="shared" si="6"/>
        <v>0</v>
      </c>
      <c r="W34" s="22">
        <f>IF($A34="","",_xlfn.MAXIFS('Raw daily data'!$J:$J,'Raw daily data'!$I:$I,$A34))</f>
        <v>0</v>
      </c>
      <c r="X34" s="79">
        <f t="shared" si="7"/>
        <v>0</v>
      </c>
      <c r="Y34" s="79" t="str">
        <f>IFERROR(IF($A34="","",ABS(MIN(0,_xlfn.MINIFS('Raw daily data'!$J:$J,'Raw daily data'!$I:$I,$A34)))/G34),"")</f>
        <v/>
      </c>
    </row>
    <row r="35" spans="1:25">
      <c r="A35" s="180">
        <v>46066</v>
      </c>
      <c r="B35" s="181"/>
      <c r="C35" s="181" t="str">
        <f t="shared" si="0"/>
        <v>Friday</v>
      </c>
      <c r="D35" s="181"/>
      <c r="E35" s="181"/>
      <c r="F35" s="183">
        <f>IF($A35="","",$E35*Summary!$B$8)</f>
        <v>0</v>
      </c>
      <c r="G35" s="183">
        <f>IF($A35="","",F35*Summary!$B$9)</f>
        <v>0</v>
      </c>
      <c r="H35" s="171">
        <f>IF($A35="","",SUMIFS('Raw daily data'!$F:$F,'Raw daily data'!$I:$I,$A35))</f>
        <v>0</v>
      </c>
      <c r="I35" s="171">
        <f t="shared" si="9"/>
        <v>515.0023</v>
      </c>
      <c r="J35" s="171">
        <f t="shared" si="1"/>
        <v>0</v>
      </c>
      <c r="K35" s="171">
        <f>Summary!$B$6</f>
        <v>5000</v>
      </c>
      <c r="L35" s="171">
        <f t="shared" si="2"/>
        <v>-5000</v>
      </c>
      <c r="N35">
        <f>IF($A35="","",COUNTIFS('Raw daily data'!$I:$I,$A35))</f>
        <v>0</v>
      </c>
      <c r="O35">
        <f>IF($A35="","",COUNTIFS('Raw daily data'!$I:$I,$A35,'Raw daily data'!$F:$F,"&gt;0"))</f>
        <v>0</v>
      </c>
      <c r="P35">
        <f>IF($A35="","",COUNTIFS('Raw daily data'!$I:$I,$A35,'Raw daily data'!$F:$F,"&lt;0"))</f>
        <v>0</v>
      </c>
      <c r="Q35" s="22">
        <f>IF($A35="","",SUMIFS('Raw daily data'!$F:$F,'Raw daily data'!$I:$I,$A35,'Raw daily data'!$F:$F,"&gt;0"))</f>
        <v>0</v>
      </c>
      <c r="R35" s="22">
        <f>IF($A35="","",ABS(SUMIFS('Raw daily data'!$F:$F,'Raw daily data'!$I:$I,$A35,'Raw daily data'!$F:$F,"&lt;0")))</f>
        <v>0</v>
      </c>
      <c r="S35" s="79" t="str">
        <f t="shared" si="3"/>
        <v/>
      </c>
      <c r="T35" s="12" t="str">
        <f t="shared" si="4"/>
        <v/>
      </c>
      <c r="U35" s="49" t="str">
        <f t="shared" si="5"/>
        <v/>
      </c>
      <c r="V35" s="79">
        <f t="shared" si="6"/>
        <v>0</v>
      </c>
      <c r="W35" s="22">
        <f>IF($A35="","",_xlfn.MAXIFS('Raw daily data'!$J:$J,'Raw daily data'!$I:$I,$A35))</f>
        <v>0</v>
      </c>
      <c r="X35" s="79">
        <f t="shared" si="7"/>
        <v>0</v>
      </c>
      <c r="Y35" s="79" t="str">
        <f>IFERROR(IF($A35="","",ABS(MIN(0,_xlfn.MINIFS('Raw daily data'!$J:$J,'Raw daily data'!$I:$I,$A35)))/G35),"")</f>
        <v/>
      </c>
    </row>
    <row r="36" spans="1:25">
      <c r="A36" s="180">
        <v>46067</v>
      </c>
      <c r="B36" s="181"/>
      <c r="C36" s="181" t="str">
        <f t="shared" si="0"/>
        <v>Saturday</v>
      </c>
      <c r="D36" s="181"/>
      <c r="E36" s="181"/>
      <c r="F36" s="183">
        <f>IF($A36="","",$E36*Summary!$B$8)</f>
        <v>0</v>
      </c>
      <c r="G36" s="183">
        <f>IF($A36="","",F36*Summary!$B$9)</f>
        <v>0</v>
      </c>
      <c r="H36" s="171">
        <f>IF($A36="","",SUMIFS('Raw daily data'!$F:$F,'Raw daily data'!$I:$I,$A36))</f>
        <v>0</v>
      </c>
      <c r="I36" s="171">
        <f t="shared" si="9"/>
        <v>515.0023</v>
      </c>
      <c r="J36" s="171">
        <f t="shared" si="1"/>
        <v>0</v>
      </c>
      <c r="K36" s="171">
        <f>Summary!$B$6</f>
        <v>5000</v>
      </c>
      <c r="L36" s="171">
        <f t="shared" si="2"/>
        <v>-5000</v>
      </c>
      <c r="N36">
        <f>IF($A36="","",COUNTIFS('Raw daily data'!$I:$I,$A36))</f>
        <v>0</v>
      </c>
      <c r="O36">
        <f>IF($A36="","",COUNTIFS('Raw daily data'!$I:$I,$A36,'Raw daily data'!$F:$F,"&gt;0"))</f>
        <v>0</v>
      </c>
      <c r="P36">
        <f>IF($A36="","",COUNTIFS('Raw daily data'!$I:$I,$A36,'Raw daily data'!$F:$F,"&lt;0"))</f>
        <v>0</v>
      </c>
      <c r="Q36" s="22">
        <f>IF($A36="","",SUMIFS('Raw daily data'!$F:$F,'Raw daily data'!$I:$I,$A36,'Raw daily data'!$F:$F,"&gt;0"))</f>
        <v>0</v>
      </c>
      <c r="R36" s="22">
        <f>IF($A36="","",ABS(SUMIFS('Raw daily data'!$F:$F,'Raw daily data'!$I:$I,$A36,'Raw daily data'!$F:$F,"&lt;0")))</f>
        <v>0</v>
      </c>
      <c r="S36" s="79" t="str">
        <f t="shared" si="3"/>
        <v/>
      </c>
      <c r="T36" s="12" t="str">
        <f t="shared" si="4"/>
        <v/>
      </c>
      <c r="U36" s="49" t="str">
        <f t="shared" si="5"/>
        <v/>
      </c>
      <c r="V36" s="79">
        <f t="shared" si="6"/>
        <v>0</v>
      </c>
      <c r="W36" s="22">
        <f>IF($A36="","",_xlfn.MAXIFS('Raw daily data'!$J:$J,'Raw daily data'!$I:$I,$A36))</f>
        <v>0</v>
      </c>
      <c r="X36" s="79">
        <f t="shared" si="7"/>
        <v>0</v>
      </c>
      <c r="Y36" s="79" t="str">
        <f>IFERROR(IF($A36="","",ABS(MIN(0,_xlfn.MINIFS('Raw daily data'!$J:$J,'Raw daily data'!$I:$I,$A36)))/G36),"")</f>
        <v/>
      </c>
    </row>
    <row r="37" spans="1:25">
      <c r="A37" s="180">
        <v>46068</v>
      </c>
      <c r="B37" s="181"/>
      <c r="C37" s="181" t="str">
        <f t="shared" si="0"/>
        <v>Sunday</v>
      </c>
      <c r="D37" s="181"/>
      <c r="E37" s="181"/>
      <c r="F37" s="183">
        <f>IF($A37="","",$E37*Summary!$B$8)</f>
        <v>0</v>
      </c>
      <c r="G37" s="183">
        <f>IF($A37="","",F37*Summary!$B$9)</f>
        <v>0</v>
      </c>
      <c r="H37" s="171">
        <f>IF($A37="","",SUMIFS('Raw daily data'!$F:$F,'Raw daily data'!$I:$I,$A37))</f>
        <v>0</v>
      </c>
      <c r="I37" s="171">
        <f t="shared" si="9"/>
        <v>515.0023</v>
      </c>
      <c r="J37" s="171">
        <f t="shared" si="1"/>
        <v>0</v>
      </c>
      <c r="K37" s="171">
        <f>Summary!$B$6</f>
        <v>5000</v>
      </c>
      <c r="L37" s="171">
        <f t="shared" si="2"/>
        <v>-5000</v>
      </c>
      <c r="N37">
        <f>IF($A37="","",COUNTIFS('Raw daily data'!$I:$I,$A37))</f>
        <v>0</v>
      </c>
      <c r="O37">
        <f>IF($A37="","",COUNTIFS('Raw daily data'!$I:$I,$A37,'Raw daily data'!$F:$F,"&gt;0"))</f>
        <v>0</v>
      </c>
      <c r="P37">
        <f>IF($A37="","",COUNTIFS('Raw daily data'!$I:$I,$A37,'Raw daily data'!$F:$F,"&lt;0"))</f>
        <v>0</v>
      </c>
      <c r="Q37" s="22">
        <f>IF($A37="","",SUMIFS('Raw daily data'!$F:$F,'Raw daily data'!$I:$I,$A37,'Raw daily data'!$F:$F,"&gt;0"))</f>
        <v>0</v>
      </c>
      <c r="R37" s="22">
        <f>IF($A37="","",ABS(SUMIFS('Raw daily data'!$F:$F,'Raw daily data'!$I:$I,$A37,'Raw daily data'!$F:$F,"&lt;0")))</f>
        <v>0</v>
      </c>
      <c r="S37" s="79" t="str">
        <f t="shared" si="3"/>
        <v/>
      </c>
      <c r="T37" s="12" t="str">
        <f t="shared" si="4"/>
        <v/>
      </c>
      <c r="U37" s="49" t="str">
        <f t="shared" si="5"/>
        <v/>
      </c>
      <c r="V37" s="79">
        <f t="shared" si="6"/>
        <v>0</v>
      </c>
      <c r="W37" s="22">
        <f>IF($A37="","",_xlfn.MAXIFS('Raw daily data'!$J:$J,'Raw daily data'!$I:$I,$A37))</f>
        <v>0</v>
      </c>
      <c r="X37" s="79">
        <f t="shared" si="7"/>
        <v>0</v>
      </c>
      <c r="Y37" s="79" t="str">
        <f>IFERROR(IF($A37="","",ABS(MIN(0,_xlfn.MINIFS('Raw daily data'!$J:$J,'Raw daily data'!$I:$I,$A37)))/G37),"")</f>
        <v/>
      </c>
    </row>
    <row r="38" spans="1:25">
      <c r="A38" s="180">
        <v>46069</v>
      </c>
      <c r="B38" s="181"/>
      <c r="C38" s="181" t="str">
        <f t="shared" si="0"/>
        <v>Monday</v>
      </c>
      <c r="D38" s="181"/>
      <c r="E38" s="181"/>
      <c r="F38" s="183">
        <f>IF($A38="","",$E38*Summary!$B$8)</f>
        <v>0</v>
      </c>
      <c r="G38" s="183">
        <f>IF($A38="","",F38*Summary!$B$9)</f>
        <v>0</v>
      </c>
      <c r="H38" s="171">
        <f>IF($A38="","",SUMIFS('Raw daily data'!$F:$F,'Raw daily data'!$I:$I,$A38))</f>
        <v>0</v>
      </c>
      <c r="I38" s="171">
        <f t="shared" si="9"/>
        <v>515.0023</v>
      </c>
      <c r="J38" s="171">
        <f t="shared" si="1"/>
        <v>0</v>
      </c>
      <c r="K38" s="171">
        <f>Summary!$B$6</f>
        <v>5000</v>
      </c>
      <c r="L38" s="171">
        <f t="shared" si="2"/>
        <v>-5000</v>
      </c>
      <c r="N38">
        <f>IF($A38="","",COUNTIFS('Raw daily data'!$I:$I,$A38))</f>
        <v>0</v>
      </c>
      <c r="O38">
        <f>IF($A38="","",COUNTIFS('Raw daily data'!$I:$I,$A38,'Raw daily data'!$F:$F,"&gt;0"))</f>
        <v>0</v>
      </c>
      <c r="P38">
        <f>IF($A38="","",COUNTIFS('Raw daily data'!$I:$I,$A38,'Raw daily data'!$F:$F,"&lt;0"))</f>
        <v>0</v>
      </c>
      <c r="Q38" s="22">
        <f>IF($A38="","",SUMIFS('Raw daily data'!$F:$F,'Raw daily data'!$I:$I,$A38,'Raw daily data'!$F:$F,"&gt;0"))</f>
        <v>0</v>
      </c>
      <c r="R38" s="22">
        <f>IF($A38="","",ABS(SUMIFS('Raw daily data'!$F:$F,'Raw daily data'!$I:$I,$A38,'Raw daily data'!$F:$F,"&lt;0")))</f>
        <v>0</v>
      </c>
      <c r="S38" s="79" t="str">
        <f t="shared" si="3"/>
        <v/>
      </c>
      <c r="T38" s="12" t="str">
        <f t="shared" si="4"/>
        <v/>
      </c>
      <c r="U38" s="49" t="str">
        <f t="shared" si="5"/>
        <v/>
      </c>
      <c r="V38" s="79">
        <f t="shared" si="6"/>
        <v>0</v>
      </c>
      <c r="W38" s="22">
        <f>IF($A38="","",_xlfn.MAXIFS('Raw daily data'!$J:$J,'Raw daily data'!$I:$I,$A38))</f>
        <v>0</v>
      </c>
      <c r="X38" s="79">
        <f t="shared" si="7"/>
        <v>0</v>
      </c>
      <c r="Y38" s="79" t="str">
        <f>IFERROR(IF($A38="","",ABS(MIN(0,_xlfn.MINIFS('Raw daily data'!$J:$J,'Raw daily data'!$I:$I,$A38)))/G38),"")</f>
        <v/>
      </c>
    </row>
    <row r="39" spans="1:25">
      <c r="A39" s="180">
        <v>46070</v>
      </c>
      <c r="B39" s="181"/>
      <c r="C39" s="181" t="str">
        <f t="shared" si="0"/>
        <v>Tuesday</v>
      </c>
      <c r="D39" s="181"/>
      <c r="E39" s="181"/>
      <c r="F39" s="183">
        <f>IF($A39="","",$E39*Summary!$B$8)</f>
        <v>0</v>
      </c>
      <c r="G39" s="183">
        <f>IF($A39="","",F39*Summary!$B$9)</f>
        <v>0</v>
      </c>
      <c r="H39" s="171">
        <f>IF($A39="","",SUMIFS('Raw daily data'!$F:$F,'Raw daily data'!$I:$I,$A39))</f>
        <v>0</v>
      </c>
      <c r="I39" s="171">
        <f t="shared" si="9"/>
        <v>515.0023</v>
      </c>
      <c r="J39" s="171">
        <f t="shared" si="1"/>
        <v>0</v>
      </c>
      <c r="K39" s="171">
        <f>Summary!$B$6</f>
        <v>5000</v>
      </c>
      <c r="L39" s="171">
        <f t="shared" si="2"/>
        <v>-5000</v>
      </c>
      <c r="N39">
        <f>IF($A39="","",COUNTIFS('Raw daily data'!$I:$I,$A39))</f>
        <v>0</v>
      </c>
      <c r="O39">
        <f>IF($A39="","",COUNTIFS('Raw daily data'!$I:$I,$A39,'Raw daily data'!$F:$F,"&gt;0"))</f>
        <v>0</v>
      </c>
      <c r="P39">
        <f>IF($A39="","",COUNTIFS('Raw daily data'!$I:$I,$A39,'Raw daily data'!$F:$F,"&lt;0"))</f>
        <v>0</v>
      </c>
      <c r="Q39" s="22">
        <f>IF($A39="","",SUMIFS('Raw daily data'!$F:$F,'Raw daily data'!$I:$I,$A39,'Raw daily data'!$F:$F,"&gt;0"))</f>
        <v>0</v>
      </c>
      <c r="R39" s="22">
        <f>IF($A39="","",ABS(SUMIFS('Raw daily data'!$F:$F,'Raw daily data'!$I:$I,$A39,'Raw daily data'!$F:$F,"&lt;0")))</f>
        <v>0</v>
      </c>
      <c r="S39" s="79" t="str">
        <f t="shared" si="3"/>
        <v/>
      </c>
      <c r="T39" s="12" t="str">
        <f t="shared" si="4"/>
        <v/>
      </c>
      <c r="U39" s="49" t="str">
        <f t="shared" si="5"/>
        <v/>
      </c>
      <c r="V39" s="79">
        <f t="shared" si="6"/>
        <v>0</v>
      </c>
      <c r="W39" s="22">
        <f>IF($A39="","",_xlfn.MAXIFS('Raw daily data'!$J:$J,'Raw daily data'!$I:$I,$A39))</f>
        <v>0</v>
      </c>
      <c r="X39" s="79">
        <f t="shared" si="7"/>
        <v>0</v>
      </c>
      <c r="Y39" s="79" t="str">
        <f>IFERROR(IF($A39="","",ABS(MIN(0,_xlfn.MINIFS('Raw daily data'!$J:$J,'Raw daily data'!$I:$I,$A39)))/G39),"")</f>
        <v/>
      </c>
    </row>
    <row r="40" spans="1:25">
      <c r="A40" s="180">
        <v>46071</v>
      </c>
      <c r="B40" s="181"/>
      <c r="C40" s="181" t="str">
        <f t="shared" si="0"/>
        <v>Wednesday</v>
      </c>
      <c r="D40" s="181"/>
      <c r="E40" s="181"/>
      <c r="F40" s="183">
        <f>IF($A40="","",$E40*Summary!$B$8)</f>
        <v>0</v>
      </c>
      <c r="G40" s="183">
        <f>IF($A40="","",F40*Summary!$B$9)</f>
        <v>0</v>
      </c>
      <c r="H40" s="171">
        <f>IF($A40="","",SUMIFS('Raw daily data'!$F:$F,'Raw daily data'!$I:$I,$A40))</f>
        <v>0</v>
      </c>
      <c r="I40" s="171">
        <f t="shared" si="9"/>
        <v>515.0023</v>
      </c>
      <c r="J40" s="171">
        <f t="shared" si="1"/>
        <v>0</v>
      </c>
      <c r="K40" s="171">
        <f>Summary!$B$6</f>
        <v>5000</v>
      </c>
      <c r="L40" s="171">
        <f t="shared" si="2"/>
        <v>-5000</v>
      </c>
      <c r="N40">
        <f>IF($A40="","",COUNTIFS('Raw daily data'!$I:$I,$A40))</f>
        <v>0</v>
      </c>
      <c r="O40">
        <f>IF($A40="","",COUNTIFS('Raw daily data'!$I:$I,$A40,'Raw daily data'!$F:$F,"&gt;0"))</f>
        <v>0</v>
      </c>
      <c r="P40">
        <f>IF($A40="","",COUNTIFS('Raw daily data'!$I:$I,$A40,'Raw daily data'!$F:$F,"&lt;0"))</f>
        <v>0</v>
      </c>
      <c r="Q40" s="22">
        <f>IF($A40="","",SUMIFS('Raw daily data'!$F:$F,'Raw daily data'!$I:$I,$A40,'Raw daily data'!$F:$F,"&gt;0"))</f>
        <v>0</v>
      </c>
      <c r="R40" s="22">
        <f>IF($A40="","",ABS(SUMIFS('Raw daily data'!$F:$F,'Raw daily data'!$I:$I,$A40,'Raw daily data'!$F:$F,"&lt;0")))</f>
        <v>0</v>
      </c>
      <c r="S40" s="79" t="str">
        <f t="shared" si="3"/>
        <v/>
      </c>
      <c r="T40" s="12" t="str">
        <f t="shared" si="4"/>
        <v/>
      </c>
      <c r="U40" s="49" t="str">
        <f t="shared" si="5"/>
        <v/>
      </c>
      <c r="V40" s="79">
        <f t="shared" si="6"/>
        <v>0</v>
      </c>
      <c r="W40" s="22">
        <f>IF($A40="","",_xlfn.MAXIFS('Raw daily data'!$J:$J,'Raw daily data'!$I:$I,$A40))</f>
        <v>0</v>
      </c>
      <c r="X40" s="79">
        <f t="shared" si="7"/>
        <v>0</v>
      </c>
      <c r="Y40" s="79" t="str">
        <f>IFERROR(IF($A40="","",ABS(MIN(0,_xlfn.MINIFS('Raw daily data'!$J:$J,'Raw daily data'!$I:$I,$A40)))/G40),"")</f>
        <v/>
      </c>
    </row>
    <row r="41" spans="1:25">
      <c r="A41" s="180">
        <v>46072</v>
      </c>
      <c r="B41" s="181"/>
      <c r="C41" s="181" t="str">
        <f t="shared" si="0"/>
        <v>Thursday</v>
      </c>
      <c r="D41" s="181"/>
      <c r="E41" s="181"/>
      <c r="F41" s="183">
        <f>IF($A41="","",$E41*Summary!$B$8)</f>
        <v>0</v>
      </c>
      <c r="G41" s="183">
        <f>IF($A41="","",F41*Summary!$B$9)</f>
        <v>0</v>
      </c>
      <c r="H41" s="171">
        <f>IF($A41="","",SUMIFS('Raw daily data'!$F:$F,'Raw daily data'!$I:$I,$A41))</f>
        <v>0</v>
      </c>
      <c r="I41" s="171">
        <f t="shared" si="9"/>
        <v>515.0023</v>
      </c>
      <c r="J41" s="171">
        <f t="shared" si="1"/>
        <v>0</v>
      </c>
      <c r="K41" s="171">
        <f>Summary!$B$6</f>
        <v>5000</v>
      </c>
      <c r="L41" s="171">
        <f t="shared" si="2"/>
        <v>-5000</v>
      </c>
      <c r="N41">
        <f>IF($A41="","",COUNTIFS('Raw daily data'!$I:$I,$A41))</f>
        <v>0</v>
      </c>
      <c r="O41">
        <f>IF($A41="","",COUNTIFS('Raw daily data'!$I:$I,$A41,'Raw daily data'!$F:$F,"&gt;0"))</f>
        <v>0</v>
      </c>
      <c r="P41">
        <f>IF($A41="","",COUNTIFS('Raw daily data'!$I:$I,$A41,'Raw daily data'!$F:$F,"&lt;0"))</f>
        <v>0</v>
      </c>
      <c r="Q41" s="22">
        <f>IF($A41="","",SUMIFS('Raw daily data'!$F:$F,'Raw daily data'!$I:$I,$A41,'Raw daily data'!$F:$F,"&gt;0"))</f>
        <v>0</v>
      </c>
      <c r="R41" s="22">
        <f>IF($A41="","",ABS(SUMIFS('Raw daily data'!$F:$F,'Raw daily data'!$I:$I,$A41,'Raw daily data'!$F:$F,"&lt;0")))</f>
        <v>0</v>
      </c>
      <c r="S41" s="79" t="str">
        <f t="shared" si="3"/>
        <v/>
      </c>
      <c r="T41" s="12" t="str">
        <f t="shared" si="4"/>
        <v/>
      </c>
      <c r="U41" s="49" t="str">
        <f t="shared" si="5"/>
        <v/>
      </c>
      <c r="V41" s="79">
        <f t="shared" si="6"/>
        <v>0</v>
      </c>
      <c r="W41" s="22">
        <f>IF($A41="","",_xlfn.MAXIFS('Raw daily data'!$J:$J,'Raw daily data'!$I:$I,$A41))</f>
        <v>0</v>
      </c>
      <c r="X41" s="79">
        <f t="shared" si="7"/>
        <v>0</v>
      </c>
      <c r="Y41" s="79" t="str">
        <f>IFERROR(IF($A41="","",ABS(MIN(0,_xlfn.MINIFS('Raw daily data'!$J:$J,'Raw daily data'!$I:$I,$A41)))/G41),"")</f>
        <v/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workbookViewId="0">
      <selection activeCell="H4" sqref="H4"/>
    </sheetView>
  </sheetViews>
  <sheetFormatPr defaultColWidth="45" defaultRowHeight="14.5"/>
  <cols>
    <col min="1" max="1" width="9.85454545454546" customWidth="1"/>
    <col min="2" max="2" width="11" customWidth="1"/>
    <col min="3" max="3" width="7" customWidth="1"/>
    <col min="4" max="4" width="10.8545454545455" customWidth="1"/>
    <col min="5" max="5" width="10" customWidth="1"/>
    <col min="6" max="6" width="12.2818181818182" customWidth="1"/>
    <col min="7" max="7" width="11.8545454545455" customWidth="1"/>
    <col min="8" max="8" width="33.5727272727273" customWidth="1"/>
    <col min="9" max="9" width="15.1363636363636" customWidth="1"/>
  </cols>
  <sheetData>
    <row r="1" spans="1:10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</row>
    <row r="2" spans="1:10">
      <c r="A2" s="2" t="s">
        <v>67</v>
      </c>
      <c r="B2" s="2" t="s">
        <v>68</v>
      </c>
      <c r="C2" s="2" t="s">
        <v>69</v>
      </c>
      <c r="D2" s="2">
        <v>200000</v>
      </c>
      <c r="E2" s="2">
        <v>1.15899</v>
      </c>
      <c r="F2" s="2">
        <v>-60</v>
      </c>
      <c r="G2" s="2">
        <v>12607</v>
      </c>
      <c r="H2" s="2" t="s">
        <v>70</v>
      </c>
      <c r="I2" s="176">
        <f t="shared" ref="I2:I52" si="0">IF(H2="","",DATEVALUE(MID(H2,6,11)))</f>
        <v>46033</v>
      </c>
      <c r="J2" s="177">
        <f t="shared" ref="J2:J52" si="1">IF(F2="","",F2+IF(I2=I1,J1,0))</f>
        <v>-60</v>
      </c>
    </row>
    <row r="3" spans="1:10">
      <c r="A3" s="2" t="s">
        <v>67</v>
      </c>
      <c r="B3" s="2" t="s">
        <v>68</v>
      </c>
      <c r="C3" s="2" t="s">
        <v>69</v>
      </c>
      <c r="D3" s="2">
        <v>500002</v>
      </c>
      <c r="E3" s="2">
        <v>1.15829</v>
      </c>
      <c r="F3" s="2">
        <v>575.0023</v>
      </c>
      <c r="G3" s="2">
        <v>12594</v>
      </c>
      <c r="H3" s="2" t="s">
        <v>71</v>
      </c>
      <c r="I3" s="176">
        <f t="shared" si="0"/>
        <v>46034</v>
      </c>
      <c r="J3" s="177">
        <f t="shared" si="1"/>
        <v>575.0023</v>
      </c>
    </row>
    <row r="4" spans="1:10">
      <c r="A4" s="2"/>
      <c r="B4" s="2"/>
      <c r="C4" s="2"/>
      <c r="D4" s="2"/>
      <c r="E4" s="2"/>
      <c r="F4" s="2"/>
      <c r="G4" s="2"/>
      <c r="H4" s="2"/>
      <c r="I4" s="176" t="str">
        <f t="shared" si="0"/>
        <v/>
      </c>
      <c r="J4" s="177" t="str">
        <f t="shared" si="1"/>
        <v/>
      </c>
    </row>
    <row r="5" spans="1:10">
      <c r="A5" s="2"/>
      <c r="B5" s="2"/>
      <c r="C5" s="2"/>
      <c r="D5" s="2"/>
      <c r="E5" s="2"/>
      <c r="F5" s="2"/>
      <c r="G5" s="2"/>
      <c r="H5" s="2"/>
      <c r="I5" s="176" t="str">
        <f t="shared" si="0"/>
        <v/>
      </c>
      <c r="J5" s="177" t="str">
        <f t="shared" si="1"/>
        <v/>
      </c>
    </row>
    <row r="6" spans="1:10">
      <c r="A6" s="2"/>
      <c r="B6" s="2"/>
      <c r="C6" s="2"/>
      <c r="D6" s="2"/>
      <c r="E6" s="2"/>
      <c r="F6" s="2"/>
      <c r="G6" s="2"/>
      <c r="H6" s="2"/>
      <c r="I6" s="176" t="str">
        <f t="shared" si="0"/>
        <v/>
      </c>
      <c r="J6" s="177" t="str">
        <f t="shared" si="1"/>
        <v/>
      </c>
    </row>
    <row r="7" spans="1:10">
      <c r="A7" s="2"/>
      <c r="B7" s="2"/>
      <c r="C7" s="2"/>
      <c r="D7" s="2"/>
      <c r="E7" s="2"/>
      <c r="F7" s="2"/>
      <c r="G7" s="2"/>
      <c r="H7" s="2"/>
      <c r="I7" s="176" t="str">
        <f t="shared" si="0"/>
        <v/>
      </c>
      <c r="J7" s="177" t="str">
        <f t="shared" si="1"/>
        <v/>
      </c>
    </row>
    <row r="8" spans="1:10">
      <c r="A8" s="2"/>
      <c r="B8" s="2"/>
      <c r="C8" s="2"/>
      <c r="D8" s="2"/>
      <c r="E8" s="2"/>
      <c r="F8" s="2"/>
      <c r="G8" s="2"/>
      <c r="H8" s="2"/>
      <c r="I8" s="176" t="str">
        <f t="shared" si="0"/>
        <v/>
      </c>
      <c r="J8" s="177" t="str">
        <f t="shared" si="1"/>
        <v/>
      </c>
    </row>
    <row r="9" spans="1:10">
      <c r="A9" s="2"/>
      <c r="B9" s="2"/>
      <c r="C9" s="2"/>
      <c r="D9" s="2"/>
      <c r="E9" s="2"/>
      <c r="F9" s="2"/>
      <c r="G9" s="2"/>
      <c r="H9" s="2"/>
      <c r="I9" s="176" t="str">
        <f t="shared" si="0"/>
        <v/>
      </c>
      <c r="J9" s="177" t="str">
        <f t="shared" si="1"/>
        <v/>
      </c>
    </row>
    <row r="10" spans="1:10">
      <c r="A10" s="2"/>
      <c r="B10" s="2"/>
      <c r="C10" s="2"/>
      <c r="D10" s="2"/>
      <c r="E10" s="2"/>
      <c r="F10" s="2"/>
      <c r="G10" s="2"/>
      <c r="H10" s="2"/>
      <c r="I10" s="176" t="str">
        <f t="shared" si="0"/>
        <v/>
      </c>
      <c r="J10" s="177" t="str">
        <f t="shared" si="1"/>
        <v/>
      </c>
    </row>
    <row r="11" spans="1:10">
      <c r="A11" s="2"/>
      <c r="B11" s="2"/>
      <c r="C11" s="2"/>
      <c r="D11" s="2"/>
      <c r="E11" s="2"/>
      <c r="F11" s="2"/>
      <c r="G11" s="2"/>
      <c r="H11" s="2"/>
      <c r="I11" s="176" t="str">
        <f t="shared" si="0"/>
        <v/>
      </c>
      <c r="J11" s="177" t="str">
        <f t="shared" si="1"/>
        <v/>
      </c>
    </row>
    <row r="12" spans="1:10">
      <c r="A12" s="2"/>
      <c r="B12" s="2"/>
      <c r="C12" s="2"/>
      <c r="D12" s="2"/>
      <c r="E12" s="2"/>
      <c r="F12" s="2"/>
      <c r="G12" s="2"/>
      <c r="H12" s="2"/>
      <c r="I12" s="176" t="str">
        <f t="shared" si="0"/>
        <v/>
      </c>
      <c r="J12" s="177" t="str">
        <f t="shared" si="1"/>
        <v/>
      </c>
    </row>
    <row r="13" spans="1:10">
      <c r="A13" s="2"/>
      <c r="B13" s="2"/>
      <c r="C13" s="2"/>
      <c r="D13" s="2"/>
      <c r="E13" s="2"/>
      <c r="F13" s="2"/>
      <c r="G13" s="2"/>
      <c r="H13" s="2"/>
      <c r="I13" s="176" t="str">
        <f t="shared" si="0"/>
        <v/>
      </c>
      <c r="J13" s="177" t="str">
        <f t="shared" si="1"/>
        <v/>
      </c>
    </row>
    <row r="14" spans="1:10">
      <c r="A14" s="2"/>
      <c r="B14" s="2"/>
      <c r="C14" s="2"/>
      <c r="D14" s="2"/>
      <c r="E14" s="2"/>
      <c r="F14" s="2"/>
      <c r="G14" s="2"/>
      <c r="H14" s="2"/>
      <c r="I14" s="176" t="str">
        <f t="shared" si="0"/>
        <v/>
      </c>
      <c r="J14" s="177" t="str">
        <f t="shared" si="1"/>
        <v/>
      </c>
    </row>
    <row r="15" spans="1:10">
      <c r="A15" s="2"/>
      <c r="B15" s="2"/>
      <c r="C15" s="2"/>
      <c r="D15" s="2"/>
      <c r="E15" s="2"/>
      <c r="F15" s="2"/>
      <c r="G15" s="2"/>
      <c r="H15" s="2"/>
      <c r="I15" s="176" t="str">
        <f t="shared" si="0"/>
        <v/>
      </c>
      <c r="J15" s="177" t="str">
        <f t="shared" si="1"/>
        <v/>
      </c>
    </row>
    <row r="16" spans="1:10">
      <c r="A16" s="2"/>
      <c r="B16" s="2"/>
      <c r="C16" s="2"/>
      <c r="D16" s="2"/>
      <c r="E16" s="2"/>
      <c r="F16" s="2"/>
      <c r="G16" s="2"/>
      <c r="H16" s="2"/>
      <c r="I16" s="176" t="str">
        <f t="shared" si="0"/>
        <v/>
      </c>
      <c r="J16" s="177" t="str">
        <f t="shared" si="1"/>
        <v/>
      </c>
    </row>
    <row r="17" spans="1:10">
      <c r="A17" s="2"/>
      <c r="B17" s="2"/>
      <c r="C17" s="2"/>
      <c r="D17" s="2"/>
      <c r="E17" s="2"/>
      <c r="F17" s="2"/>
      <c r="G17" s="2"/>
      <c r="H17" s="2"/>
      <c r="I17" s="176" t="str">
        <f t="shared" si="0"/>
        <v/>
      </c>
      <c r="J17" s="177" t="str">
        <f t="shared" si="1"/>
        <v/>
      </c>
    </row>
    <row r="18" spans="1:10">
      <c r="A18" s="2"/>
      <c r="B18" s="2"/>
      <c r="C18" s="2"/>
      <c r="D18" s="2"/>
      <c r="E18" s="2"/>
      <c r="F18" s="2"/>
      <c r="G18" s="2"/>
      <c r="H18" s="2"/>
      <c r="I18" s="176" t="str">
        <f t="shared" si="0"/>
        <v/>
      </c>
      <c r="J18" s="177" t="str">
        <f t="shared" si="1"/>
        <v/>
      </c>
    </row>
    <row r="19" spans="1:10">
      <c r="A19" s="2"/>
      <c r="B19" s="2"/>
      <c r="C19" s="2"/>
      <c r="D19" s="2"/>
      <c r="E19" s="2"/>
      <c r="F19" s="2"/>
      <c r="G19" s="2"/>
      <c r="H19" s="2"/>
      <c r="I19" s="176" t="str">
        <f t="shared" si="0"/>
        <v/>
      </c>
      <c r="J19" s="177" t="str">
        <f t="shared" si="1"/>
        <v/>
      </c>
    </row>
    <row r="20" spans="1:10">
      <c r="A20" s="2"/>
      <c r="B20" s="2"/>
      <c r="C20" s="2"/>
      <c r="D20" s="2"/>
      <c r="E20" s="2"/>
      <c r="F20" s="2"/>
      <c r="G20" s="2"/>
      <c r="H20" s="2"/>
      <c r="I20" s="176" t="str">
        <f t="shared" si="0"/>
        <v/>
      </c>
      <c r="J20" s="177" t="str">
        <f t="shared" si="1"/>
        <v/>
      </c>
    </row>
    <row r="21" spans="1:10">
      <c r="A21" s="2"/>
      <c r="B21" s="2"/>
      <c r="C21" s="2"/>
      <c r="D21" s="2"/>
      <c r="E21" s="2"/>
      <c r="F21" s="2"/>
      <c r="G21" s="2"/>
      <c r="H21" s="2"/>
      <c r="I21" s="176" t="str">
        <f t="shared" si="0"/>
        <v/>
      </c>
      <c r="J21" s="177" t="str">
        <f t="shared" si="1"/>
        <v/>
      </c>
    </row>
    <row r="22" spans="1:10">
      <c r="A22" s="2"/>
      <c r="B22" s="2"/>
      <c r="C22" s="2"/>
      <c r="D22" s="2"/>
      <c r="E22" s="2"/>
      <c r="F22" s="2"/>
      <c r="G22" s="2"/>
      <c r="H22" s="2"/>
      <c r="I22" s="176" t="str">
        <f t="shared" si="0"/>
        <v/>
      </c>
      <c r="J22" s="177" t="str">
        <f t="shared" si="1"/>
        <v/>
      </c>
    </row>
    <row r="23" spans="1:10">
      <c r="A23" s="2"/>
      <c r="B23" s="2"/>
      <c r="C23" s="2"/>
      <c r="D23" s="2"/>
      <c r="E23" s="2"/>
      <c r="F23" s="2"/>
      <c r="G23" s="2"/>
      <c r="H23" s="2"/>
      <c r="I23" s="176" t="str">
        <f t="shared" si="0"/>
        <v/>
      </c>
      <c r="J23" s="177" t="str">
        <f t="shared" si="1"/>
        <v/>
      </c>
    </row>
    <row r="24" spans="1:10">
      <c r="A24" s="2"/>
      <c r="B24" s="2"/>
      <c r="C24" s="2"/>
      <c r="D24" s="2"/>
      <c r="E24" s="2"/>
      <c r="F24" s="2"/>
      <c r="G24" s="2"/>
      <c r="H24" s="2"/>
      <c r="I24" s="176" t="str">
        <f t="shared" si="0"/>
        <v/>
      </c>
      <c r="J24" s="177" t="str">
        <f t="shared" si="1"/>
        <v/>
      </c>
    </row>
    <row r="25" spans="1:10">
      <c r="A25" s="2"/>
      <c r="B25" s="2"/>
      <c r="C25" s="2"/>
      <c r="D25" s="2"/>
      <c r="E25" s="2"/>
      <c r="F25" s="2"/>
      <c r="G25" s="2"/>
      <c r="H25" s="2"/>
      <c r="I25" s="176" t="str">
        <f t="shared" si="0"/>
        <v/>
      </c>
      <c r="J25" s="177" t="str">
        <f t="shared" si="1"/>
        <v/>
      </c>
    </row>
    <row r="26" spans="1:10">
      <c r="A26" s="2"/>
      <c r="B26" s="2"/>
      <c r="C26" s="2"/>
      <c r="D26" s="2"/>
      <c r="E26" s="2"/>
      <c r="F26" s="2"/>
      <c r="G26" s="2"/>
      <c r="H26" s="2"/>
      <c r="I26" s="176" t="str">
        <f t="shared" si="0"/>
        <v/>
      </c>
      <c r="J26" s="177" t="str">
        <f t="shared" si="1"/>
        <v/>
      </c>
    </row>
    <row r="27" spans="1:10">
      <c r="A27" s="2"/>
      <c r="B27" s="2"/>
      <c r="C27" s="2"/>
      <c r="D27" s="2"/>
      <c r="E27" s="2"/>
      <c r="F27" s="2"/>
      <c r="G27" s="2"/>
      <c r="H27" s="2"/>
      <c r="I27" s="176" t="str">
        <f t="shared" si="0"/>
        <v/>
      </c>
      <c r="J27" s="177" t="str">
        <f t="shared" si="1"/>
        <v/>
      </c>
    </row>
    <row r="28" spans="1:10">
      <c r="I28" s="176" t="str">
        <f t="shared" si="0"/>
        <v/>
      </c>
      <c r="J28" s="177" t="str">
        <f t="shared" si="1"/>
        <v/>
      </c>
    </row>
    <row r="29" spans="1:10">
      <c r="I29" s="176" t="str">
        <f t="shared" si="0"/>
        <v/>
      </c>
      <c r="J29" s="177" t="str">
        <f t="shared" si="1"/>
        <v/>
      </c>
    </row>
    <row r="30" spans="1:10">
      <c r="I30" s="176" t="str">
        <f t="shared" si="0"/>
        <v/>
      </c>
      <c r="J30" s="177" t="str">
        <f t="shared" si="1"/>
        <v/>
      </c>
    </row>
    <row r="31" spans="1:10">
      <c r="I31" s="176" t="str">
        <f t="shared" si="0"/>
        <v/>
      </c>
      <c r="J31" s="177" t="str">
        <f t="shared" si="1"/>
        <v/>
      </c>
    </row>
    <row r="32" spans="1:10">
      <c r="I32" s="176" t="str">
        <f t="shared" si="0"/>
        <v/>
      </c>
      <c r="J32" s="177" t="str">
        <f t="shared" si="1"/>
        <v/>
      </c>
    </row>
    <row r="33" spans="9:10">
      <c r="I33" s="176" t="str">
        <f t="shared" si="0"/>
        <v/>
      </c>
      <c r="J33" s="177" t="str">
        <f t="shared" si="1"/>
        <v/>
      </c>
    </row>
    <row r="34" spans="9:10">
      <c r="I34" s="176" t="str">
        <f t="shared" si="0"/>
        <v/>
      </c>
      <c r="J34" s="177" t="str">
        <f t="shared" si="1"/>
        <v/>
      </c>
    </row>
    <row r="35" spans="9:10">
      <c r="I35" s="176" t="str">
        <f t="shared" si="0"/>
        <v/>
      </c>
      <c r="J35" s="177" t="str">
        <f t="shared" si="1"/>
        <v/>
      </c>
    </row>
    <row r="36" spans="9:10">
      <c r="I36" s="176" t="str">
        <f t="shared" si="0"/>
        <v/>
      </c>
      <c r="J36" s="177" t="str">
        <f t="shared" si="1"/>
        <v/>
      </c>
    </row>
    <row r="37" spans="9:10">
      <c r="I37" s="176" t="str">
        <f t="shared" si="0"/>
        <v/>
      </c>
      <c r="J37" s="177" t="str">
        <f t="shared" si="1"/>
        <v/>
      </c>
    </row>
    <row r="38" spans="9:10">
      <c r="I38" s="176" t="str">
        <f t="shared" si="0"/>
        <v/>
      </c>
      <c r="J38" s="177" t="str">
        <f t="shared" si="1"/>
        <v/>
      </c>
    </row>
    <row r="39" spans="9:10">
      <c r="I39" s="176" t="str">
        <f t="shared" si="0"/>
        <v/>
      </c>
      <c r="J39" s="177" t="str">
        <f t="shared" si="1"/>
        <v/>
      </c>
    </row>
    <row r="40" spans="9:10">
      <c r="I40" s="176" t="str">
        <f t="shared" si="0"/>
        <v/>
      </c>
      <c r="J40" s="177" t="str">
        <f t="shared" si="1"/>
        <v/>
      </c>
    </row>
    <row r="41" spans="9:10">
      <c r="I41" s="176" t="str">
        <f t="shared" si="0"/>
        <v/>
      </c>
      <c r="J41" s="177" t="str">
        <f t="shared" si="1"/>
        <v/>
      </c>
    </row>
    <row r="42" spans="9:10">
      <c r="I42" s="176" t="str">
        <f t="shared" si="0"/>
        <v/>
      </c>
      <c r="J42" s="177" t="str">
        <f t="shared" si="1"/>
        <v/>
      </c>
    </row>
    <row r="43" spans="9:10">
      <c r="I43" s="176" t="str">
        <f t="shared" si="0"/>
        <v/>
      </c>
      <c r="J43" s="177" t="str">
        <f t="shared" si="1"/>
        <v/>
      </c>
    </row>
    <row r="44" spans="9:10">
      <c r="I44" s="176" t="str">
        <f t="shared" si="0"/>
        <v/>
      </c>
      <c r="J44" s="177" t="str">
        <f t="shared" si="1"/>
        <v/>
      </c>
    </row>
    <row r="45" spans="9:10">
      <c r="I45" s="176" t="str">
        <f t="shared" si="0"/>
        <v/>
      </c>
      <c r="J45" s="177" t="str">
        <f t="shared" si="1"/>
        <v/>
      </c>
    </row>
    <row r="46" spans="9:10">
      <c r="I46" s="176" t="str">
        <f t="shared" si="0"/>
        <v/>
      </c>
      <c r="J46" s="177" t="str">
        <f t="shared" si="1"/>
        <v/>
      </c>
    </row>
    <row r="47" spans="9:10">
      <c r="I47" s="176" t="str">
        <f t="shared" si="0"/>
        <v/>
      </c>
      <c r="J47" s="177" t="str">
        <f t="shared" si="1"/>
        <v/>
      </c>
    </row>
    <row r="48" spans="9:10">
      <c r="I48" s="176" t="str">
        <f t="shared" si="0"/>
        <v/>
      </c>
      <c r="J48" s="177" t="str">
        <f t="shared" si="1"/>
        <v/>
      </c>
    </row>
    <row r="49" spans="9:10">
      <c r="I49" s="176" t="str">
        <f t="shared" si="0"/>
        <v/>
      </c>
      <c r="J49" s="177" t="str">
        <f t="shared" si="1"/>
        <v/>
      </c>
    </row>
    <row r="50" spans="9:10">
      <c r="I50" s="176" t="str">
        <f t="shared" si="0"/>
        <v/>
      </c>
      <c r="J50" s="177" t="str">
        <f t="shared" si="1"/>
        <v/>
      </c>
    </row>
    <row r="51" spans="9:10">
      <c r="I51" s="176" t="str">
        <f t="shared" si="0"/>
        <v/>
      </c>
      <c r="J51" s="177" t="str">
        <f t="shared" si="1"/>
        <v/>
      </c>
    </row>
    <row r="52" spans="9:10">
      <c r="I52" s="176" t="str">
        <f t="shared" si="0"/>
        <v/>
      </c>
      <c r="J52" s="177" t="str">
        <f t="shared" si="1"/>
        <v/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3"/>
  <sheetViews>
    <sheetView topLeftCell="A10" workbookViewId="0">
      <selection activeCell="A1" sqref="A1"/>
    </sheetView>
  </sheetViews>
  <sheetFormatPr defaultColWidth="9" defaultRowHeight="14.5"/>
  <cols>
    <col min="1" max="1" width="24" customWidth="1"/>
    <col min="2" max="2" width="12" customWidth="1"/>
    <col min="3" max="3" width="10.1363636363636" customWidth="1"/>
    <col min="4" max="4" width="25.2818181818182" customWidth="1"/>
    <col min="5" max="5" width="8.70909090909091" customWidth="1"/>
    <col min="6" max="6" width="15" customWidth="1"/>
    <col min="7" max="7" width="36.4272727272727" customWidth="1"/>
    <col min="8" max="8" width="16" customWidth="1"/>
    <col min="9" max="9" width="1.70909090909091" customWidth="1"/>
    <col min="10" max="10" width="23.7090909090909" customWidth="1"/>
    <col min="11" max="11" width="20.5727272727273" customWidth="1"/>
    <col min="12" max="12" width="6.13636363636364" customWidth="1"/>
    <col min="13" max="13" width="30.2818181818182" customWidth="1"/>
    <col min="14" max="14" width="13.5727272727273" customWidth="1"/>
    <col min="15" max="15" width="6.57272727272727" customWidth="1"/>
    <col min="16" max="16" width="17.2818181818182" customWidth="1"/>
    <col min="17" max="17" width="71.2818181818182" customWidth="1"/>
    <col min="18" max="18" width="13.7090909090909" customWidth="1"/>
    <col min="19" max="19" width="16.4272727272727" customWidth="1"/>
    <col min="20" max="20" width="12" customWidth="1"/>
    <col min="21" max="21" width="19.7090909090909" customWidth="1"/>
    <col min="22" max="22" width="13.7090909090909" customWidth="1"/>
    <col min="23" max="23" width="15.1363636363636" customWidth="1"/>
    <col min="24" max="24" width="21" customWidth="1"/>
    <col min="25" max="25" width="13.8545454545455" customWidth="1"/>
    <col min="26" max="26" width="16.8545454545455" customWidth="1"/>
    <col min="27" max="27" width="20.5727272727273" customWidth="1"/>
    <col min="28" max="28" width="10.2818181818182" customWidth="1"/>
    <col min="29" max="29" width="16.7090909090909" customWidth="1"/>
    <col min="30" max="30" width="8.70909090909091" customWidth="1"/>
    <col min="31" max="31" width="8.42727272727273" customWidth="1"/>
    <col min="32" max="32" width="11.1363636363636" customWidth="1"/>
    <col min="33" max="34" width="6.28181818181818" customWidth="1"/>
  </cols>
  <sheetData>
    <row r="1" ht="13.5" customHeight="1" spans="1:34">
      <c r="A1" t="s">
        <v>72</v>
      </c>
      <c r="B1" t="s">
        <v>1</v>
      </c>
      <c r="D1" t="s">
        <v>73</v>
      </c>
      <c r="E1" t="s">
        <v>1</v>
      </c>
      <c r="G1" t="s">
        <v>74</v>
      </c>
      <c r="H1" t="s">
        <v>1</v>
      </c>
      <c r="J1" t="s">
        <v>75</v>
      </c>
      <c r="K1" t="s">
        <v>1</v>
      </c>
      <c r="M1" t="s">
        <v>76</v>
      </c>
      <c r="N1" t="s">
        <v>1</v>
      </c>
      <c r="S1" s="162" t="s">
        <v>77</v>
      </c>
      <c r="T1" s="163" t="s">
        <v>78</v>
      </c>
      <c r="U1" s="163" t="s">
        <v>79</v>
      </c>
      <c r="V1" s="163" t="s">
        <v>80</v>
      </c>
      <c r="W1" s="163" t="s">
        <v>81</v>
      </c>
      <c r="X1" s="163" t="s">
        <v>82</v>
      </c>
      <c r="Y1" s="163" t="s">
        <v>83</v>
      </c>
      <c r="Z1" s="163" t="s">
        <v>84</v>
      </c>
      <c r="AA1" s="163" t="s">
        <v>85</v>
      </c>
      <c r="AB1" s="164" t="s">
        <v>86</v>
      </c>
      <c r="AC1" s="4" t="s">
        <v>87</v>
      </c>
      <c r="AD1" s="4" t="s">
        <v>88</v>
      </c>
      <c r="AE1" s="4" t="s">
        <v>89</v>
      </c>
      <c r="AF1" s="4" t="s">
        <v>90</v>
      </c>
      <c r="AG1" s="4" t="s">
        <v>42</v>
      </c>
      <c r="AH1" s="4"/>
    </row>
    <row r="2" spans="1:34">
      <c r="A2" t="s">
        <v>91</v>
      </c>
      <c r="B2" s="30">
        <v>1.16438</v>
      </c>
      <c r="D2" t="s">
        <v>92</v>
      </c>
      <c r="E2" s="45">
        <v>1.16562</v>
      </c>
      <c r="G2" t="s">
        <v>93</v>
      </c>
      <c r="H2" s="30">
        <v>1.14931</v>
      </c>
      <c r="J2" t="s">
        <v>94</v>
      </c>
      <c r="K2" s="45">
        <v>49.98</v>
      </c>
      <c r="M2" t="s">
        <v>95</v>
      </c>
      <c r="N2">
        <f>ROUND($B$15*10000*0.5,0)</f>
        <v>2</v>
      </c>
      <c r="P2" t="s">
        <v>96</v>
      </c>
      <c r="Q2" s="12">
        <f>(1-0.5*$N$23)*(1-$B$34*$B$33)*($N$5+$N$7+$N$10+$N$13+$N$15+$N$26+$N$28)</f>
        <v>1.225</v>
      </c>
      <c r="S2" s="165" t="s">
        <v>97</v>
      </c>
      <c r="T2" s="55">
        <f>IF($N$30=1,$H$25,$B$2)</f>
        <v>1.1615164</v>
      </c>
      <c r="U2" s="55">
        <f>K6</f>
        <v>1.1656</v>
      </c>
      <c r="V2" s="55">
        <f>K7</f>
        <v>1.162</v>
      </c>
      <c r="W2" s="57">
        <f>IF(OR(T2="",$U$2=""),"",ABS($U$2-T2)*10000)</f>
        <v>40.8359999999997</v>
      </c>
      <c r="X2" s="57">
        <f>IF(W2="","",W2*T14*0.0001)</f>
        <v>156.668447590083</v>
      </c>
      <c r="Y2" s="57">
        <f>IF($V$2="","",ABS(T2-$V$2)*10000)</f>
        <v>4.83599999999917</v>
      </c>
      <c r="Z2" s="57">
        <f>IF(Y2="","",Y2*T14*0.0001)</f>
        <v>18.553448245311</v>
      </c>
      <c r="AA2" s="166">
        <f>IF(OR($K$5=0,X2=""),"",X2/$K$5)</f>
        <v>0.423368410139434</v>
      </c>
      <c r="AB2" s="167">
        <f>T14</f>
        <v>38365.2775957695</v>
      </c>
      <c r="AC2" s="4" t="s">
        <v>98</v>
      </c>
      <c r="AD2" s="32" t="s">
        <v>99</v>
      </c>
      <c r="AE2" s="32" t="s">
        <v>100</v>
      </c>
      <c r="AF2" s="32" t="s">
        <v>101</v>
      </c>
      <c r="AG2" s="4"/>
      <c r="AH2" s="4"/>
    </row>
    <row r="3" spans="1:34">
      <c r="A3" t="s">
        <v>102</v>
      </c>
      <c r="B3" s="45">
        <v>1.16429</v>
      </c>
      <c r="D3" t="s">
        <v>103</v>
      </c>
      <c r="E3" s="45">
        <v>1.16095</v>
      </c>
      <c r="G3" t="s">
        <v>104</v>
      </c>
      <c r="H3" s="30">
        <v>1.1682</v>
      </c>
      <c r="J3" t="s">
        <v>105</v>
      </c>
      <c r="K3" s="45">
        <v>42.88</v>
      </c>
      <c r="M3" t="s">
        <v>106</v>
      </c>
      <c r="N3">
        <f>ROUND($B$15*10000*0.3,0)</f>
        <v>1</v>
      </c>
      <c r="P3" t="s">
        <v>107</v>
      </c>
      <c r="Q3" s="12">
        <f>(1-0.5*$N$23)*(1-$B$34*$B$33)*($N$6+$N$8+$N$11+$N$14+$N$16+$N$27+$N$29)</f>
        <v>0.875</v>
      </c>
      <c r="S3" s="165" t="s">
        <v>108</v>
      </c>
      <c r="T3" s="55">
        <f>IF($N$30=1,$H$26,$B$2)</f>
        <v>1.16036</v>
      </c>
      <c r="U3" s="55">
        <f>U2</f>
        <v>1.1656</v>
      </c>
      <c r="V3" s="55">
        <f>V2</f>
        <v>1.162</v>
      </c>
      <c r="W3" s="57">
        <f>IF(OR(T3="",$U$2=""),"",ABS($U$2-T3)*10000)</f>
        <v>52.4000000000013</v>
      </c>
      <c r="X3" s="57">
        <f>IF(W3="","",W3*T15*0.0001)</f>
        <v>351.809595553215</v>
      </c>
      <c r="Y3" s="57">
        <f>IF($V$2="","",ABS(T3-$V$2)*10000)</f>
        <v>16.4000000000009</v>
      </c>
      <c r="Z3" s="57">
        <f>IF(Y3="","",Y3*T15*0.0001)</f>
        <v>110.108346699864</v>
      </c>
      <c r="AA3" s="166">
        <f>IF(OR($K$5=0,X3=""),"",X3/$K$5)</f>
        <v>0.95070240008295</v>
      </c>
      <c r="AB3" s="167">
        <f>T15</f>
        <v>67139.2357925966</v>
      </c>
      <c r="AC3" s="4" t="s">
        <v>109</v>
      </c>
      <c r="AD3" s="32" t="s">
        <v>99</v>
      </c>
      <c r="AE3" s="32" t="s">
        <v>101</v>
      </c>
      <c r="AF3" s="32" t="s">
        <v>101</v>
      </c>
      <c r="AG3" s="4"/>
      <c r="AH3" s="4"/>
    </row>
    <row r="4" ht="15.75" customHeight="1" spans="1:34">
      <c r="A4" t="s">
        <v>110</v>
      </c>
      <c r="B4" s="45">
        <v>1.16433</v>
      </c>
      <c r="D4" t="s">
        <v>111</v>
      </c>
      <c r="E4" s="30">
        <v>1.15958</v>
      </c>
      <c r="J4" t="s">
        <v>112</v>
      </c>
      <c r="K4" s="45">
        <v>51.66</v>
      </c>
      <c r="M4" t="s">
        <v>113</v>
      </c>
      <c r="N4">
        <f>ROUND($B$15*10000*0.6,0)</f>
        <v>3</v>
      </c>
      <c r="S4" s="168" t="s">
        <v>114</v>
      </c>
      <c r="T4" s="65">
        <f>IF($N$30=1,$H$27,$B$2)</f>
        <v>1.1592036</v>
      </c>
      <c r="U4" s="65">
        <f>U3</f>
        <v>1.1656</v>
      </c>
      <c r="V4" s="65">
        <f>V3</f>
        <v>1.162</v>
      </c>
      <c r="W4" s="67">
        <f>IF(OR(T4="",$U$2=""),"",ABS($U$2-T4)*10000)</f>
        <v>63.9640000000008</v>
      </c>
      <c r="X4" s="67">
        <f>IF(W4="","",W4*T16*0.0001)</f>
        <v>552.149238630562</v>
      </c>
      <c r="Y4" s="67">
        <f>IF($V$2="","",ABS(T4-$V$2)*10000)</f>
        <v>27.9640000000003</v>
      </c>
      <c r="Z4" s="67">
        <f>IF(Y4="","",Y4*T16*0.0001)</f>
        <v>241.390490104825</v>
      </c>
      <c r="AA4" s="169">
        <f>IF(OR($K$5=0,X4=""),"",X4/$K$5)</f>
        <v>1.49208439168524</v>
      </c>
      <c r="AB4" s="170">
        <f>T16</f>
        <v>86321.8745904813</v>
      </c>
      <c r="AC4" s="4" t="s">
        <v>115</v>
      </c>
      <c r="AD4" s="32" t="s">
        <v>116</v>
      </c>
      <c r="AE4" s="32" t="s">
        <v>100</v>
      </c>
      <c r="AF4" s="32" t="s">
        <v>100</v>
      </c>
      <c r="AG4" s="4"/>
      <c r="AH4" s="4"/>
    </row>
    <row r="5" ht="15.75" customHeight="1" spans="1:34">
      <c r="A5" t="s">
        <v>117</v>
      </c>
      <c r="B5" s="45">
        <v>1.16458</v>
      </c>
      <c r="D5" t="s">
        <v>118</v>
      </c>
      <c r="E5" s="30">
        <v>1.16385</v>
      </c>
      <c r="G5" t="s">
        <v>119</v>
      </c>
      <c r="H5" s="21">
        <f>H3-(H3-H2)*0.382</f>
        <v>1.16098402</v>
      </c>
      <c r="J5" t="s">
        <v>36</v>
      </c>
      <c r="K5" s="171">
        <f>Summary!B8*Summary!B10*(0.7+0.3*MAX($Q$8,$Q$9))</f>
        <v>370.05228505</v>
      </c>
      <c r="M5" t="s">
        <v>120</v>
      </c>
      <c r="N5">
        <f>IF(AND($B$2&gt;$B$6,ABS(($B$2-$E$4)*10000)&lt;=$N$2),1,0)+IF(AND($B$2&gt;$B$6,ABS(($B$2-$E$8)*10000)&lt;=$N$2),1,0)+IF(AND($B$2&gt;$B$6,ABS(($B$2-$E$12)*10000)&lt;=$N$2),1,0)+IF(AND($N$22=1,$B$2&gt;$B$6,ABS(($B$2-$E$17)*10000)&lt;=$N$2),1,0)</f>
        <v>0</v>
      </c>
      <c r="P5" s="172" t="s">
        <v>121</v>
      </c>
      <c r="Q5" s="173" t="str">
        <f>IF(AND($Q$8&gt;=0.7,$Q$9&lt;=0.3),"A+ LONG ZONE",IF(AND($Q$9&gt;=0.7,$Q$8&lt;=0.3),"A+ SHORT ZONE","MID / WAIT"))</f>
        <v>MID / WAIT</v>
      </c>
      <c r="R5" t="str">
        <f>IF($N$23=1,"⚠ In MID / BALANCE zone – expect chop","")</f>
        <v/>
      </c>
      <c r="S5" s="168"/>
      <c r="T5" s="66"/>
      <c r="U5" s="66"/>
      <c r="V5" s="65"/>
      <c r="W5" s="67">
        <f ca="1">SUBTOTAL(109,Table5[Pips to TP1])</f>
        <v>0</v>
      </c>
      <c r="X5" s="67">
        <f ca="1">SUBTOTAL(109,Table5[Reward at TP1 ($)])</f>
        <v>0</v>
      </c>
      <c r="Y5" s="67">
        <f ca="1">SUBTOTAL(109,Table5[Pips to SL])</f>
        <v>0</v>
      </c>
      <c r="Z5" s="67">
        <f ca="1">SUBTOTAL(109,Table5[Risk at  SL ($)])</f>
        <v>0</v>
      </c>
      <c r="AA5" s="169">
        <f ca="1">SUBTOTAL(109,Table5[R multiple at TP1])</f>
        <v>0</v>
      </c>
      <c r="AB5" s="170">
        <f ca="1">SUBTOTAL(109,Table5[Units])</f>
        <v>0</v>
      </c>
      <c r="AC5" s="4" t="s">
        <v>122</v>
      </c>
      <c r="AD5" s="32" t="s">
        <v>116</v>
      </c>
      <c r="AE5" s="32" t="s">
        <v>100</v>
      </c>
      <c r="AF5" s="32" t="s">
        <v>100</v>
      </c>
    </row>
    <row r="6" spans="1:34">
      <c r="A6" t="s">
        <v>123</v>
      </c>
      <c r="B6" s="45">
        <v>1.16565</v>
      </c>
      <c r="D6" t="s">
        <v>124</v>
      </c>
      <c r="E6" s="30">
        <v>1.1656</v>
      </c>
      <c r="G6" t="s">
        <v>125</v>
      </c>
      <c r="H6" s="21">
        <f>H3-(H3-H2)*0.5</f>
        <v>1.158755</v>
      </c>
      <c r="J6" t="s">
        <v>126</v>
      </c>
      <c r="K6" s="36">
        <f>IF($K$11="LONG",MIN(IF($E$2&gt;$B$2,$E$2,10^6),IF($E$6&gt;$B$2,$E$6,10^6),IF($E$10&gt;$B$2,$E$10,10^6),IF($H$3&gt;$B$2,$H$3,10^6)),MAX(IF($E$4&lt;$B$2,$E$4,-10^6),IF($E$8&lt;$B$2,$E$8,-10^6),IF($E$12&lt;$B$2,$E$12,-10^6),IF($H$2&lt;$B$2,$H$2,-10^6)))</f>
        <v>1.1656</v>
      </c>
      <c r="L6">
        <f>MIN(IF($E$2&gt;$B$2,$E$2),IF($E$6&gt;$B$2,$E$6),IF($E$10&gt;$B$2,$E$10),IF($H$2&gt;$B$2,$H$2))</f>
        <v>0</v>
      </c>
      <c r="M6" t="s">
        <v>127</v>
      </c>
      <c r="N6">
        <f>IF(AND($B$2&lt;$B$6,ABS(($B$2-$E$2)*10000)&lt;=$N$2),1,0)+IF(AND($B$2&lt;$B$6,ABS(($B$2-$E$6)*10000)&lt;=$N$2),1,0)+IF(AND($B$2&lt;$B$6,ABS(($B$2-$E$10)*10000)&lt;=$N$2),1,0)+IF(AND($N$22=1,$B$2&lt;$B$6,ABS(($B$2-$E$14)*10000)&lt;=$N$2),1,0)</f>
        <v>0</v>
      </c>
      <c r="P6" t="s">
        <v>128</v>
      </c>
      <c r="Q6" s="45">
        <v>10</v>
      </c>
      <c r="AC6" t="s">
        <v>129</v>
      </c>
      <c r="AD6" t="b">
        <f>AND(AD2="Bull",AD3="Bull")</f>
        <v>1</v>
      </c>
    </row>
    <row r="7" spans="1:34">
      <c r="D7" t="s">
        <v>130</v>
      </c>
      <c r="E7" s="45">
        <v>1.16095</v>
      </c>
      <c r="G7" t="s">
        <v>131</v>
      </c>
      <c r="H7" s="21">
        <f>H3-(H3-H2)*0.618</f>
        <v>1.15652598</v>
      </c>
      <c r="J7" t="s">
        <v>132</v>
      </c>
      <c r="K7" s="174">
        <v>1.162</v>
      </c>
      <c r="M7" t="s">
        <v>133</v>
      </c>
      <c r="N7">
        <f>IF(AND($B$2&gt;$B$3,$B$3&gt;$B$4,$B$4&gt;$B$5,$B$5&gt;$B$6),1,0)+0.25*COUNTIF($B$8:$B$14,"&lt;"&amp;$B$2)</f>
        <v>1.5</v>
      </c>
      <c r="S7" t="s">
        <v>134</v>
      </c>
      <c r="T7" s="6">
        <f>IF($K$7="","",ABS(T2-$K$7)*10000)</f>
        <v>4.83599999999917</v>
      </c>
      <c r="AC7" t="s">
        <v>135</v>
      </c>
      <c r="AD7" t="b">
        <f>AND(AD2="Bear",AD3="Bear")</f>
        <v>0</v>
      </c>
    </row>
    <row r="8" spans="1:34">
      <c r="A8" t="s">
        <v>136</v>
      </c>
      <c r="B8" s="30">
        <v>1.16502</v>
      </c>
      <c r="D8" t="s">
        <v>137</v>
      </c>
      <c r="E8" s="45">
        <v>1.15932</v>
      </c>
      <c r="J8" t="s">
        <v>138</v>
      </c>
      <c r="K8">
        <f>IF(MAX($Q$8,$Q$9)&gt;=0.7,0.15,0.2)</f>
        <v>0.2</v>
      </c>
      <c r="M8" t="s">
        <v>139</v>
      </c>
      <c r="N8">
        <f>IF(AND($B$2&lt;$B$3,$B$3&lt;$B$4,$B$4&lt;$B$5,$B$5&lt;$B$6),1,0)+0.25*COUNTIF($B$8:$B$14,"&gt;"&amp;$B$2)</f>
        <v>0.25</v>
      </c>
      <c r="P8" t="s">
        <v>140</v>
      </c>
      <c r="Q8" s="79">
        <f>MIN(1,$Q$2/$Q$6)</f>
        <v>0.1225</v>
      </c>
      <c r="S8" t="s">
        <v>141</v>
      </c>
      <c r="T8" s="6">
        <f>IF($K$7="","",ABS(T3-$K$7)*10000)</f>
        <v>16.4000000000009</v>
      </c>
      <c r="AC8" t="s">
        <v>142</v>
      </c>
      <c r="AD8" t="b">
        <f>AND(OR(AD4="Bull",AD4="Range"),OR(AD5&lt;&gt;"Bear"),OR(AF4="Up",AF4="None"))</f>
        <v>0</v>
      </c>
    </row>
    <row r="9" spans="1:34">
      <c r="A9" t="s">
        <v>143</v>
      </c>
      <c r="B9" s="45">
        <v>1.16223</v>
      </c>
      <c r="D9" t="s">
        <v>144</v>
      </c>
      <c r="E9" s="45">
        <v>1.16356</v>
      </c>
      <c r="G9" t="s">
        <v>145</v>
      </c>
      <c r="H9" s="30">
        <v>1.15894</v>
      </c>
      <c r="J9" t="s">
        <v>146</v>
      </c>
      <c r="K9">
        <f>IF(MAX($Q$8,$Q$9)&gt;=0.7,0.3,0.35)</f>
        <v>0.35</v>
      </c>
      <c r="P9" t="s">
        <v>147</v>
      </c>
      <c r="Q9" s="79">
        <f>MIN(1,$Q$3/$Q$6)</f>
        <v>0.0875</v>
      </c>
      <c r="S9" t="s">
        <v>148</v>
      </c>
      <c r="T9" s="6">
        <f>IF($K$7="","",ABS(T4-$K$7)*10000)</f>
        <v>27.9640000000003</v>
      </c>
      <c r="AC9" t="s">
        <v>149</v>
      </c>
      <c r="AD9" t="b">
        <f>AND(OR(AD4="Bear",AD4="Range"),OR(AD5&lt;&gt;"Bull"),OR(AF4="Down",AF4="None"))</f>
        <v>1</v>
      </c>
    </row>
    <row r="10" spans="1:34">
      <c r="A10" t="s">
        <v>150</v>
      </c>
      <c r="B10" s="45">
        <v>1.16099</v>
      </c>
      <c r="D10" t="s">
        <v>151</v>
      </c>
      <c r="E10" s="30">
        <v>1.16741</v>
      </c>
      <c r="G10" t="s">
        <v>152</v>
      </c>
      <c r="H10" s="30">
        <v>1.16526</v>
      </c>
      <c r="J10" t="s">
        <v>153</v>
      </c>
      <c r="K10" s="12">
        <f>IF(MAX($Q$8,$Q$9)&gt;=0.7,0.55,0.45)</f>
        <v>0.45</v>
      </c>
      <c r="M10" t="s">
        <v>154</v>
      </c>
      <c r="N10">
        <f>IF(AND($B$2&lt;$H$22,ABS(($B$2-$H$5)*10000)&lt;=$N$3),0.5,0)+IF(AND($B$2&lt;$H$22,ABS(($B$2-$H$6)*10000)&lt;=$N$3),0.5,0)+IF(AND($B$2&lt;$H$22,ABS(($B$2-$H$7)*10000)&lt;=$N$3),0.5,0)</f>
        <v>0</v>
      </c>
      <c r="P10" t="s">
        <v>155</v>
      </c>
      <c r="Q10" t="str">
        <f>IF($K$11="NONE","No Setup",IF($N$31="Trend-aligned","Trend Pullback","Counter-trend Fade"))</f>
        <v>Trend Pullback</v>
      </c>
    </row>
    <row r="11" spans="1:34">
      <c r="A11" t="s">
        <v>156</v>
      </c>
      <c r="B11" s="45">
        <v>1.15845</v>
      </c>
      <c r="D11" t="s">
        <v>157</v>
      </c>
      <c r="E11" s="45">
        <v>1.16595</v>
      </c>
      <c r="J11" t="s">
        <v>158</v>
      </c>
      <c r="K11" s="51" t="str">
        <f>IF($Q$2&gt;$Q$3,"LONG",IF($Q$3&gt;$Q$2,"SHORT","NONE"))</f>
        <v>LONG</v>
      </c>
      <c r="M11" t="s">
        <v>159</v>
      </c>
      <c r="N11">
        <f>IF(AND($B$2&gt;$H$22,ABS(($B$2-$H$5)*10000)&lt;=$N$3),0.5,0)+IF(AND($B$2&gt;$H$22,ABS(($B$2-$H$6)*10000)&lt;=$N$3),0.5,0)+IF(AND($B$2&gt;$H$22,ABS(($B$2-$H$7)*10000)&lt;=$N$3),0.5,0)</f>
        <v>0</v>
      </c>
      <c r="P11" t="s">
        <v>160</v>
      </c>
      <c r="Q11" t="str">
        <f>IF($K$11="NONE","No bias",$N$31)</f>
        <v>Trend-aligned</v>
      </c>
      <c r="S11" t="s">
        <v>161</v>
      </c>
      <c r="T11" s="6">
        <f>IF(OR(T7="",T8="",T9=""),"",$K$8*T7+$K$9*T8+$K$10*T9)</f>
        <v>19.2910000000003</v>
      </c>
    </row>
    <row r="12" spans="1:34">
      <c r="A12" t="s">
        <v>162</v>
      </c>
      <c r="B12" s="45">
        <v>1.14382</v>
      </c>
      <c r="D12" t="s">
        <v>163</v>
      </c>
      <c r="E12" s="45">
        <v>1.16551</v>
      </c>
      <c r="G12" t="s">
        <v>164</v>
      </c>
      <c r="H12" s="21">
        <f>H10-(H10-H9)*0.382</f>
        <v>1.16284576</v>
      </c>
      <c r="P12" t="s">
        <v>165</v>
      </c>
      <c r="Q12" t="str">
        <f>IF(OR($K$11="NONE",$T$21=""),"N/A",IF(OR($T$21&lt;$Q$24,AND($K$11="LONG",NOT($AD$27)),AND($K$11="SHORT",NOT($AD$28))),"C",IF($Q$8&gt;=0.7,"A+",IF($Q$8&gt;=0.4,"B","C"))))</f>
        <v>C</v>
      </c>
      <c r="S12" t="s">
        <v>166</v>
      </c>
      <c r="T12" s="6">
        <f>IF(T11="","",$K$5/(T11*0.0001))</f>
        <v>191826.387978847</v>
      </c>
    </row>
    <row r="13" spans="1:34">
      <c r="A13" t="s">
        <v>167</v>
      </c>
      <c r="B13" s="45">
        <v>1.13782</v>
      </c>
      <c r="D13" t="s">
        <v>168</v>
      </c>
      <c r="E13" s="45">
        <v>1.16616</v>
      </c>
      <c r="G13" t="s">
        <v>169</v>
      </c>
      <c r="H13" s="21">
        <f>H10-(H10-H9)*0.5</f>
        <v>1.1621</v>
      </c>
      <c r="M13" t="s">
        <v>170</v>
      </c>
      <c r="N13">
        <f>IF($K$2&lt;45,0.5,0)+IF($K$3&lt;45,0.25,0)+IF($K$4&lt;45,0.25,0)</f>
        <v>0.25</v>
      </c>
    </row>
    <row r="14" spans="1:34">
      <c r="A14" t="s">
        <v>171</v>
      </c>
      <c r="B14" s="45">
        <v>1.11879</v>
      </c>
      <c r="D14" t="s">
        <v>172</v>
      </c>
      <c r="E14" s="45">
        <v>1.16572</v>
      </c>
      <c r="G14" t="s">
        <v>173</v>
      </c>
      <c r="H14" s="21">
        <f>H10-(H10-H9)*0.618</f>
        <v>1.16135424</v>
      </c>
      <c r="M14" t="s">
        <v>174</v>
      </c>
      <c r="N14">
        <f>IF($K$2&gt;55,0.5,0)+IF($K$3&gt;55,0.25,0)+IF($K$4&gt;55,0.25,0)</f>
        <v>0</v>
      </c>
      <c r="P14" t="s">
        <v>175</v>
      </c>
      <c r="Q14" t="b">
        <f>OR($K$11="NONE",$T$21&lt;$Q$24,AND($K$11="LONG",NOT($AD$27)),AND($K$11="SHORT",NOT($AD$28)),AND($Q$11="Counter-trend",$Q$12="C"))</f>
        <v>1</v>
      </c>
      <c r="S14" t="s">
        <v>176</v>
      </c>
      <c r="T14" s="6">
        <f>IF(T12="","",T12*$K$8)</f>
        <v>38365.2775957695</v>
      </c>
      <c r="AC14" t="s">
        <v>177</v>
      </c>
    </row>
    <row r="15" spans="1:34">
      <c r="A15" t="s">
        <v>178</v>
      </c>
      <c r="B15" s="45">
        <v>0.00044</v>
      </c>
      <c r="D15" t="s">
        <v>179</v>
      </c>
      <c r="E15" s="45">
        <v>1.16516</v>
      </c>
      <c r="M15" t="s">
        <v>180</v>
      </c>
      <c r="N15">
        <f>IF(ABS(($B$2-$H$17)*10000)&lt;=$N$2,1,0)+IF(ABS(($B$2-$H$19)*10000)&lt;=$N$2,1,0)+IF(ABS(($B$2-$H$21)*10000)&lt;=$N$2,1,0)</f>
        <v>0</v>
      </c>
      <c r="S15" t="s">
        <v>181</v>
      </c>
      <c r="T15" s="6">
        <f>IF(T12="","",T12*$K$9)</f>
        <v>67139.2357925966</v>
      </c>
      <c r="AC15" t="s">
        <v>182</v>
      </c>
      <c r="AD15" s="45">
        <v>1.16561</v>
      </c>
    </row>
    <row r="16" spans="1:34">
      <c r="D16" t="s">
        <v>183</v>
      </c>
      <c r="E16" s="45">
        <v>1.16506</v>
      </c>
      <c r="G16" t="s">
        <v>184</v>
      </c>
      <c r="H16" s="45">
        <v>1.16411</v>
      </c>
      <c r="M16" t="s">
        <v>185</v>
      </c>
      <c r="N16">
        <f>IF(ABS(($B$2-$H$16)*10000)&lt;=$N$2,1,0)+IF(ABS(($B$2-$H$18)*10000)&lt;=$N$2,1,0)+IF(ABS(($B$2-$H$20)*10000)&lt;=$N$2,1,0)</f>
        <v>0</v>
      </c>
      <c r="S16" t="s">
        <v>186</v>
      </c>
      <c r="T16" s="6">
        <f>IF(T12="","",T12*$K$10)</f>
        <v>86321.8745904813</v>
      </c>
      <c r="AC16" t="s">
        <v>187</v>
      </c>
      <c r="AD16" s="45">
        <v>1.14685</v>
      </c>
    </row>
    <row r="17" spans="1:30">
      <c r="D17" t="s">
        <v>188</v>
      </c>
      <c r="E17" s="45">
        <v>1.16421</v>
      </c>
      <c r="G17" t="s">
        <v>189</v>
      </c>
      <c r="H17" s="45">
        <v>1.16253</v>
      </c>
      <c r="M17" t="s">
        <v>190</v>
      </c>
      <c r="N17">
        <f>IF(AND($L$22,$N$20=1,$B$2&gt;$B$6,ABS(($B$2-$E$17)*10000)&lt;=$N$2),1,0)</f>
        <v>0</v>
      </c>
      <c r="AC17" t="s">
        <v>191</v>
      </c>
      <c r="AD17" s="45">
        <v>1.16135</v>
      </c>
    </row>
    <row r="18" spans="1:30">
      <c r="G18" t="s">
        <v>192</v>
      </c>
      <c r="H18" s="45">
        <v>1.164</v>
      </c>
      <c r="K18" t="s">
        <v>193</v>
      </c>
      <c r="L18" s="45" t="b">
        <v>0</v>
      </c>
      <c r="M18" t="s">
        <v>194</v>
      </c>
      <c r="N18">
        <f>IF(AND($L$22,$N$20=1,$B$2&lt;$B$6,ABS(($B$2-$E$14)*10000)&lt;=$N$2),1,0)</f>
        <v>0</v>
      </c>
      <c r="S18" t="s">
        <v>195</v>
      </c>
      <c r="T18" s="21">
        <f>IF($T$12=0,0,SUMPRODUCT(T14:T16,T2:T4)/$T$12)</f>
        <v>1.1600709</v>
      </c>
      <c r="AC18" t="s">
        <v>196</v>
      </c>
      <c r="AD18" s="45">
        <v>1.15016</v>
      </c>
    </row>
    <row r="19" spans="1:30">
      <c r="G19" t="s">
        <v>197</v>
      </c>
      <c r="H19" s="45">
        <v>1.16249</v>
      </c>
      <c r="K19" t="s">
        <v>198</v>
      </c>
      <c r="L19" s="45" t="b">
        <v>0</v>
      </c>
      <c r="S19" t="s">
        <v>81</v>
      </c>
      <c r="T19" s="6">
        <f>IF(OR(T18="",$K$6=""),"",ABS($K$6-T18)*10000)</f>
        <v>55.2909999999995</v>
      </c>
      <c r="AC19" t="s">
        <v>199</v>
      </c>
      <c r="AD19" s="30">
        <v>1.1682</v>
      </c>
    </row>
    <row r="20" spans="1:30">
      <c r="A20" t="s">
        <v>200</v>
      </c>
      <c r="B20" s="21">
        <f>H10</f>
        <v>1.16526</v>
      </c>
      <c r="G20" t="s">
        <v>201</v>
      </c>
      <c r="H20" s="45">
        <v>1.16198</v>
      </c>
      <c r="K20" t="s">
        <v>202</v>
      </c>
      <c r="L20" s="45" t="b">
        <v>0</v>
      </c>
      <c r="M20" t="s">
        <v>203</v>
      </c>
      <c r="N20">
        <v>20</v>
      </c>
      <c r="S20" t="s">
        <v>82</v>
      </c>
      <c r="T20" s="22">
        <f>ABS($K$6-$T$18)*$T$12</f>
        <v>1060.62728177384</v>
      </c>
      <c r="AC20" t="s">
        <v>204</v>
      </c>
      <c r="AD20" s="30">
        <v>1.16412</v>
      </c>
    </row>
    <row r="21" spans="1:30">
      <c r="A21" t="s">
        <v>205</v>
      </c>
      <c r="B21" s="21">
        <f>H9</f>
        <v>1.15894</v>
      </c>
      <c r="G21" t="s">
        <v>206</v>
      </c>
      <c r="H21" s="45">
        <v>1.16128</v>
      </c>
      <c r="M21" t="s">
        <v>207</v>
      </c>
      <c r="N21" s="6">
        <f>IF(AND($E$14&lt;&gt;"",$E$17&lt;&gt;""),ABS(($E$14-$E$17)*10000),0)</f>
        <v>15.1000000000012</v>
      </c>
      <c r="S21" t="s">
        <v>85</v>
      </c>
      <c r="T21" s="49">
        <f>IF($K$5=0,0,$T$20/$K$5)</f>
        <v>2.86615520190756</v>
      </c>
      <c r="AB21" t="s">
        <v>208</v>
      </c>
      <c r="AC21" t="s">
        <v>209</v>
      </c>
      <c r="AD21" s="30">
        <v>1.16599</v>
      </c>
    </row>
    <row r="22" spans="1:30">
      <c r="A22" t="s">
        <v>210</v>
      </c>
      <c r="B22">
        <f>ABS(($B$20-$B$21)*10000)</f>
        <v>63.1999999999988</v>
      </c>
      <c r="G22" t="s">
        <v>211</v>
      </c>
      <c r="H22" s="21">
        <f>($H$2+$H$3)/2</f>
        <v>1.158755</v>
      </c>
      <c r="K22" t="s">
        <v>212</v>
      </c>
      <c r="L22">
        <f>IF(OR($L$18,$L$19,$L$20),0,1)</f>
        <v>1</v>
      </c>
      <c r="M22" t="s">
        <v>213</v>
      </c>
      <c r="N22">
        <f>IF($N$21&gt;=$N$20,1,0)</f>
        <v>0</v>
      </c>
      <c r="P22" t="s">
        <v>214</v>
      </c>
      <c r="Q22" t="str">
        <f>IF($N$21=0,"🚫 NO TRADE – context filter is ON (news/session/spread).",IF($T$21&lt;$Q$25,"🚫 REJECT – R multiple at TP1 is only "&amp;TEXT($T$21,"0.0")&amp;"R (min "&amp;TEXT($Q$25,"0.0")&amp;"R).",IF($N$30=0,"⚠ Counter-trend setup. "&amp;IF($Q$5="A+ LONG ZONE","✅ A+ LONG setup – Long "&amp;TEXT($Q$8,"0%")&amp;", Short "&amp;TEXT($Q$9,"0%")&amp;".",IF($Q$5="A+ SHORT ZONE","✅ A+ SHORT setup – Short "&amp;TEXT($Q$9,"0%")&amp;", Long "&amp;TEXT($Q$8,"0%")&amp;".","⚪ MID / WAIT – Long "&amp;TEXT($Q$8,"0%")&amp;", Short "&amp;TEXT($Q$9,"0%")&amp;".")),IF($Q$5="A+ LONG ZONE","✅ A+ LONG setup – Long "&amp;TEXT($Q$8,"0%")&amp;", Short "&amp;TEXT($Q$9,"0%")&amp;".",IF($Q$5="A+ SHORT ZONE","✅ A+ SHORT setup – Short "&amp;TEXT($Q$9,"0%")&amp;", Long "&amp;TEXT($Q$8,"0%")&amp;".","⚪ MID / WAIT – Long "&amp;TEXT($Q$8,"0%")&amp;", Short "&amp;TEXT($Q$9,"0%")&amp;".")))))</f>
        <v>⚪ MID / WAIT – Long 12%, Short 9%.</v>
      </c>
      <c r="AB22" t="s">
        <v>215</v>
      </c>
      <c r="AC22" t="s">
        <v>216</v>
      </c>
      <c r="AD22" s="30">
        <v>1.16416</v>
      </c>
    </row>
    <row r="23" spans="1:30">
      <c r="A23" t="s">
        <v>217</v>
      </c>
      <c r="B23" s="79">
        <f>IF($B$22=0,0,ABS(($B$2-$B$21)*10000)/$B$22)</f>
        <v>0.860759493670885</v>
      </c>
      <c r="G23" t="s">
        <v>218</v>
      </c>
      <c r="H23">
        <v>1.15546</v>
      </c>
      <c r="M23" t="s">
        <v>219</v>
      </c>
      <c r="N23">
        <f>IF(MIN(ABS(($B$2-$E$5)*10000),ABS(($B$2-$E$9)*10000),ABS(($B$2-$E$13)*10000),ABS(($B$2-$E$16)*10000))&lt;=$N$4,1,0)</f>
        <v>0</v>
      </c>
      <c r="P23" t="s">
        <v>220</v>
      </c>
      <c r="Q23" t="str">
        <f>IF($N$21=0,"No trade – stand aside.","Plan: "&amp;IF($Q$4="MID / WAIT","WAIT / optional small "&amp;LOWER($K$11)&amp;" probe ","enter "&amp;LOWER($K$11)&amp;" ")&amp;"@ "&amp;TEXT($T$18,"0.0000")&amp;", TP "&amp;TEXT($K$6,"0.0000")&amp;", SL "&amp;TEXT($K$7,"0.0000")&amp;", risk $"&amp;TEXT($K$5,"0")&amp;" for "&amp;TEXT($T$21,"0.0")&amp;"R to TP1.")</f>
        <v>Plan: enter long @ 1.1601, TP 1.1656, SL 1.1620, risk $370 for 2.9R to TP1.</v>
      </c>
    </row>
    <row r="24" spans="1:30">
      <c r="A24" t="s">
        <v>221</v>
      </c>
      <c r="B24">
        <v>0.00069</v>
      </c>
      <c r="G24" t="s">
        <v>222</v>
      </c>
      <c r="H24" s="21">
        <f>H10</f>
        <v>1.16526</v>
      </c>
      <c r="K24" t="s">
        <v>223</v>
      </c>
      <c r="L24" s="45" t="b">
        <v>1</v>
      </c>
      <c r="Q24" t="str">
        <f>IF($B$33=1,"🔔 Near options expiry magnet at "&amp;TEXT($B$30,"0.0000")&amp;". ","")</f>
        <v>🔔 Near options expiry magnet at 1.1650. </v>
      </c>
      <c r="AC24" t="s">
        <v>224</v>
      </c>
      <c r="AD24">
        <f>MIN(IF(AD15&gt;$B$2,ABS((AD15-$B$2)*10000),1000000000),IF(AD17&gt;$B$2,ABS((AD17-$B$2)*10000),1000000000),IF(AD19&gt;$B$2,ABS((AD19-$B$2)*10000),1000000000),IF(AD21&gt;$B$2,ABS((AD21-$B$2)*10000),1000000000))</f>
        <v>12.3000000000006</v>
      </c>
    </row>
    <row r="25" spans="1:30">
      <c r="A25" t="s">
        <v>225</v>
      </c>
      <c r="B25">
        <f>IF($B$24=0,0,$B$22/$B$24)</f>
        <v>91594.202898549</v>
      </c>
      <c r="G25" t="s">
        <v>226</v>
      </c>
      <c r="H25" s="21">
        <f>H24-(H24-H23)*0.382</f>
        <v>1.1615164</v>
      </c>
      <c r="M25" t="s">
        <v>227</v>
      </c>
      <c r="N25">
        <v>8</v>
      </c>
      <c r="AC25" t="s">
        <v>228</v>
      </c>
      <c r="AD25">
        <f>MIN(IF(AD16&lt;$B$2,ABS((AD16-$B$2)*10000),1000000000),IF(AD18&lt;$B$2,ABS((AD18-$B$2)*10000),1000000000),IF(AD20&lt;$B$2,ABS((AD20-$B$2)*10000),1000000000),IF(AD22&lt;$B$2,ABS((AD22-$B$2)*10000),1000000000))</f>
        <v>2.19999999999887</v>
      </c>
    </row>
    <row r="26" spans="1:30">
      <c r="A26" t="s">
        <v>229</v>
      </c>
      <c r="G26" t="s">
        <v>230</v>
      </c>
      <c r="H26" s="21">
        <f>H24-(H24-H23)*0.5</f>
        <v>1.16036</v>
      </c>
      <c r="M26" t="s">
        <v>231</v>
      </c>
      <c r="N26">
        <f>IF(AND($B$2&gt;$B$6,MIN(ABS(($B$2-$E$5)*10000),ABS(($B$2-$E$9)*10000))&lt;=$N$25),1,0)</f>
        <v>0</v>
      </c>
    </row>
    <row r="27" spans="1:30">
      <c r="A27" t="s">
        <v>232</v>
      </c>
      <c r="B27" s="30">
        <v>1.1214</v>
      </c>
      <c r="C27" t="s">
        <v>233</v>
      </c>
      <c r="D27" s="45">
        <v>1.18</v>
      </c>
      <c r="E27">
        <f>IF($B$27="","",ABS(($B$2-$B$27)*10000))</f>
        <v>429.8</v>
      </c>
      <c r="G27" t="s">
        <v>234</v>
      </c>
      <c r="H27" s="21">
        <f>H24-(H24-H23)*0.618</f>
        <v>1.1592036</v>
      </c>
      <c r="M27" t="s">
        <v>235</v>
      </c>
      <c r="N27">
        <f>IF(AND($B$2&lt;$B$6,MIN(ABS(($B$2-$E$5)*10000),ABS(($B$2-$E$9)*10000))&lt;=$N$25),1,0)</f>
        <v>1</v>
      </c>
      <c r="AC27" t="s">
        <v>236</v>
      </c>
      <c r="AD27" t="b">
        <f>IF($T$11="",FALSE,AD24&gt;=3*$T$11)</f>
        <v>0</v>
      </c>
    </row>
    <row r="28" spans="1:30">
      <c r="A28" t="s">
        <v>237</v>
      </c>
      <c r="B28" s="30">
        <v>1.18</v>
      </c>
      <c r="C28" t="s">
        <v>238</v>
      </c>
      <c r="D28" s="45">
        <v>1.79</v>
      </c>
      <c r="E28">
        <f>IF($B$28="","",ABS(($B$2-$B$28)*10000))</f>
        <v>156.2</v>
      </c>
      <c r="H28" t="str">
        <f>IF($B$42="Zone 1",$H$14,IF($B$42="Zone 2",$H$27,IF($B$42="Zone 3",$H$7,"")))</f>
        <v/>
      </c>
      <c r="M28" t="s">
        <v>239</v>
      </c>
      <c r="N28">
        <f>IF(AND($AD$6,$AD$8),1,0)</f>
        <v>0</v>
      </c>
      <c r="AC28" t="s">
        <v>240</v>
      </c>
      <c r="AD28" t="b">
        <f>IF($T$11="",FALSE,AD25&gt;=3*$T$11)</f>
        <v>0</v>
      </c>
    </row>
    <row r="29" spans="1:30">
      <c r="A29" t="s">
        <v>241</v>
      </c>
      <c r="B29" s="30">
        <v>1.165</v>
      </c>
      <c r="C29" t="s">
        <v>242</v>
      </c>
      <c r="D29" s="45">
        <v>0.856</v>
      </c>
      <c r="E29">
        <f>IF($B$29="","",ABS(($B$2-$B$29)*10000))</f>
        <v>6.20000000000065</v>
      </c>
      <c r="M29" t="s">
        <v>243</v>
      </c>
      <c r="N29">
        <f>IF(AND($AD$7,$AD$9),1,0)</f>
        <v>0</v>
      </c>
    </row>
    <row r="30" spans="1:30">
      <c r="A30" t="s">
        <v>244</v>
      </c>
      <c r="B30" s="21">
        <f>IF(COUNTA($B$27:$B$29)=0,"",INDEX($B$27:$B$29,MATCH(MIN($E$27:$E$29),$E$27:$E$29,0)))</f>
        <v>1.165</v>
      </c>
      <c r="M30" t="s">
        <v>245</v>
      </c>
      <c r="N30">
        <f>IF(OR(AND($K$11="LONG",$H$2&lt;$H$3),AND($K$11="SHORT",$H$2&gt;$H$3)),1,0)</f>
        <v>1</v>
      </c>
    </row>
    <row r="31" spans="1:30">
      <c r="A31" t="s">
        <v>246</v>
      </c>
      <c r="B31" s="6">
        <v>20</v>
      </c>
      <c r="M31" t="s">
        <v>247</v>
      </c>
      <c r="N31" t="str">
        <f>IF($N$30=1,"Trend-aligned","Counter-trend")</f>
        <v>Trend-aligned</v>
      </c>
    </row>
    <row r="32" spans="1:30">
      <c r="A32" t="s">
        <v>248</v>
      </c>
      <c r="B32" s="6">
        <f>IF($B$30="","",ABS(($B$2-$B$30)*10000))</f>
        <v>6.20000000000065</v>
      </c>
    </row>
    <row r="33" spans="1:26">
      <c r="A33" t="s">
        <v>249</v>
      </c>
      <c r="B33" s="6">
        <f>IF(AND($B$30&lt;&gt;"",$B$32&lt;=$B$31),1,0)</f>
        <v>1</v>
      </c>
    </row>
    <row r="34" spans="1:26">
      <c r="A34" t="s">
        <v>250</v>
      </c>
      <c r="B34">
        <v>0.3</v>
      </c>
    </row>
    <row r="35" spans="1:26">
      <c r="B35" s="21"/>
      <c r="N35" t="s">
        <v>251</v>
      </c>
      <c r="O35" t="s">
        <v>252</v>
      </c>
      <c r="P35" t="s">
        <v>78</v>
      </c>
      <c r="Q35" t="s">
        <v>253</v>
      </c>
      <c r="R35" t="s">
        <v>80</v>
      </c>
      <c r="S35" t="s">
        <v>81</v>
      </c>
      <c r="T35" t="s">
        <v>83</v>
      </c>
      <c r="U35" t="s">
        <v>254</v>
      </c>
      <c r="V35" t="s">
        <v>255</v>
      </c>
      <c r="W35" t="s">
        <v>256</v>
      </c>
      <c r="X35" t="s">
        <v>257</v>
      </c>
      <c r="Y35" t="s">
        <v>86</v>
      </c>
    </row>
    <row r="36" spans="1:26">
      <c r="B36" s="21"/>
      <c r="N36">
        <v>1</v>
      </c>
      <c r="O36">
        <v>0.382</v>
      </c>
      <c r="P36" s="21">
        <f>$H$12</f>
        <v>1.16284576</v>
      </c>
      <c r="Q36" s="21">
        <f>$K$6</f>
        <v>1.1656</v>
      </c>
      <c r="R36" s="21">
        <f>$K$7</f>
        <v>1.162</v>
      </c>
      <c r="S36" s="6">
        <f>ABS($Q36-$P36)*10000</f>
        <v>27.5424000000002</v>
      </c>
      <c r="T36" s="6">
        <f>ABS($P36-$R36)*10000</f>
        <v>8.45760000000029</v>
      </c>
      <c r="U36" s="49">
        <f>IF(T36=0,"",S36/T36)</f>
        <v>3.25652667423374</v>
      </c>
      <c r="V36">
        <f>$K$8</f>
        <v>0.2</v>
      </c>
      <c r="W36" s="22">
        <f>$K$5*V36</f>
        <v>74.01045701</v>
      </c>
      <c r="X36" s="22">
        <f>IF(U36="","",W36*U36)</f>
        <v>241.017027425294</v>
      </c>
      <c r="Y36" s="175">
        <f t="shared" ref="Y36:Y42" si="0">IF(T36=0,"",W36/(T36*0.0001))</f>
        <v>87507.6345653584</v>
      </c>
    </row>
    <row r="37" spans="1:26">
      <c r="A37" t="s">
        <v>251</v>
      </c>
      <c r="B37" t="s">
        <v>258</v>
      </c>
      <c r="C37" t="s">
        <v>259</v>
      </c>
      <c r="D37" t="s">
        <v>260</v>
      </c>
      <c r="E37" t="s">
        <v>261</v>
      </c>
      <c r="F37" t="s">
        <v>262</v>
      </c>
      <c r="G37" t="s">
        <v>42</v>
      </c>
      <c r="N37">
        <v>1</v>
      </c>
      <c r="O37">
        <v>0.5</v>
      </c>
      <c r="P37" s="21">
        <f>$H$13</f>
        <v>1.1621</v>
      </c>
      <c r="Q37" s="21">
        <f>$K$6</f>
        <v>1.1656</v>
      </c>
      <c r="R37" s="21">
        <f>$K$7</f>
        <v>1.162</v>
      </c>
      <c r="S37" s="6">
        <f>ABS($Q37-$P37)*10000</f>
        <v>34.9999999999984</v>
      </c>
      <c r="T37" s="6">
        <f>ABS($P37-$R37)*10000</f>
        <v>1.00000000000211</v>
      </c>
      <c r="U37" s="49">
        <f>IF(T37=0,"",S37/T37)</f>
        <v>34.9999999999245</v>
      </c>
      <c r="V37">
        <f>$K$8</f>
        <v>0.2</v>
      </c>
      <c r="W37" s="22">
        <f>$K$5*V37</f>
        <v>74.01045701</v>
      </c>
      <c r="X37" s="22">
        <f>IF(U37="","",W37*U37)</f>
        <v>2590.36599534441</v>
      </c>
      <c r="Y37" s="175">
        <f t="shared" si="0"/>
        <v>740104.570098438</v>
      </c>
      <c r="Z37" s="6"/>
    </row>
    <row r="38" spans="1:26">
      <c r="A38">
        <v>1</v>
      </c>
      <c r="B38" t="s">
        <v>263</v>
      </c>
      <c r="C38" s="21">
        <f>MIN($H$14,$H$12)</f>
        <v>1.16135424</v>
      </c>
      <c r="D38" s="21">
        <f>MAX($H$14,$H$12)</f>
        <v>1.16284576</v>
      </c>
      <c r="E38" t="b">
        <v>1</v>
      </c>
      <c r="F38" t="s">
        <v>264</v>
      </c>
      <c r="G38" t="s">
        <v>265</v>
      </c>
      <c r="N38">
        <v>1</v>
      </c>
      <c r="O38">
        <v>0.618</v>
      </c>
      <c r="P38" s="21">
        <f>$H$14</f>
        <v>1.16135424</v>
      </c>
      <c r="Q38" s="21">
        <f>$K$6</f>
        <v>1.1656</v>
      </c>
      <c r="R38" s="21">
        <f>$K$7</f>
        <v>1.162</v>
      </c>
      <c r="S38" s="6">
        <f>ABS($Q38-$P38)*10000</f>
        <v>42.4575999999988</v>
      </c>
      <c r="T38" s="6">
        <f>ABS($P38-$R38)*10000</f>
        <v>6.45759999999829</v>
      </c>
      <c r="U38" s="49">
        <f>IF(T38=0,"",S38/T38)</f>
        <v>6.57482656095299</v>
      </c>
      <c r="V38">
        <f>$K$8</f>
        <v>0.2</v>
      </c>
      <c r="W38" s="22">
        <f>$K$5*V38</f>
        <v>74.01045701</v>
      </c>
      <c r="X38" s="22">
        <f>IF(U38="","",W38*U38)</f>
        <v>486.605918537617</v>
      </c>
      <c r="Y38" s="6">
        <f t="shared" si="0"/>
        <v>114609.850424337</v>
      </c>
    </row>
    <row r="39" spans="1:26">
      <c r="A39">
        <v>2</v>
      </c>
      <c r="B39" t="s">
        <v>266</v>
      </c>
      <c r="C39" s="21">
        <f>MIN($H$27,$H$25)</f>
        <v>1.1592036</v>
      </c>
      <c r="D39" s="21">
        <f>MAX($H$27,$H$25)</f>
        <v>1.1615164</v>
      </c>
      <c r="E39" t="b">
        <v>1</v>
      </c>
      <c r="F39" t="s">
        <v>267</v>
      </c>
      <c r="G39" t="s">
        <v>268</v>
      </c>
      <c r="N39" t="s">
        <v>269</v>
      </c>
      <c r="S39" s="6"/>
      <c r="T39" s="6"/>
      <c r="U39" s="49">
        <f>IF($K$5=0,"",(X36+X37+X38)/$K$5)</f>
        <v>8.96627064702225</v>
      </c>
      <c r="W39" s="22"/>
      <c r="X39" s="22"/>
      <c r="Y39" s="6" t="str">
        <f t="shared" si="0"/>
        <v/>
      </c>
    </row>
    <row r="40" spans="1:26">
      <c r="A40">
        <v>3</v>
      </c>
      <c r="B40" t="s">
        <v>270</v>
      </c>
      <c r="C40" s="21">
        <f>MIN($H$7,$H$5)</f>
        <v>1.15652598</v>
      </c>
      <c r="D40" s="21">
        <f>MAX($H$7,$H$5)</f>
        <v>1.16098402</v>
      </c>
      <c r="E40" t="b">
        <v>0</v>
      </c>
      <c r="F40" t="s">
        <v>271</v>
      </c>
      <c r="G40" t="s">
        <v>272</v>
      </c>
      <c r="N40">
        <v>2</v>
      </c>
      <c r="O40">
        <v>0.382</v>
      </c>
      <c r="P40" s="21">
        <f>$H$25</f>
        <v>1.1615164</v>
      </c>
      <c r="Q40" s="21">
        <f>$K$6</f>
        <v>1.1656</v>
      </c>
      <c r="R40" s="21">
        <f>$K$7</f>
        <v>1.162</v>
      </c>
      <c r="S40" s="6">
        <f>ABS($Q40-$P40)*10000</f>
        <v>40.8359999999997</v>
      </c>
      <c r="T40" s="6">
        <f>ABS($P40-$R40)*10000</f>
        <v>4.83599999999917</v>
      </c>
      <c r="U40" s="49">
        <f>IF(T40=0,"",S40/T40)</f>
        <v>8.44416873449268</v>
      </c>
      <c r="V40">
        <f>$K$8</f>
        <v>0.2</v>
      </c>
      <c r="W40" s="22">
        <f>$K$5*V40</f>
        <v>74.01045701</v>
      </c>
      <c r="X40" s="22">
        <f>IF(U40="","",W40*U40)</f>
        <v>624.956787109357</v>
      </c>
      <c r="Y40" s="6">
        <f t="shared" si="0"/>
        <v>153040.647249819</v>
      </c>
    </row>
    <row r="41" spans="1:26">
      <c r="N41">
        <v>2</v>
      </c>
      <c r="O41">
        <v>0.5</v>
      </c>
      <c r="P41" s="21">
        <f>$H$26</f>
        <v>1.16036</v>
      </c>
      <c r="Q41" s="21">
        <f>$K$6</f>
        <v>1.1656</v>
      </c>
      <c r="R41" s="21">
        <f>$K$7</f>
        <v>1.162</v>
      </c>
      <c r="S41" s="6">
        <f>ABS($Q41-$P41)*10000</f>
        <v>52.4000000000013</v>
      </c>
      <c r="T41" s="6">
        <f>ABS($P41-$R41)*10000</f>
        <v>16.4000000000009</v>
      </c>
      <c r="U41" s="49">
        <f>IF(T41=0,"",S41/T41)</f>
        <v>3.19512195121943</v>
      </c>
      <c r="V41">
        <f>$K$9</f>
        <v>0.35</v>
      </c>
      <c r="W41" s="22">
        <f>$K$5*V41</f>
        <v>129.5182997675</v>
      </c>
      <c r="X41" s="22">
        <f>IF(U41="","",W41*U41)</f>
        <v>413.826762671757</v>
      </c>
      <c r="Y41" s="6">
        <f t="shared" si="0"/>
        <v>78974.5730289593</v>
      </c>
    </row>
    <row r="42" spans="1:26">
      <c r="A42" t="s">
        <v>273</v>
      </c>
      <c r="B42" t="str">
        <f>IF(AND($B$2&gt;=C38,$B$2&lt;=D38),"Zone 1",IF(AND($B$2&gt;=C39,$B$2&lt;=D39),"Zone 2",IF(AND($B$2&gt;=C40,$B$2&lt;=D40),"Zone 3","None")))</f>
        <v>None</v>
      </c>
      <c r="N42">
        <v>2</v>
      </c>
      <c r="O42">
        <v>0.618</v>
      </c>
      <c r="P42" s="21">
        <f>$H$27</f>
        <v>1.1592036</v>
      </c>
      <c r="Q42" s="21">
        <f>$K$6</f>
        <v>1.1656</v>
      </c>
      <c r="R42" s="21">
        <f>$K$7</f>
        <v>1.162</v>
      </c>
      <c r="S42" s="6">
        <f>ABS($Q42-$P42)*10000</f>
        <v>63.9640000000008</v>
      </c>
      <c r="T42" s="6">
        <f>ABS($P42-$R42)*10000</f>
        <v>27.9640000000003</v>
      </c>
      <c r="U42" s="49">
        <f>IF(T42=0,"",S42/T42)</f>
        <v>2.28736947503934</v>
      </c>
      <c r="V42">
        <f>$K$10</f>
        <v>0.45</v>
      </c>
      <c r="W42" s="22">
        <f>$K$5*V42</f>
        <v>166.5235282725</v>
      </c>
      <c r="X42" s="22">
        <f>IF(U42="","",W42*U42)</f>
        <v>380.900835446367</v>
      </c>
      <c r="Y42" s="6">
        <f t="shared" si="0"/>
        <v>59549.25199274</v>
      </c>
    </row>
    <row r="43" spans="1:26">
      <c r="N43" t="s">
        <v>274</v>
      </c>
      <c r="U43" s="49">
        <f>IF($K$5=0,"",(X40+X41+X42)/$K$5)</f>
        <v>3.83644269359304</v>
      </c>
      <c r="Y43" s="6">
        <f>SUM(Y40:Y42)</f>
        <v>291564.472271519</v>
      </c>
    </row>
    <row r="44" spans="1:26">
      <c r="N44">
        <v>3</v>
      </c>
      <c r="O44">
        <v>0.382</v>
      </c>
      <c r="P44" s="21">
        <f>$H$5</f>
        <v>1.16098402</v>
      </c>
      <c r="Q44" s="21">
        <f>$K$6</f>
        <v>1.1656</v>
      </c>
      <c r="R44" s="21">
        <f>$K$7</f>
        <v>1.162</v>
      </c>
      <c r="S44" s="6">
        <f>ABS($Q44-$P44)*10000</f>
        <v>46.1598000000008</v>
      </c>
      <c r="T44" s="6">
        <f>ABS($P44-$R44)*10000</f>
        <v>10.1598000000003</v>
      </c>
      <c r="U44" s="49">
        <f>IF(T44=0,"",S44/T44)</f>
        <v>4.54337683812669</v>
      </c>
      <c r="V44">
        <f>$K$8</f>
        <v>0.2</v>
      </c>
      <c r="W44" s="22">
        <f>$K$5*V44</f>
        <v>74.01045701</v>
      </c>
      <c r="X44" s="22">
        <f>IF(U44="","",W44*U44)</f>
        <v>336.257396158405</v>
      </c>
      <c r="Y44" s="6">
        <f>IF(T44=0,"",W44/(T44*0.0001))</f>
        <v>72846.371985667</v>
      </c>
    </row>
    <row r="45" spans="1:26">
      <c r="N45">
        <v>3</v>
      </c>
      <c r="O45">
        <v>0.5</v>
      </c>
      <c r="P45" s="21">
        <f>$H$6</f>
        <v>1.158755</v>
      </c>
      <c r="Q45" s="21">
        <f>$K$6</f>
        <v>1.1656</v>
      </c>
      <c r="R45" s="21">
        <f>$K$7</f>
        <v>1.162</v>
      </c>
      <c r="S45" s="6">
        <f>ABS($Q45-$P45)*10000</f>
        <v>68.4499999999999</v>
      </c>
      <c r="T45" s="6">
        <f>ABS($P45-$R45)*10000</f>
        <v>32.4499999999994</v>
      </c>
      <c r="U45" s="49">
        <f>IF(T45=0,"",S45/T45)</f>
        <v>2.1093990755008</v>
      </c>
      <c r="V45">
        <f>$K$9</f>
        <v>0.35</v>
      </c>
      <c r="W45" s="22">
        <f>$K$5*V45</f>
        <v>129.5182997675</v>
      </c>
      <c r="X45" s="22">
        <f>IF(U45="","",W45*U45)</f>
        <v>273.205781790001</v>
      </c>
      <c r="Y45" s="6">
        <f>IF(T45=0,"",W45/(T45*0.0001))</f>
        <v>39913.1894506941</v>
      </c>
    </row>
    <row r="46" spans="1:26">
      <c r="N46">
        <v>3</v>
      </c>
      <c r="O46">
        <v>0.618</v>
      </c>
      <c r="P46" s="21">
        <f>$H$7</f>
        <v>1.15652598</v>
      </c>
      <c r="Q46" s="21">
        <f>$K$6</f>
        <v>1.1656</v>
      </c>
      <c r="R46" s="21">
        <f>$K$7</f>
        <v>1.162</v>
      </c>
      <c r="S46" s="6">
        <f>ABS($Q46-$P46)*10000</f>
        <v>90.740199999999</v>
      </c>
      <c r="T46" s="6">
        <f>ABS($P46-$R46)*10000</f>
        <v>54.7401999999986</v>
      </c>
      <c r="U46" s="49">
        <f>IF(T46=0,"",S46/T46)</f>
        <v>1.65765196327382</v>
      </c>
      <c r="V46">
        <f>$K$10</f>
        <v>0.45</v>
      </c>
      <c r="W46" s="22">
        <f>$K$5*V46</f>
        <v>166.5235282725</v>
      </c>
      <c r="X46" s="22">
        <f>IF(U46="","",W46*U46)</f>
        <v>276.038053572193</v>
      </c>
      <c r="Y46" s="6">
        <f>IF(T46=0,"",W46/(T46*0.0001))</f>
        <v>30420.7014721364</v>
      </c>
    </row>
    <row r="47" spans="1:26">
      <c r="N47" t="s">
        <v>275</v>
      </c>
      <c r="U47" s="49">
        <f>IF($K$5=0,"",(X44+X45+X46)/$K$5)</f>
        <v>2.39290842752384</v>
      </c>
      <c r="Y47" s="6">
        <f>SUM(Y44:Y46)</f>
        <v>143180.262908498</v>
      </c>
    </row>
    <row r="50" spans="13:14">
      <c r="M50" t="s">
        <v>276</v>
      </c>
      <c r="N50">
        <f>IF($B$23&lt;=0.4,0.5,0)</f>
        <v>0</v>
      </c>
    </row>
    <row r="51" spans="13:14">
      <c r="M51" t="s">
        <v>277</v>
      </c>
      <c r="N51">
        <f>IF($B$23&gt;=0.6,0.5,0)</f>
        <v>0.5</v>
      </c>
    </row>
    <row r="52" spans="13:14">
      <c r="M52" t="s">
        <v>278</v>
      </c>
      <c r="N52">
        <f>IF($B$25&gt;=0.8,1,0)</f>
        <v>1</v>
      </c>
    </row>
    <row r="53" spans="13:14">
      <c r="M53" t="s">
        <v>279</v>
      </c>
      <c r="N53">
        <f>IF($B$25&gt;=1,1,0)</f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2"/>
  <sheetViews>
    <sheetView topLeftCell="A25" workbookViewId="0">
      <selection activeCell="A1" sqref="A1:D1"/>
    </sheetView>
  </sheetViews>
  <sheetFormatPr defaultColWidth="9" defaultRowHeight="14.5"/>
  <cols>
    <col min="1" max="1" width="38.4272727272727" customWidth="1"/>
    <col min="2" max="2" width="9" customWidth="1"/>
    <col min="4" max="4" width="11" customWidth="1"/>
    <col min="6" max="6" width="33.1363636363636" customWidth="1"/>
    <col min="7" max="7" width="17.7090909090909" customWidth="1"/>
    <col min="8" max="8" width="10.1363636363636" customWidth="1"/>
    <col min="9" max="9" width="11.1363636363636" customWidth="1"/>
    <col min="10" max="10" width="15.8545454545455" customWidth="1"/>
    <col min="11" max="11" width="29.4272727272727" customWidth="1"/>
    <col min="12" max="12" width="12.2818181818182" customWidth="1"/>
    <col min="16" max="16" width="19.1363636363636" customWidth="1"/>
    <col min="17" max="17" width="13.2818181818182" customWidth="1"/>
    <col min="20" max="20" width="12.7090909090909" customWidth="1"/>
    <col min="21" max="21" width="18.4272727272727" customWidth="1"/>
    <col min="22" max="22" width="13.8545454545455" customWidth="1"/>
    <col min="23" max="23" width="14.4272727272727" customWidth="1"/>
    <col min="24" max="24" width="20" customWidth="1"/>
    <col min="25" max="25" width="18" customWidth="1"/>
    <col min="26" max="26" width="14.5727272727273" customWidth="1"/>
    <col min="27" max="27" width="25" customWidth="1"/>
    <col min="28" max="28" width="35.1363636363636" customWidth="1"/>
    <col min="29" max="29" width="185.709090909091" customWidth="1"/>
    <col min="30" max="30" width="18.8545454545455" customWidth="1"/>
    <col min="31" max="31" width="14.4272727272727" customWidth="1"/>
    <col min="32" max="32" width="49.2818181818182" customWidth="1"/>
    <col min="33" max="33" width="143.709090909091" customWidth="1"/>
    <col min="35" max="35" width="15.4272727272727" customWidth="1"/>
    <col min="36" max="36" width="12" customWidth="1"/>
    <col min="37" max="37" width="13.2818181818182" customWidth="1"/>
  </cols>
  <sheetData>
    <row r="1" ht="18" customHeight="1" spans="1:37">
      <c r="A1" s="161" t="s">
        <v>280</v>
      </c>
      <c r="F1" t="s">
        <v>281</v>
      </c>
      <c r="K1" t="s">
        <v>59</v>
      </c>
      <c r="L1" s="17" t="str">
        <f>IF(AND($G$8,NOT($G$9)),"LONG",IF(AND($G$9,NOT($G$8)),"SHORT",""))</f>
        <v/>
      </c>
      <c r="P1" s="18" t="s">
        <v>282</v>
      </c>
      <c r="Q1" s="19" t="s">
        <v>78</v>
      </c>
      <c r="R1" s="19" t="s">
        <v>79</v>
      </c>
      <c r="S1" s="19" t="s">
        <v>80</v>
      </c>
      <c r="T1" s="19" t="s">
        <v>81</v>
      </c>
      <c r="U1" s="19" t="s">
        <v>283</v>
      </c>
      <c r="V1" s="19" t="s">
        <v>255</v>
      </c>
      <c r="W1" s="19" t="s">
        <v>256</v>
      </c>
      <c r="X1" s="19" t="s">
        <v>257</v>
      </c>
      <c r="Y1" s="19" t="s">
        <v>86</v>
      </c>
      <c r="Z1" s="20" t="s">
        <v>284</v>
      </c>
      <c r="AI1" t="s">
        <v>285</v>
      </c>
      <c r="AJ1" s="21">
        <f>IF(SUM($V$28:$V$30)=0,"",SUMPRODUCT($Q$28:$Q$30,$V$28:$V$30)/SUM($V$28:$V$30))</f>
        <v>1.1648025</v>
      </c>
    </row>
    <row r="2" spans="1:37">
      <c r="A2" t="s">
        <v>286</v>
      </c>
      <c r="F2" s="4" t="s">
        <v>87</v>
      </c>
      <c r="G2" s="4" t="s">
        <v>88</v>
      </c>
      <c r="H2" s="4" t="s">
        <v>89</v>
      </c>
      <c r="I2" s="4" t="s">
        <v>90</v>
      </c>
      <c r="K2" t="s">
        <v>36</v>
      </c>
      <c r="L2" s="22">
        <f>Summary!B10*Summary!B8</f>
        <v>502.2766</v>
      </c>
      <c r="P2" s="23" t="s">
        <v>97</v>
      </c>
      <c r="Q2" s="24" t="str">
        <f>IF($L$1="LONG",IF($AE$58,$G$19,$B$7),IF($L$1="SHORT",$D$23,""))</f>
        <v/>
      </c>
      <c r="R2" s="24" t="str">
        <f>IF(Q2="","",$AE$40)</f>
        <v/>
      </c>
      <c r="S2" s="24" t="str">
        <f>IF($L$1="LONG",IF(OR($AE$58,$B$3&gt;=$G$19),$AE$27,$G$20-0.0002),IF($L$1="SHORT",IF($AE$58,MAX($B$39,$B$7)+0.0002,$G$19+0.0002),""))</f>
        <v/>
      </c>
      <c r="T2" s="25" t="str">
        <f>IF(OR(Q2="",R2=""),"",ABS((R2-Q2)*10000))</f>
        <v/>
      </c>
      <c r="U2" s="25" t="str">
        <f>IF(OR(Q2="",S2=""),"",MAX(ABS((Q2-S2)*10000),$AE$19))</f>
        <v/>
      </c>
      <c r="V2" s="26">
        <f>$L$7</f>
        <v>0.2</v>
      </c>
      <c r="W2" s="27" t="str">
        <f>IF(OR(V2=0,$AE$11=0,Q2=""),"",$L$2*$AE$8*V2/$AE$11)</f>
        <v/>
      </c>
      <c r="X2" s="27" t="str">
        <f>IF(OR(W2="",W2=0,T2=""),"",W2*T2/MAX(U2,$AE$19))</f>
        <v/>
      </c>
      <c r="Y2" s="28" t="str">
        <f>IF(OR(Q2="",U2="",W2=""),"",W2/(MAX(U2,$AE$19)*$AE$3))</f>
        <v/>
      </c>
      <c r="Z2" s="29" t="str">
        <f>IF(OR(T2="",U2=""),"",T2/MAX(U2,$AE$19))</f>
        <v/>
      </c>
      <c r="AA2" t="str">
        <f>IF(U2="","",MAX(U2,$AE$7))</f>
        <v/>
      </c>
      <c r="AB2" t="s">
        <v>287</v>
      </c>
      <c r="AD2" t="s">
        <v>288</v>
      </c>
      <c r="AF2" t="s">
        <v>289</v>
      </c>
      <c r="AG2" s="14" t="str">
        <f ca="1">IF($AC$25,"Avoid trading this leg – system rules (R, room, macro) are not met.",IF($AC$56=1,"HTF up, shallow pullback in Tier 1 (15m 0.382–0.618). Long bias but less room; prefer buying dips closer to Tier 2/3.",IF($AC$56=2,"HTF up, intraday pullback trading in Tier 2 (4H FVG + HTF 0.382 + EMA50D). Macro bias: buy dips; this is a B-grade but tradable zone when ladder and R/room are valid.",IF($AC$56=3,"HTF up, deep discount near structural support (Tier 3). If trend remains intact, this is a high-value region.","Price is above all discount tiers (premium) near PMH/PDH/EQH. This is not a location for fresh longs; either manage existing longs or wait for a pullback into Tier 2/3 or a clearly defined CT short setup."))))</f>
        <v>Avoid trading this leg – system rules (R, room, macro) are not met.</v>
      </c>
      <c r="AI2" t="s">
        <v>290</v>
      </c>
      <c r="AJ2" s="21">
        <f>$AC$48+0.0008</f>
        <v>1.16534</v>
      </c>
    </row>
    <row r="3" spans="1:37">
      <c r="A3" t="s">
        <v>91</v>
      </c>
      <c r="B3" s="30">
        <f>Planner_HUD!B5</f>
        <v>1.16364</v>
      </c>
      <c r="F3" s="4" t="s">
        <v>98</v>
      </c>
      <c r="G3" s="31" t="str">
        <f>IF($B$12="","",IF(AND($B$12&gt;$B$13,$B$13&gt;$B$14,$B$3&gt;$B$12+0.0002),"Bull",IF(AND($B$12&lt;$B$13,$B$13&lt;$B$14,$B$3&lt;$B$12-0.0002),"Bear","Range")))</f>
        <v>Range</v>
      </c>
      <c r="H3" s="32" t="str">
        <f>Planner_HUD!C24</f>
        <v>Down</v>
      </c>
      <c r="I3" s="32" t="str">
        <f>Planner_HUD!D24</f>
        <v>Down</v>
      </c>
      <c r="K3" t="s">
        <v>126</v>
      </c>
      <c r="L3" t="str">
        <f>IF($L$1="LONG",MIN(IF($G$15&gt;$B$3,$G$15,10^6),IF($G$17&gt;$B$3,$G$17,10^6),IF($G$19&gt;$B$3,$G$19,10^6),IF($G$21&gt;$B$3,$G$21,10^6)),IF($L$1="SHORT",MAX(IF($G$16&lt;$B$3,$G$16,-10^6),IF($G$18&lt;$B$3,$G$18,-10^6),IF($G$20&lt;$B$3,$G$20,-10^6),IF($G$22&lt;$B$3,$G$22,-10^6)),""))</f>
        <v/>
      </c>
      <c r="P3" s="33" t="s">
        <v>108</v>
      </c>
      <c r="Q3" s="34" t="str">
        <f>IF($L$1="LONG",IF($AE$58,AVERAGE($B$39,$B$40),$B$8),IF($L$1="SHORT",$D$24,""))</f>
        <v/>
      </c>
      <c r="R3" s="24" t="str">
        <f>IF(Q3="","",$AE$40)</f>
        <v/>
      </c>
      <c r="S3" s="24" t="str">
        <f>IF($L$1="LONG",IF(OR($AE$58,$B$3&gt;=$G$19),$AE$27,$G$20-0.0002),IF($L$1="SHORT",IF($AE$58,MAX($B$39,$B$7)+0.0002,$G$19+0.0002),""))</f>
        <v/>
      </c>
      <c r="T3" s="25" t="str">
        <f>IF(OR(Q3="",R3=""),"",ABS((R3-Q3)*10000))</f>
        <v/>
      </c>
      <c r="U3" s="25" t="str">
        <f>IF(OR(Q3="",S3=""),"",MAX(ABS((Q3-S3)*10000),$AE$19))</f>
        <v/>
      </c>
      <c r="V3" s="26">
        <f>$L$8</f>
        <v>0.35</v>
      </c>
      <c r="W3" s="27" t="str">
        <f>IF(OR(V3=0,$AE$11=0,Q3=""),"",$L$2*$AE$8*V3/$AE$11)</f>
        <v/>
      </c>
      <c r="X3" s="27" t="str">
        <f>IF(OR(W3="",W3=0,T3=""),"",W3*T3/MAX(U3,$AE$19))</f>
        <v/>
      </c>
      <c r="Y3" s="28" t="str">
        <f>IF(OR(Q3="",U3="",W3=""),"",W3/(MAX(U3,$AE$19)*$AE$3))</f>
        <v/>
      </c>
      <c r="Z3" s="29" t="str">
        <f>IF(OR(T3="",U3=""),"",T3/MAX(U3,$AE$19))</f>
        <v/>
      </c>
      <c r="AA3" t="str">
        <f>IF(U3="","",MAX(U3,$AE$7))</f>
        <v/>
      </c>
      <c r="AD3" t="s">
        <v>291</v>
      </c>
      <c r="AE3" s="35">
        <v>0.0001</v>
      </c>
      <c r="AG3" t="str">
        <f ca="1">IF(AC23&lt;&gt;"CoreLong","",IF($AC$55=1,"Shallow long zone (Tier 1): "&amp;TEXT(AC51,"0.00000")&amp;" → "&amp;TEXT(AD51,"0.00000")&amp;" (15m fib 0.382–0.618, less room).",IF($AC$55=2,"Main long zone (Tier 2): "&amp;TEXT(AC52,"0.00000")&amp;" → "&amp;TEXT(AD52,"0.00000")&amp;" (4H FVG + HTF 0.382 + EMA50D).",IF($AC$55=3,"Deep long zone (Tier 3): "&amp;TEXT(AC53,"0.00000")&amp;" → "&amp;TEXT(AD53,"0.00000")&amp;" (EMA100D + PWL + HTF fib).",""))))</f>
        <v/>
      </c>
      <c r="AI3" t="s">
        <v>292</v>
      </c>
      <c r="AJ3" s="21" t="str">
        <f>$AC$32</f>
        <v/>
      </c>
    </row>
    <row r="4" spans="1:37">
      <c r="B4" s="30"/>
      <c r="F4" s="4" t="s">
        <v>109</v>
      </c>
      <c r="G4" s="31" t="str">
        <f>IF($B$11="","",IF($B$3&gt;$B$11+0.0002,"Bull",IF($B$3&lt;$B$11-0.0002,"Bear","Range")))</f>
        <v>Bear</v>
      </c>
      <c r="H4" s="32" t="str">
        <f>Planner_HUD!C25</f>
        <v>Down</v>
      </c>
      <c r="I4" s="32" t="str">
        <f>Planner_HUD!D25</f>
        <v>Down</v>
      </c>
      <c r="K4" t="s">
        <v>293</v>
      </c>
      <c r="L4" s="36" t="str">
        <f>IF($L$5&lt;&gt;"",$L$5,IF($L$1="LONG",IF($L$22="","",$L$22-0.0003),IF($L$1="SHORT",IF($L$23="","",$L$23+0.0003),"")))</f>
        <v/>
      </c>
      <c r="P4" s="37" t="s">
        <v>114</v>
      </c>
      <c r="Q4" s="38" t="str">
        <f>IF($L$1="LONG",IF($AE$58,MIN($B$40,$B$7),$B$10),IF($L$1="SHORT",$D$25,""))</f>
        <v/>
      </c>
      <c r="R4" s="38" t="str">
        <f>IF(Q4="","",$AE$40)</f>
        <v/>
      </c>
      <c r="S4" s="38" t="str">
        <f>IF($L$1="LONG",IF(OR($AE$58,$B$3&gt;=$G$19),$AE$27,$G$20-0.0002),IF($L$1="SHORT",IF($AE$58,MAX($B$39,$B$7)+0.0002,$G$19+0.0002),""))</f>
        <v/>
      </c>
      <c r="T4" s="39" t="str">
        <f>IF(OR(Q4="",R4=""),"",ABS((R4-Q4)*10000))</f>
        <v/>
      </c>
      <c r="U4" s="39" t="str">
        <f>IF(OR(Q4="",S4=""),"",MAX(ABS((Q4-S4)*10000),$AE$19))</f>
        <v/>
      </c>
      <c r="V4" s="40">
        <f>$L$9</f>
        <v>0.45</v>
      </c>
      <c r="W4" s="41" t="str">
        <f>IF(OR(V4=0,$AE$11=0,Q4=""),"",$L$2*$AE$8*V4/$AE$11)</f>
        <v/>
      </c>
      <c r="X4" s="41" t="str">
        <f>IF(OR(W4="",W4=0,T4=""),"",W4*T4/MAX(U4,$AE$19))</f>
        <v/>
      </c>
      <c r="Y4" s="42" t="str">
        <f>IF(OR(Q4="",U4="",W4=""),"",W4/(MAX(U4,$AE$19)*$AE$3))</f>
        <v/>
      </c>
      <c r="Z4" s="43" t="str">
        <f>IF(OR(T4="",U4=""),"",T4/MAX(U4,$AE$19))</f>
        <v/>
      </c>
      <c r="AA4" t="str">
        <f>IF(U4="","",MAX(U4,$AE$7))</f>
        <v/>
      </c>
      <c r="AB4" t="s">
        <v>294</v>
      </c>
      <c r="AC4" s="16">
        <f>ROUND($B$18*10000*0.8,0)</f>
        <v>4</v>
      </c>
      <c r="AD4" t="s">
        <v>295</v>
      </c>
      <c r="AE4" s="44">
        <v>8</v>
      </c>
      <c r="AF4" t="s">
        <v>296</v>
      </c>
      <c r="AG4" t="str">
        <f>"Deep A+ long pocket candidate (Tier 3): "&amp;TEXT($AC$53,"0.00000")&amp;" → "&amp;TEXT($AD$53,"0.00000")&amp;". Ladder (upper/mid/deep): "&amp;TEXT($Q$15,"0.00000")&amp;"/"&amp;TEXT($Q$16,"0.00000")&amp;"/"&amp;TEXT($Q$17,"0.00000")&amp;", SL "&amp;TEXT($S$15,"0.00000")&amp;", TP1 "&amp;TEXT($R$15,"0.00000")&amp;". Use this only if price flushes into Tier 3 with HTF trend intact and R/room are satisfied."</f>
        <v>Deep A+ long pocket candidate (Tier 3): 1.16347 → 1.16757. Ladder (upper/mid/deep): //, SL , TP1 . Use this only if price flushes into Tier 3 with HTF trend intact and R/room are satisfied.</v>
      </c>
      <c r="AI4" t="s">
        <v>297</v>
      </c>
      <c r="AJ4" t="str">
        <f>IF($L$1="SHORT",$L$3,"")</f>
        <v/>
      </c>
    </row>
    <row r="5" spans="1:37">
      <c r="A5" t="s">
        <v>102</v>
      </c>
      <c r="B5" s="45">
        <f>Planner_HUD!B6</f>
        <v>1.16347</v>
      </c>
      <c r="F5" s="4" t="s">
        <v>115</v>
      </c>
      <c r="G5" s="31" t="str">
        <f>IF($B$10="","",IF($B$3&gt;$B$10+0.0002,"Bull",IF($B$3&lt;$B$10-0.0002,"Bear","Range")))</f>
        <v>Bear</v>
      </c>
      <c r="H5" s="32" t="str">
        <f>Planner_HUD!C26</f>
        <v>Down</v>
      </c>
      <c r="I5" s="32" t="str">
        <f>Planner_HUD!D26</f>
        <v>Down</v>
      </c>
      <c r="K5" t="s">
        <v>298</v>
      </c>
      <c r="AB5" t="s">
        <v>299</v>
      </c>
      <c r="AC5" s="16">
        <f>ROUND($B$18*10000*0.5,0)</f>
        <v>2</v>
      </c>
      <c r="AD5" t="s">
        <v>300</v>
      </c>
      <c r="AE5" s="46">
        <v>1.5</v>
      </c>
      <c r="AF5" t="s">
        <v>301</v>
      </c>
      <c r="AG5" t="str">
        <f ca="1">IF(AND($AC$23="CoreLong",NOT($AC$25)),"Trend long plan (current tier "&amp;$AC$56&amp;"): ladder at "&amp;TEXT($Q$2,"0.00000")&amp;"/"&amp;TEXT($Q$3,"0.00000")&amp;"/"&amp;TEXT($Q$4,"0.00000")&amp;", SL "&amp;TEXT($S$2,"0.00000")&amp;", TP1 "&amp;TEXT($R$2,"0.00000")&amp;". Confirm 15m/1H CHOCH up in this tier, then manage toward TP1 (and potentially PDH/PWH) using the ladder.","")</f>
        <v/>
      </c>
      <c r="AI5" t="s">
        <v>302</v>
      </c>
      <c r="AJ5" s="47">
        <f>$L$2*0.5</f>
        <v>251.1383</v>
      </c>
      <c r="AK5" s="47" t="e">
        <f>IF(AJ9=0,"",(AJ1-AJ3)*AJ9)</f>
        <v>#VALUE!</v>
      </c>
    </row>
    <row r="6" spans="1:37">
      <c r="A6" t="s">
        <v>110</v>
      </c>
      <c r="B6" s="30">
        <f>Planner_HUD!B7</f>
        <v>1.16351</v>
      </c>
      <c r="F6" s="4" t="s">
        <v>122</v>
      </c>
      <c r="G6" s="31" t="str">
        <f>IF($B$5="","",IF(AND($B$5&gt;$B$6,$B$6&gt;$B$7,$B$7&gt;$B$8),"Bull",IF(AND($B$5&lt;$B$6,$B$6&lt;$B$7,$B$7&lt;$B$8),"Bear","Range")))</f>
        <v>Bear</v>
      </c>
      <c r="H6" s="32" t="str">
        <f>Planner_HUD!C27</f>
        <v>Down</v>
      </c>
      <c r="I6" s="32" t="str">
        <f>Planner_HUD!D27</f>
        <v>Down</v>
      </c>
      <c r="P6" t="s">
        <v>161</v>
      </c>
      <c r="Q6" s="6">
        <f>IF(SUM(Y2:Y4)=0,0,SUMPRODUCT(AA2:AA4,Y2:Y4)/SUM(Y2:Y4))</f>
        <v>0</v>
      </c>
      <c r="AB6" t="s">
        <v>303</v>
      </c>
      <c r="AC6" s="16">
        <f>ROUND($B$18*10000*1,0)</f>
        <v>5</v>
      </c>
      <c r="AD6" t="s">
        <v>304</v>
      </c>
      <c r="AE6" s="46">
        <f>ROUND($B$18*10000,1)</f>
        <v>4.7</v>
      </c>
      <c r="AI6" t="s">
        <v>305</v>
      </c>
      <c r="AJ6" s="6">
        <f>IF(OR(AJ1="",AJ2=""),"",ABS((AJ1-AJ2)*10000))</f>
        <v>5.3750000000008</v>
      </c>
    </row>
    <row r="7" spans="1:37">
      <c r="A7" t="s">
        <v>117</v>
      </c>
      <c r="B7" s="45">
        <f>Planner_HUD!B8</f>
        <v>1.16383</v>
      </c>
      <c r="F7" s="4"/>
      <c r="K7" t="s">
        <v>138</v>
      </c>
      <c r="L7" s="45">
        <f>Planner_HUD!K16</f>
        <v>0.2</v>
      </c>
      <c r="P7" t="s">
        <v>166</v>
      </c>
      <c r="Q7" s="48">
        <f>SUM(Y2:Y4)</f>
        <v>0</v>
      </c>
      <c r="AB7" t="s">
        <v>133</v>
      </c>
      <c r="AC7" s="16">
        <f>0.25*COUNTIF($B$10:$B$16,"&lt;"&amp;$B$3)</f>
        <v>1</v>
      </c>
      <c r="AD7" t="s">
        <v>306</v>
      </c>
      <c r="AE7" s="44">
        <f>MAX(AE4,ROUNDUP(AE6*AE5,0))</f>
        <v>8</v>
      </c>
      <c r="AF7" t="s">
        <v>307</v>
      </c>
      <c r="AG7" t="str">
        <f ca="1">IF(AND($AC$23="CTshort",NOT($AC$25)),"CT short zone: "&amp;TEXT($AC$47,"0.00000")&amp;" → "&amp;TEXT($AC$48,"0.00000")&amp;" (premium liquidity cluster: PMH/PDH/EQH/PWH).","")</f>
        <v/>
      </c>
      <c r="AI7" t="s">
        <v>308</v>
      </c>
      <c r="AJ7" s="6" t="str">
        <f>IF(OR(AJ3="",AJ1=""),"",ABS((AJ3-AJ1)*10000))</f>
        <v/>
      </c>
    </row>
    <row r="8" spans="1:37">
      <c r="A8" t="s">
        <v>123</v>
      </c>
      <c r="B8" s="30">
        <f>Planner_HUD!B9</f>
        <v>1.1658</v>
      </c>
      <c r="F8" t="s">
        <v>129</v>
      </c>
      <c r="G8" t="b">
        <f>AND(G3="Bull",G4="Bull")</f>
        <v>0</v>
      </c>
      <c r="K8" t="s">
        <v>146</v>
      </c>
      <c r="L8" s="45">
        <f>Planner_HUD!K17</f>
        <v>0.35</v>
      </c>
      <c r="P8" t="s">
        <v>195</v>
      </c>
      <c r="Q8" s="21" t="str">
        <f>IF(Q7=0,"",SUMPRODUCT(Q2:Q4,Y2:Y4)/Q7)</f>
        <v/>
      </c>
      <c r="AB8" t="s">
        <v>139</v>
      </c>
      <c r="AC8" s="16">
        <f>0.25*COUNTIF($B$10:$B$16,"&gt;"&amp;$B$3)</f>
        <v>0.75</v>
      </c>
      <c r="AD8" t="s">
        <v>309</v>
      </c>
      <c r="AE8" s="46">
        <v>1</v>
      </c>
      <c r="AF8" t="s">
        <v>310</v>
      </c>
      <c r="AG8" t="str">
        <f ca="1">IF(AND($AC$23="CTshort",NOT($AC$25)),"CT short plan: ladder shorts at "&amp;TEXT($AC$48,"0.00000")&amp;"/"&amp;TEXT($AC$49,"0.00000")&amp;"/"&amp;TEXT($AC$47,"0.00000")&amp;", SL "&amp;TEXT($AC$48+0.0008,"0.00000")&amp;", TP1 "&amp;TEXT($AC$35,"0.00000")&amp;IF($AC$32&lt;&gt;""," (golden mid)."," (Tier1 top; no golden overlap).")&amp;" Size small; countertrend — only take on clear exhaustion near PDH/EQH.","")</f>
        <v/>
      </c>
      <c r="AI8" t="s">
        <v>311</v>
      </c>
      <c r="AJ8" s="49" t="str">
        <f>IF(OR(AJ6="",AJ7="",AJ6=0),"",AJ7/AJ6)</f>
        <v/>
      </c>
    </row>
    <row r="9" spans="1:37">
      <c r="F9" t="s">
        <v>135</v>
      </c>
      <c r="G9" t="b">
        <f>AND(G3="Bear",G4="Bear")</f>
        <v>0</v>
      </c>
      <c r="K9" t="s">
        <v>153</v>
      </c>
      <c r="L9" s="45">
        <f>Planner_HUD!K18</f>
        <v>0.45</v>
      </c>
      <c r="P9" t="s">
        <v>81</v>
      </c>
      <c r="Q9" s="6" t="str">
        <f>IF(OR(Q8="",$L$3=""),"",ABS(($L$3-Q8)*10000))</f>
        <v/>
      </c>
      <c r="AB9" t="s">
        <v>170</v>
      </c>
      <c r="AC9" s="16">
        <f>IF($B$20&lt;45,0.5,0)+IF($B$21&lt;45,0.25,0)+IF($B$17&lt;45,0.25,0)</f>
        <v>0.5</v>
      </c>
      <c r="AD9" t="s">
        <v>312</v>
      </c>
      <c r="AE9" s="46">
        <v>1</v>
      </c>
      <c r="AI9" t="s">
        <v>313</v>
      </c>
      <c r="AJ9" s="50">
        <f>IF(OR(AJ5="",AJ6="",AJ6=0),"",AJ5/(AJ6*0.0001))</f>
        <v>467234.046511559</v>
      </c>
    </row>
    <row r="10" spans="1:37">
      <c r="A10" t="s">
        <v>136</v>
      </c>
      <c r="B10" s="30">
        <f>Planner_HUD!B10</f>
        <v>1.16567</v>
      </c>
      <c r="F10" t="s">
        <v>142</v>
      </c>
      <c r="G10" t="b">
        <f>AND(OR(G5="Bull",G5="Range"),NOT(G6="Bear"))</f>
        <v>0</v>
      </c>
      <c r="P10" t="s">
        <v>314</v>
      </c>
      <c r="Q10" s="22" t="str">
        <f>IF(OR(Q7=0,Q8="",$L$3=""),"",ABS(($L$3-Q8)*Q7))</f>
        <v/>
      </c>
      <c r="AB10" t="s">
        <v>174</v>
      </c>
      <c r="AC10" s="16">
        <f>IF($B$20&gt;55,0.5,0)+IF($B$21&gt;55,0.25,0)+IF($B$17&gt;55,0.25,0)</f>
        <v>0</v>
      </c>
      <c r="AD10" t="s">
        <v>315</v>
      </c>
      <c r="AE10" s="46">
        <v>0.6</v>
      </c>
      <c r="AF10" t="s">
        <v>316</v>
      </c>
      <c r="AG10" t="str">
        <f ca="1">IF($AC$25,"Avoid new trades – R multiple, room, or macro gate not satisfied. Wait for conditions to improve and reassess.","")</f>
        <v>Avoid new trades – R multiple, room, or macro gate not satisfied. Wait for conditions to improve and reassess.</v>
      </c>
      <c r="AI10" t="s">
        <v>317</v>
      </c>
      <c r="AJ10" s="51" t="b">
        <f>NOT($G$11)</f>
        <v>0</v>
      </c>
    </row>
    <row r="11" spans="1:37">
      <c r="A11" t="s">
        <v>143</v>
      </c>
      <c r="B11" s="45">
        <f>Planner_HUD!B11</f>
        <v>1.16963</v>
      </c>
      <c r="F11" t="s">
        <v>149</v>
      </c>
      <c r="G11" t="b">
        <f>AND(OR(G5="Bear",G5="Range"),NOT(G6="Bull"))</f>
        <v>1</v>
      </c>
      <c r="K11" t="s">
        <v>318</v>
      </c>
      <c r="L11" s="45">
        <f>Planner_HUD!K19</f>
        <v>0</v>
      </c>
      <c r="P11" t="s">
        <v>85</v>
      </c>
      <c r="Q11" s="6" t="str">
        <f>IF(SUM($W$2:$W$4)=0,"",SUM($X$2:$X$4)/SUM($W$2:$W$4))</f>
        <v/>
      </c>
      <c r="AB11" t="s">
        <v>239</v>
      </c>
      <c r="AC11" s="16">
        <f>0.25*COUNTIF($G$3:$G$6,"Bull")</f>
        <v>0</v>
      </c>
      <c r="AD11" t="s">
        <v>319</v>
      </c>
      <c r="AE11" s="52">
        <f>SUM($V$2:$V$4)</f>
        <v>1</v>
      </c>
    </row>
    <row r="12" spans="1:37">
      <c r="A12" t="s">
        <v>150</v>
      </c>
      <c r="B12" s="45">
        <f>Planner_HUD!B12</f>
        <v>1.16757</v>
      </c>
      <c r="K12" t="s">
        <v>320</v>
      </c>
      <c r="L12" s="45">
        <f>Planner_HUD!K20</f>
        <v>3</v>
      </c>
      <c r="P12" t="s">
        <v>321</v>
      </c>
      <c r="Q12" s="6" t="str">
        <f>IF(SUM(Y2:Y4)=0,"",(Y2*MAX(U2,$AE$19)+Y3*MAX(U3,$AE$19)+Y4*MAX(U4,$AE$19))/SUM(Y2:Y4))</f>
        <v/>
      </c>
      <c r="AB12" t="s">
        <v>243</v>
      </c>
      <c r="AC12" s="16">
        <f>0.25*COUNTIF($G$3:$G$6,"Bear")</f>
        <v>0.75</v>
      </c>
      <c r="AD12" t="s">
        <v>322</v>
      </c>
      <c r="AE12" s="52">
        <f>SUM($V$15:$V$17)</f>
        <v>1.5</v>
      </c>
    </row>
    <row r="13" spans="1:37">
      <c r="A13" t="s">
        <v>156</v>
      </c>
      <c r="B13" s="45">
        <f>Planner_HUD!B13</f>
        <v>1.16347</v>
      </c>
      <c r="Q13" s="49"/>
      <c r="AB13" t="s">
        <v>180</v>
      </c>
      <c r="AC13" s="16">
        <f>MIN(1,IF(ABS(($B$3-$B$36)*10000)&lt;=AC4,1,0)+IF(ABS(($B$3-$B$38)*10000)&lt;=AC4,1,0)+IF(ABS(($B$3-$B$40)*10000)&lt;=AC4,1,0))</f>
        <v>0</v>
      </c>
      <c r="AD13" t="s">
        <v>323</v>
      </c>
      <c r="AE13" s="52">
        <f>SUM($V$28:$V$30)</f>
        <v>1</v>
      </c>
    </row>
    <row r="14" spans="1:37">
      <c r="A14" t="s">
        <v>162</v>
      </c>
      <c r="B14" s="45">
        <f>Planner_HUD!B14</f>
        <v>1.14963</v>
      </c>
      <c r="F14" t="s">
        <v>324</v>
      </c>
      <c r="K14" t="s">
        <v>325</v>
      </c>
      <c r="L14">
        <f>IF(AND($B$3&gt;=M17-$K$20,$B$3&lt;=N17+$K$20),1,IF(AND($B$3&gt;=M18-$K$20,$B$3&lt;=N18+$K$20),2,IF(AND($B$3&gt;=M19-$K$20,$B$3&lt;=N19+$K$20),3,"")))</f>
        <v>3</v>
      </c>
      <c r="P14" s="53" t="s">
        <v>326</v>
      </c>
      <c r="Q14" s="19" t="s">
        <v>78</v>
      </c>
      <c r="R14" s="19" t="s">
        <v>79</v>
      </c>
      <c r="S14" s="19" t="s">
        <v>80</v>
      </c>
      <c r="T14" s="19" t="s">
        <v>81</v>
      </c>
      <c r="U14" s="19" t="s">
        <v>283</v>
      </c>
      <c r="V14" s="19" t="s">
        <v>255</v>
      </c>
      <c r="W14" s="19" t="s">
        <v>256</v>
      </c>
      <c r="X14" s="19" t="s">
        <v>257</v>
      </c>
      <c r="Y14" s="19" t="s">
        <v>86</v>
      </c>
      <c r="Z14" s="20" t="s">
        <v>284</v>
      </c>
      <c r="AA14" t="str">
        <f>IF(U15="","",MAX(U15,$AE$7))</f>
        <v/>
      </c>
      <c r="AB14" t="s">
        <v>185</v>
      </c>
      <c r="AC14" s="16">
        <f>MIN(1,IF(ABS(($B$3-$B$35)*10000)&lt;=AC4,1,0)+IF(ABS(($B$3-$B$37)*10000)&lt;=AC4,1,0)+IF(ABS(($B$3-$B$39)*10000)&lt;=AC4,1,0))</f>
        <v>0</v>
      </c>
      <c r="AD14" t="s">
        <v>327</v>
      </c>
      <c r="AE14">
        <v>12</v>
      </c>
    </row>
    <row r="15" spans="1:37">
      <c r="A15" t="s">
        <v>167</v>
      </c>
      <c r="B15" s="45">
        <f>Planner_HUD!B15</f>
        <v>1.1439</v>
      </c>
      <c r="F15" t="s">
        <v>182</v>
      </c>
      <c r="G15" s="45">
        <f>Planner_HUD!E5</f>
        <v>1.1808</v>
      </c>
      <c r="K15" s="2">
        <f>IF(AND($B$3&gt;=M17-$K$20,$B$3&lt;=N17+$K$20),1,IF(AND($B$3&gt;=M18-$K$20,$B$3&lt;=N18+$K$20),2,IF(AND($B$3&gt;=M19-$K$20,$B$3&lt;=N19+$K$20),3,0)))</f>
        <v>3</v>
      </c>
      <c r="P15" s="54" t="s">
        <v>328</v>
      </c>
      <c r="Q15" s="55" t="str">
        <f>IF($L$1&lt;&gt;"LONG","",$B$35)</f>
        <v/>
      </c>
      <c r="R15" s="56" t="str">
        <f>IF(Q15="","",$AE$41)</f>
        <v/>
      </c>
      <c r="S15" s="56" t="str">
        <f>IF(Q15="","",$AE$30)</f>
        <v/>
      </c>
      <c r="T15" s="57" t="str">
        <f>IF(OR(Q15="",R15=""),"",ABS((R15-Q15)*10000))</f>
        <v/>
      </c>
      <c r="U15" s="58" t="str">
        <f>IF(OR(Q15="",S15=""),"",MAX(ABS((Q15-S15)*10000),$AE$20))</f>
        <v/>
      </c>
      <c r="V15" s="59">
        <v>0.4</v>
      </c>
      <c r="W15" s="60" t="str">
        <f>IF(OR(V15=0,$AE$12=0,Q15=""),"",$L$2*$AE$9*V15/$AE$12)</f>
        <v/>
      </c>
      <c r="X15" s="60" t="str">
        <f>IF(OR(W15="",W15=0,T15=""),"",W15*T15/MAX(U15,$AE$20))</f>
        <v/>
      </c>
      <c r="Y15" s="57" t="str">
        <f>IF(OR(Q15="",U15="",W15=""),"",W15/(MAX(U15,$AE$20)*$AE$3))</f>
        <v/>
      </c>
      <c r="Z15" s="61" t="str">
        <f>IF(OR(T15="",U15=""),"",T15/MAX(U15,$AE$20))</f>
        <v/>
      </c>
      <c r="AA15" t="str">
        <f>IF(U16="","",MAX(U16,$AE$7))</f>
        <v/>
      </c>
      <c r="AB15" t="s">
        <v>96</v>
      </c>
      <c r="AC15" s="16">
        <f ca="1">(1-$G$37*$G$36)*(AC7+AC9+AC11+AC13+AC42)</f>
        <v>0.7</v>
      </c>
      <c r="AD15" t="s">
        <v>329</v>
      </c>
      <c r="AE15">
        <v>8</v>
      </c>
    </row>
    <row r="16" spans="1:37">
      <c r="A16" t="s">
        <v>171</v>
      </c>
      <c r="B16" s="45">
        <f>Planner_HUD!B16</f>
        <v>1.1241</v>
      </c>
      <c r="F16" t="s">
        <v>187</v>
      </c>
      <c r="G16" s="45">
        <f>Planner_HUD!E6</f>
        <v>1.15889</v>
      </c>
      <c r="K16" s="1" t="s">
        <v>251</v>
      </c>
      <c r="L16" s="1" t="s">
        <v>258</v>
      </c>
      <c r="M16" s="1" t="s">
        <v>259</v>
      </c>
      <c r="N16" s="1" t="s">
        <v>260</v>
      </c>
      <c r="P16" s="54" t="s">
        <v>330</v>
      </c>
      <c r="Q16" s="55" t="str">
        <f>IF($L$1&lt;&gt;"LONG","",$B$36)</f>
        <v/>
      </c>
      <c r="R16" s="56" t="str">
        <f>IF(Q16="","",$AE$41)</f>
        <v/>
      </c>
      <c r="S16" s="56" t="str">
        <f>IF(Q16="","",$AE$30)</f>
        <v/>
      </c>
      <c r="T16" s="57" t="str">
        <f>IF(OR(Q16="",R16=""),"",ABS((R16-Q16)*10000))</f>
        <v/>
      </c>
      <c r="U16" s="58" t="str">
        <f>IF(OR(Q16="",S16=""),"",MAX(ABS((Q16-S16)*10000),$AE$20))</f>
        <v/>
      </c>
      <c r="V16" s="59">
        <v>0.5</v>
      </c>
      <c r="W16" s="60" t="str">
        <f>IF(OR(V16=0,$AE$12=0,Q16=""),"",$L$2*$AE$9*V16/$AE$12)</f>
        <v/>
      </c>
      <c r="X16" s="60" t="str">
        <f>IF(OR(W16="",W16=0,T16=""),"",W16*T16/MAX(U16,$AE$20))</f>
        <v/>
      </c>
      <c r="Y16" s="57" t="str">
        <f>IF(OR(Q16="",U16="",W16=""),"",W16/(MAX(U16,$AE$20)*$AE$3))</f>
        <v/>
      </c>
      <c r="Z16" s="61" t="str">
        <f>IF(OR(T16="",U16=""),"",T16/MAX(U16,$AE$20))</f>
        <v/>
      </c>
      <c r="AA16" t="str">
        <f>IF(U17="","",MAX(U17,$AE$7))</f>
        <v/>
      </c>
      <c r="AB16" t="s">
        <v>107</v>
      </c>
      <c r="AC16" s="16">
        <f ca="1">(1-$G$37*$G$36)*(AC8+AC10+AC12+AC14+AC42)</f>
        <v>0.7</v>
      </c>
      <c r="AD16" t="s">
        <v>331</v>
      </c>
      <c r="AE16">
        <v>8</v>
      </c>
    </row>
    <row r="17" spans="1:32">
      <c r="A17" t="s">
        <v>332</v>
      </c>
      <c r="B17" s="62">
        <f>Planner_HUD!B19</f>
        <v>31.67</v>
      </c>
      <c r="F17" t="s">
        <v>191</v>
      </c>
      <c r="G17" s="45">
        <f>Planner_HUD!E7</f>
        <v>1.1789</v>
      </c>
      <c r="K17" s="1">
        <v>1</v>
      </c>
      <c r="L17" s="1" t="s">
        <v>263</v>
      </c>
      <c r="M17" s="63">
        <f>MIN($D$24,$D$23)</f>
        <v>1.170965</v>
      </c>
      <c r="N17" s="63">
        <f>MAX($D$24,$D$23)</f>
        <v>1.17319638</v>
      </c>
      <c r="P17" s="64" t="s">
        <v>333</v>
      </c>
      <c r="Q17" s="65" t="str">
        <f>IF($L$1&lt;&gt;"LONG","",$B$38+$AE$29)</f>
        <v/>
      </c>
      <c r="R17" s="66" t="str">
        <f>IF(Q17="","",$AE$41)</f>
        <v/>
      </c>
      <c r="S17" s="66" t="str">
        <f>IF(Q17="","",$AE$30)</f>
        <v/>
      </c>
      <c r="T17" s="67" t="str">
        <f>IF(OR(Q16="",R16=""),"",ABS((R16-Q16)*10000))</f>
        <v/>
      </c>
      <c r="U17" s="68" t="str">
        <f>IF(OR(Q17="",S17=""),"",MAX(ABS((Q17-S17)*10000),$AE$20))</f>
        <v/>
      </c>
      <c r="V17" s="69">
        <v>0.6</v>
      </c>
      <c r="W17" s="70" t="str">
        <f>IF(OR(V17=0,$AE$12=0,Q17=""),"",$L$2*$AE$9*V17/$AE$12)</f>
        <v/>
      </c>
      <c r="X17" s="70" t="str">
        <f>IF(OR(W17="",W17=0,T17=""),"",W17*T17/MAX(U17,$AE$20))</f>
        <v/>
      </c>
      <c r="Y17" s="67" t="str">
        <f>IF(OR(Q17="",U17="",W17=""),"",W17/(MAX(U17,$AE$20)*$AE$3))</f>
        <v/>
      </c>
      <c r="Z17" s="71" t="str">
        <f>IF(OR(T17="",U17=""),"",T17/MAX(U17,$AE$20))</f>
        <v/>
      </c>
      <c r="AB17" t="s">
        <v>334</v>
      </c>
      <c r="AC17" s="16">
        <f>0.25*COUNTA($B$10:$B$16)+3.5</f>
        <v>5.25</v>
      </c>
      <c r="AD17" s="2" t="s">
        <v>335</v>
      </c>
      <c r="AE17" s="2" t="s">
        <v>336</v>
      </c>
      <c r="AF17" s="2" t="s">
        <v>337</v>
      </c>
    </row>
    <row r="18" spans="1:32">
      <c r="A18" t="s">
        <v>178</v>
      </c>
      <c r="B18" s="45">
        <f>Planner_HUD!B20</f>
        <v>0.00047</v>
      </c>
      <c r="F18" t="s">
        <v>196</v>
      </c>
      <c r="G18" s="45">
        <f>Planner_HUD!E8</f>
        <v>1.17132</v>
      </c>
      <c r="K18" s="1">
        <v>2</v>
      </c>
      <c r="L18" s="1" t="s">
        <v>338</v>
      </c>
      <c r="M18" s="63">
        <f>MIN(D25,D24)</f>
        <v>1.16873362</v>
      </c>
      <c r="N18" s="63">
        <f>MAX(D25,D24)</f>
        <v>1.170965</v>
      </c>
      <c r="P18" s="2"/>
      <c r="Q18" s="72"/>
      <c r="R18" s="2"/>
      <c r="S18" s="2"/>
      <c r="T18" s="3"/>
      <c r="U18" s="73"/>
      <c r="V18" s="74"/>
      <c r="W18" s="75"/>
      <c r="X18" s="75"/>
      <c r="Y18" s="3"/>
      <c r="Z18" s="76"/>
      <c r="AB18" t="s">
        <v>339</v>
      </c>
      <c r="AC18" s="77">
        <f ca="1">IF(AC17=0,"",AC15/AC17)</f>
        <v>0.133333333333333</v>
      </c>
      <c r="AD18" s="78" t="str">
        <f ca="1">IF($L$1&lt;&gt;"LONG","",MIN(0.8,0.4+0.4*IFERROR(AC18,0)+0.1*IFERROR(AC42,0)))</f>
        <v/>
      </c>
      <c r="AE18" s="76" t="str">
        <f ca="1">IF($L$1="","",IF($L$1="LONG",IF(OR(AD18="",AC20=""),"",AD18*AC20-(1-AD18)*1),IF(OR(AD19="",AC20=""),"",AD19*AC20-(1-AD19)*1)))</f>
        <v/>
      </c>
      <c r="AF18" s="75" t="str">
        <f ca="1">IF(AE18="","",AE18*$L$2)</f>
        <v/>
      </c>
    </row>
    <row r="19" spans="1:32">
      <c r="A19" t="s">
        <v>221</v>
      </c>
      <c r="B19" s="45">
        <f>Planner_HUD!B21</f>
        <v>0.00088</v>
      </c>
      <c r="F19" t="s">
        <v>199</v>
      </c>
      <c r="G19" s="30">
        <f>Planner_HUD!E9</f>
        <v>1.16829</v>
      </c>
      <c r="K19" s="1">
        <v>3</v>
      </c>
      <c r="L19" s="1" t="s">
        <v>340</v>
      </c>
      <c r="M19" s="63">
        <f>MIN(D31,D29)</f>
        <v>1.16119402</v>
      </c>
      <c r="N19" s="63">
        <f>MAX(D31,D29)</f>
        <v>1.16853598</v>
      </c>
      <c r="P19" t="s">
        <v>161</v>
      </c>
      <c r="Q19" s="6">
        <f>IF(SUM(Y15:Y17)=0,0,SUMPRODUCT(AA14:AA16,Y15:Y17)/SUM(Y15:Y17))</f>
        <v>0</v>
      </c>
      <c r="AB19" t="s">
        <v>341</v>
      </c>
      <c r="AC19" s="77">
        <f ca="1">IF(AC17=0,"",AC16/AC17)</f>
        <v>0.133333333333333</v>
      </c>
      <c r="AD19" s="79" t="s">
        <v>342</v>
      </c>
      <c r="AE19">
        <f>MAX(AE14,ROUNDUP(AE6*AE5,0))</f>
        <v>12</v>
      </c>
    </row>
    <row r="20" spans="1:32">
      <c r="A20" t="s">
        <v>343</v>
      </c>
      <c r="B20" s="62">
        <f>Planner_HUD!B17</f>
        <v>51.21</v>
      </c>
      <c r="F20" t="s">
        <v>204</v>
      </c>
      <c r="G20" s="30">
        <f>Planner_HUD!E10</f>
        <v>1.16427</v>
      </c>
      <c r="J20" t="s">
        <v>344</v>
      </c>
      <c r="K20" s="1">
        <f>Planner_HUD!K15</f>
        <v>0.0002</v>
      </c>
      <c r="P20" t="s">
        <v>166</v>
      </c>
      <c r="Q20" s="6">
        <f>SUM(Y15:Y17)</f>
        <v>0</v>
      </c>
      <c r="AC20" s="46" t="str">
        <f>IF(OR($AC$55=0,$Q$7&lt;=0,$Q$12=""),"",$Q$12)</f>
        <v/>
      </c>
      <c r="AD20" t="s">
        <v>345</v>
      </c>
      <c r="AE20">
        <f>MAX(AE15,ROUNDUP(AE6*AE5,0))</f>
        <v>8</v>
      </c>
    </row>
    <row r="21" spans="1:32">
      <c r="A21" t="s">
        <v>105</v>
      </c>
      <c r="B21" s="62">
        <f>Planner_HUD!B18</f>
        <v>38.35</v>
      </c>
      <c r="F21" t="s">
        <v>209</v>
      </c>
      <c r="G21" s="30">
        <f>Planner_HUD!E11</f>
        <v>1.17025</v>
      </c>
      <c r="K21" t="s">
        <v>346</v>
      </c>
      <c r="P21" t="s">
        <v>195</v>
      </c>
      <c r="Q21" s="21" t="str">
        <f>IF(Q20=0,"",SUMPRODUCT(Q15:Q17,Y15:Y17)/Q20)</f>
        <v/>
      </c>
      <c r="AB21" t="s">
        <v>160</v>
      </c>
      <c r="AC21" s="16" t="str">
        <f>IF($L$1="","No bias",IF($L$1="LONG",IF($G$8,"Trend-aligned","Counter-trend"),IF($L$1="SHORT",IF($G$9,"Trend-aligned","Counter-trend"),"No bias")))</f>
        <v>No bias</v>
      </c>
      <c r="AD21" t="s">
        <v>347</v>
      </c>
      <c r="AE21">
        <f>MAX(AE16,ROUNDUP(AE6*AE5,0))</f>
        <v>8</v>
      </c>
    </row>
    <row r="22" spans="1:32">
      <c r="A22" t="s">
        <v>348</v>
      </c>
      <c r="D22" t="s">
        <v>349</v>
      </c>
      <c r="F22" t="s">
        <v>216</v>
      </c>
      <c r="G22" s="30">
        <f>Planner_HUD!E12</f>
        <v>1.15919</v>
      </c>
      <c r="K22" t="s">
        <v>350</v>
      </c>
      <c r="L22" s="21" t="str">
        <f>IF($L$1="LONG",$AC$30,"")</f>
        <v/>
      </c>
      <c r="P22" t="s">
        <v>81</v>
      </c>
      <c r="Q22" s="6" t="str">
        <f>IF(OR(Q21="",$L$3=""),"",ABS(($L$3-Q21)*10000))</f>
        <v/>
      </c>
      <c r="AB22" t="s">
        <v>155</v>
      </c>
      <c r="AC22" s="16" t="str">
        <f>IF(AND(G3="Bull",G4="Bull",G5="Bear",G6="Bear"),"Trend Pullback","Mixed")</f>
        <v>Mixed</v>
      </c>
      <c r="AD22" t="s">
        <v>351</v>
      </c>
      <c r="AE22">
        <f>SUMPRODUCT(($Q$28:$Q$30&lt;&gt;"")*($V$28:$V$30))</f>
        <v>1</v>
      </c>
    </row>
    <row r="23" spans="1:32">
      <c r="A23" t="s">
        <v>145</v>
      </c>
      <c r="B23" s="30">
        <f>Planner_HUD!E13</f>
        <v>1.16151</v>
      </c>
      <c r="C23" t="s">
        <v>352</v>
      </c>
      <c r="D23" s="21">
        <f>IF($L$1="SHORT",$B$23+($B$24-$B$23)*0.382,$B$24-($B$24-$B$23)*0.382)</f>
        <v>1.17319638</v>
      </c>
      <c r="F23" t="s">
        <v>353</v>
      </c>
      <c r="K23" t="s">
        <v>354</v>
      </c>
      <c r="L23" s="21" t="str">
        <f>IF($L$1="SHORT",$AC$31,"")</f>
        <v/>
      </c>
      <c r="P23" t="s">
        <v>314</v>
      </c>
      <c r="Q23" s="22" t="str">
        <f>IF(OR(Q20=0,Q21="",$L$3=""),"",ABS(($L$3-Q21)*Q20))</f>
        <v/>
      </c>
      <c r="AB23" t="s">
        <v>355</v>
      </c>
      <c r="AC23" s="16" t="str">
        <f ca="1">IF(AF52,"CoreLong",IF(AF53,"CTshort","Avoid"))</f>
        <v>Avoid</v>
      </c>
      <c r="AD23" t="s">
        <v>356</v>
      </c>
      <c r="AE23">
        <v>1.5</v>
      </c>
    </row>
    <row r="24" spans="1:32">
      <c r="A24" t="s">
        <v>152</v>
      </c>
      <c r="B24" s="30">
        <f>Planner_HUD!E14</f>
        <v>1.18042</v>
      </c>
      <c r="C24" t="s">
        <v>357</v>
      </c>
      <c r="D24" s="21">
        <f>IF($L$1="SHORT",$B$23+($B$24-$B$23)*0.5,$B$24-($B$24-$B$23)*0.5)</f>
        <v>1.170965</v>
      </c>
      <c r="F24" t="s">
        <v>358</v>
      </c>
      <c r="G24">
        <f>MIN(IF(G15&gt;$B$3,ABS((G15-$B$3)*10000),1000000000),IF(G17&gt;$B$3,ABS((G17-$B$3)*10000),1000000000),IF(G19&gt;$B$3,ABS((G19-$B$3)*10000),1000000000),IF(G21&gt;$B$3,ABS((G21-$B$3)*10000),1000000000))</f>
        <v>46.5000000000004</v>
      </c>
      <c r="P24" t="s">
        <v>85</v>
      </c>
      <c r="Q24" s="6" t="str">
        <f>IF(SUM($W$15:$W$17)=0,"",SUM($X$15:$X$17)/SUM($W$15:$W$17))</f>
        <v/>
      </c>
      <c r="AB24" t="s">
        <v>165</v>
      </c>
      <c r="AC24" s="16" t="str">
        <f ca="1">IF($L$1="","N/A",IF($AC$25,"B",IF(AC34&lt;0.4,"B",IF(AC18&gt;=0.7,"A+",IF(AC18&gt;=0.4,"B","C")))))</f>
        <v>N/A</v>
      </c>
      <c r="AD24" t="s">
        <v>359</v>
      </c>
      <c r="AE24">
        <f>MAX(6,ROUND($B$18*10000*$AE$23,0))</f>
        <v>7</v>
      </c>
    </row>
    <row r="25" spans="1:32">
      <c r="C25" t="s">
        <v>360</v>
      </c>
      <c r="D25" s="21">
        <f>IF($L$1="SHORT",$B$23+($B$24-$B$23)*0.618,$B$24-($B$24-$B$23)*0.618)</f>
        <v>1.16873362</v>
      </c>
      <c r="F25" t="s">
        <v>228</v>
      </c>
      <c r="G25">
        <f>MIN(IF(G16&lt;$B$3,ABS((G16-$B$3)*10000),1000000000),IF(G18&lt;$B$3,ABS((G18-$B$3)*10000),1000000000),IF(G20&lt;$B$3,ABS((G20-$B$3)*10000),1000000000),IF(G22&lt;$B$3,ABS((G22-$B$3)*10000),1000000000))</f>
        <v>44.5000000000007</v>
      </c>
      <c r="P25" t="s">
        <v>321</v>
      </c>
      <c r="Q25" s="6" t="str">
        <f>IF(SUM(Y15:Y17)=0,"",(Y15*MAX(U15,$AE$20)+Y16*MAX(U16,$AE$20)+Y17*MAX(U17,$AE$20))/SUM(Y15:Y17))</f>
        <v/>
      </c>
      <c r="AB25" t="s">
        <v>175</v>
      </c>
      <c r="AC25" s="16" t="b">
        <f ca="1">OR($L$1="",AND(AC23="CoreLong",OR(AF48=FALSE,$Q$12="",$Q$12&lt;$L$12)),AND(AC23="CTshort",OR(AF49=FALSE,$B$21&lt;=65)),FALSE)</f>
        <v>1</v>
      </c>
      <c r="AE25" t="str">
        <f>IF($L$1="LONG",IF(OR($AE$58,$B$3&gt;$G$19),MAX($B$27,$B$24),$G$19),IF($L$1="SHORT",IF(OR($AE$58,$B$3&lt;$G$20),MIN($B$26,$B$23),$G$20),""))</f>
        <v/>
      </c>
    </row>
    <row r="26" spans="1:32">
      <c r="A26" t="s">
        <v>361</v>
      </c>
      <c r="B26" s="30">
        <f>Planner_HUD!E15</f>
        <v>1.16182</v>
      </c>
      <c r="C26" t="s">
        <v>362</v>
      </c>
      <c r="D26" s="21">
        <f>IF($L$1="SHORT",$B$26+($B$27-$B$26)*0.382,$B$27-($B$27-$B$26)*0.382)</f>
        <v>1.16576284</v>
      </c>
      <c r="AA26">
        <f>IF(U28="","",MAX(U28,$AE$7))</f>
        <v>14.9999999999983</v>
      </c>
      <c r="AB26" t="s">
        <v>363</v>
      </c>
      <c r="AC26" s="16" t="str">
        <f ca="1">IF($L$1="","NO SIDE – neither core long nor CT short setup is active.",IF(AC23="CoreLong",IF(AC25,"AVOID CORE LONG – not in discount or 3R not available.","CORE LONG SETUP – buy dip in active tier. Ladder entries "&amp;TEXT($Q$2,"0.00000")&amp;"/"&amp;TEXT($Q$3,"0.00000")&amp;"/"&amp;TEXT($Q$4,"0.00000")&amp;", SL "&amp;TEXT($S$2,"0.00000")&amp;", TP1 "&amp;TEXT($L$3,"0.00000")&amp;"."),IF(AC23="CTshort",IF(AC25,"AVOID CT SHORT – conditions for scalp fade not met.","OPTIONAL CT SHORT – scalp fade only. Short zone near PDH/CT highs; see CT ladder for entries, SL and TPs."),"AVOID – nothing to do here. Stand aside and wait for either discount buy or CT fade zone.")))</f>
        <v>NO SIDE – neither core long nor CT short setup is active.</v>
      </c>
      <c r="AE26" t="str">
        <f>IF($L$1="LONG",IF(MAX($B$27,$B$24)&gt;0,MAX($B$27,$B$24),$G$19),IF($L$1="SHORT",IF(MIN($B$26,$B$23)&gt;0,MIN($B$26,$B$23),$G$20),""))</f>
        <v/>
      </c>
    </row>
    <row r="27" spans="1:32">
      <c r="A27" t="s">
        <v>364</v>
      </c>
      <c r="B27" s="30">
        <f>Planner_HUD!E16</f>
        <v>1.1682</v>
      </c>
      <c r="C27" t="s">
        <v>365</v>
      </c>
      <c r="D27" s="21">
        <f>IF($L$1="SHORT",$B$26+($B$27-$B$26)*0.5,$B$27-($B$27-$B$26)*0.5)</f>
        <v>1.16501</v>
      </c>
      <c r="F27" t="s">
        <v>236</v>
      </c>
      <c r="G27" t="b">
        <f>IF($Q$6="",FALSE,$G$24&gt;=3*$Q$6)</f>
        <v>1</v>
      </c>
      <c r="P27" s="53" t="s">
        <v>366</v>
      </c>
      <c r="Q27" s="19" t="s">
        <v>78</v>
      </c>
      <c r="R27" s="19" t="s">
        <v>79</v>
      </c>
      <c r="S27" s="19" t="s">
        <v>80</v>
      </c>
      <c r="T27" s="19" t="s">
        <v>81</v>
      </c>
      <c r="U27" s="19" t="s">
        <v>283</v>
      </c>
      <c r="V27" s="19" t="s">
        <v>255</v>
      </c>
      <c r="W27" s="19" t="s">
        <v>256</v>
      </c>
      <c r="X27" s="19" t="s">
        <v>257</v>
      </c>
      <c r="Y27" s="19" t="s">
        <v>86</v>
      </c>
      <c r="Z27" s="20" t="s">
        <v>284</v>
      </c>
      <c r="AA27">
        <f>IF(U29="","",MAX(U29,$AE$7))</f>
        <v>11.4999999999976</v>
      </c>
      <c r="AB27" t="s">
        <v>214</v>
      </c>
      <c r="AC27" s="16" t="str">
        <f ca="1">IF(AC23="CoreLong",IF(AC25,"NO CORE LONG – wait for proper discount and 3R.","CORE LONG OK – follow MasterSignal &amp; Trade Plan."),IF(AC23="CTshort",IF(AC25,"NO CT SHORT – CT scalp conditions incomplete.","CT SHORT OK – scalp only, log as counter-trend."),"NO TRADE – neither core nor CT setup active."))</f>
        <v>NO TRADE – neither core nor CT setup active.</v>
      </c>
      <c r="AD27" t="s">
        <v>367</v>
      </c>
      <c r="AE27">
        <f>$B$40-$AE$28</f>
        <v>1.16754</v>
      </c>
    </row>
    <row r="28" spans="1:32">
      <c r="C28" t="s">
        <v>368</v>
      </c>
      <c r="D28" s="21">
        <f>IF($L$1="SHORT",$B$26+($B$27-$B$26)*0.618,$B$27-($B$27-$B$26)*0.618)</f>
        <v>1.16425716</v>
      </c>
      <c r="F28" t="s">
        <v>240</v>
      </c>
      <c r="G28" t="b">
        <f>IF(Q6="",FALSE,G25&gt;=3*Q6)</f>
        <v>1</v>
      </c>
      <c r="P28" s="54" t="s">
        <v>333</v>
      </c>
      <c r="Q28" s="55">
        <f>IF(AC48="","",AC48)</f>
        <v>1.16454</v>
      </c>
      <c r="R28" s="55">
        <f>IF(Q28="","",IFERROR(_xlfn.AGGREGATE(14,6,CHOOSE({1,2,3,4},Planner_HUD!$E$12,Planner_HUD!$E$10,Planner_HUD!$E$15,Planner_HUD!$H$10)/(CHOOSE({1,2,3,4},Planner_HUD!$E$12,Planner_HUD!$E$10,Planner_HUD!$E$15,Planner_HUD!$H$10)&lt;Q28),1)-$AE$3,Q28-($AE$24*$AE$3)))</f>
        <v>1.15909</v>
      </c>
      <c r="S28" s="55">
        <f>IF(Q30="","",Q30+0.0008)</f>
        <v>1.16604</v>
      </c>
      <c r="T28" s="57">
        <f>IF(OR(Q28="",R28=""),"",ABS((R28-Q28)*10000))</f>
        <v>54.4999999999995</v>
      </c>
      <c r="U28" s="58">
        <f>IF(OR(Q28="",S28=""),"",MAX(ABS((Q28-S28)*10000),$AE$21))</f>
        <v>14.9999999999983</v>
      </c>
      <c r="V28" s="59">
        <v>0.45</v>
      </c>
      <c r="W28" s="60">
        <f>IF(OR(V28=0,$AE$22=0,Q28=""),"",$L$2*$AE$10*V28/$AE$22)</f>
        <v>135.614682</v>
      </c>
      <c r="X28" s="60">
        <f>IF(OR(W28="",W28=0,T28=""),"",W28*T28/MAX(U28,$AE$21))</f>
        <v>492.73334460005</v>
      </c>
      <c r="Y28" s="57">
        <f>IF(OR(Q28="",U28="",W28=""),"",W28/(MAX(U28,$AE$21)*$AE$3))</f>
        <v>90409.78800001</v>
      </c>
      <c r="Z28" s="61">
        <f>IF(OR(T28="",U28=""),"",T28/MAX(U28,$AE$21))</f>
        <v>3.6333333333337</v>
      </c>
      <c r="AA28">
        <f>IF(U30="","",MAX(U30,$AE$7))</f>
        <v>8</v>
      </c>
      <c r="AB28" t="s">
        <v>220</v>
      </c>
      <c r="AC28" s="16" t="str">
        <f ca="1">IF(AC25,"Stand aside or observation-only. Location: "&amp;AF54&amp;".",IF(AC23="CoreLong","CORE LONG EXECUTION – Mode: "&amp;AC21&amp;", Grade: "&amp;AC24&amp;". Bias: LONG (trend/macro). Buy active tier with ladder "&amp;TEXT($Q$2,"0.00000")&amp;"/"&amp;TEXT($Q$3,"0.00000")&amp;"/"&amp;TEXT($Q$4,"0.00000")&amp;". SL "&amp;TEXT($S$2,"0.00000")&amp;". TP1 "&amp;TEXT($L$3,"0.00000")&amp;".","CT SHORT EXECUTION – Counter-trend scalp. Short near PDH/CT zone. Use CT ladder for entries with reduced risk (0.25–0.5R). Stop above 1.1725–1.1730; TP1 back into 1.1670–1.1660, TP2 into 1.1645–1.1635."))</f>
        <v>Stand aside or observation-only. Location: DISCOUNT.</v>
      </c>
      <c r="AD28" t="s">
        <v>369</v>
      </c>
      <c r="AE28">
        <f>MAX(0.00025,$B$18*0.5)</f>
        <v>0.00025</v>
      </c>
    </row>
    <row r="29" spans="1:32">
      <c r="A29" t="s">
        <v>93</v>
      </c>
      <c r="B29" s="30">
        <f>Planner_HUD!E17</f>
        <v>1.14931</v>
      </c>
      <c r="C29" t="s">
        <v>370</v>
      </c>
      <c r="D29" s="21">
        <f>IF($L$1="SHORT",$B$29+($B$30-$B$29)*0.382,$B$30-($B$30-$B$29)*0.382)</f>
        <v>1.16853598</v>
      </c>
      <c r="F29" t="s">
        <v>232</v>
      </c>
      <c r="G29" s="30">
        <f>Planner_HUD!K5</f>
        <v>1.13</v>
      </c>
      <c r="H29" t="s">
        <v>233</v>
      </c>
      <c r="I29" s="45">
        <f>Planner_HUD!K6</f>
        <v>1.46</v>
      </c>
      <c r="J29">
        <f>IF(G29="","",ABS(G29-$B$3))</f>
        <v>0.0336400000000001</v>
      </c>
      <c r="P29" s="54" t="s">
        <v>330</v>
      </c>
      <c r="Q29" s="55">
        <f>IF(AC49="","",AC49)</f>
        <v>1.16489</v>
      </c>
      <c r="R29" s="55">
        <f>IF(Q29="","",IFERROR(_xlfn.AGGREGATE(14,6,CHOOSE({1,2,3,4},Planner_HUD!$E$12,Planner_HUD!$E$10,Planner_HUD!$E$15,Planner_HUD!$H$10)/(CHOOSE({1,2,3,4},Planner_HUD!$E$12,Planner_HUD!$E$10,Planner_HUD!$E$15,Planner_HUD!$H$10)&lt;Q29),1)-$AE$3,Q29-($AE$24*$AE$3)))</f>
        <v>1.15909</v>
      </c>
      <c r="S29" s="55">
        <f>S28</f>
        <v>1.16604</v>
      </c>
      <c r="T29" s="57">
        <f>IF(OR(Q29="",R29=""),"",ABS((R29-Q29)*10000))</f>
        <v>58.0000000000003</v>
      </c>
      <c r="U29" s="58">
        <f>IF(OR(Q29="",S29=""),"",MAX(ABS((Q29-S29)*10000),$AE$21))</f>
        <v>11.4999999999976</v>
      </c>
      <c r="V29" s="59">
        <v>0.35</v>
      </c>
      <c r="W29" s="60">
        <f>IF(OR(V29=0,$AE$22=0,Q29=""),"",$L$2*$AE$10*V29/$AE$22)</f>
        <v>105.478086</v>
      </c>
      <c r="X29" s="60">
        <f>IF(OR(W29="",W29=0,T29=""),"",W29*T29/MAX(U29,$AE$21))</f>
        <v>531.976433739243</v>
      </c>
      <c r="Y29" s="57">
        <f>IF(OR(Q29="",U29="",W29=""),"",W29/(MAX(U29,$AE$21)*$AE$3))</f>
        <v>91720.0747826276</v>
      </c>
      <c r="Z29" s="61">
        <f>IF(OR(T29="",U29=""),"",T29/MAX(U29,$AE$21))</f>
        <v>5.04347826087063</v>
      </c>
      <c r="AB29" t="s">
        <v>371</v>
      </c>
      <c r="AC29" s="16" t="str">
        <f ca="1">IF($L$1="","NO SETUP",IF(AC25,"NO TRADE – "&amp;AF54,IF(AC23="CoreLong","GO (CORE LONG) – trend/macro aligned.","GO (CT SCALP) – small risk only.")))</f>
        <v>NO SETUP</v>
      </c>
      <c r="AD29" t="s">
        <v>372</v>
      </c>
      <c r="AE29">
        <f>MAX(0.00025,$B$18*0.5)</f>
        <v>0.00025</v>
      </c>
    </row>
    <row r="30" spans="1:32">
      <c r="A30" t="s">
        <v>104</v>
      </c>
      <c r="B30" s="30">
        <f>Planner_HUD!E18</f>
        <v>1.18042</v>
      </c>
      <c r="C30" t="s">
        <v>373</v>
      </c>
      <c r="D30" s="21">
        <f>IF($L$1="SHORT",$B$29+($B$30-$B$29)*0.5,$B$30-($B$30-$B$29)*0.5)</f>
        <v>1.164865</v>
      </c>
      <c r="F30" t="s">
        <v>237</v>
      </c>
      <c r="G30" s="30">
        <f>Planner_HUD!K7</f>
        <v>1.18</v>
      </c>
      <c r="H30" t="s">
        <v>238</v>
      </c>
      <c r="I30" s="45">
        <f>Planner_HUD!K8</f>
        <v>1.136</v>
      </c>
      <c r="J30">
        <f>IF(G30="","",ABS(G30-$B$3))</f>
        <v>0.0163599999999999</v>
      </c>
      <c r="P30" s="64" t="s">
        <v>374</v>
      </c>
      <c r="Q30" s="65">
        <f>IF(AC47="","",AC47)</f>
        <v>1.16524</v>
      </c>
      <c r="R30" s="65">
        <f>IF(Q30="","",IFERROR(_xlfn.AGGREGATE(14,6,CHOOSE({1,2,3,4},Planner_HUD!$E$12,Planner_HUD!$E$10,Planner_HUD!$E$15,Planner_HUD!$H$10)/(CHOOSE({1,2,3,4},Planner_HUD!$E$12,Planner_HUD!$E$10,Planner_HUD!$E$15,Planner_HUD!$H$10)&lt;Q30),1)-$AE$3,Q30-($AE$24*$AE$3)))</f>
        <v>1.15909</v>
      </c>
      <c r="S30" s="65">
        <f>S28</f>
        <v>1.16604</v>
      </c>
      <c r="T30" s="67">
        <f>IF(OR(Q30="",R30=""),"",ABS((R30-Q30)*10000))</f>
        <v>61.4999999999988</v>
      </c>
      <c r="U30" s="68">
        <f>IF(OR(Q30="",S30=""),"",MAX(ABS((Q30-S30)*10000),$AE$21))</f>
        <v>8</v>
      </c>
      <c r="V30" s="69">
        <v>0.2</v>
      </c>
      <c r="W30" s="70">
        <f>IF(OR(V30=0,$AE$22=0,Q30=""),"",$L$2*$AE$10*V30/$AE$22)</f>
        <v>60.273192</v>
      </c>
      <c r="X30" s="70">
        <f>IF(OR(W30="",W30=0,T30=""),"",W30*T30/MAX(U30,$AE$21))</f>
        <v>463.350163499991</v>
      </c>
      <c r="Y30" s="67">
        <f>IF(OR(Q30="",U30="",W30=""),"",W30/(MAX(U30,$AE$21)*$AE$3))</f>
        <v>75341.49</v>
      </c>
      <c r="Z30" s="71">
        <f>IF(OR(T30="",U30=""),"",T30/MAX(U30,$AE$21))</f>
        <v>7.68749999999985</v>
      </c>
      <c r="AB30" t="s">
        <v>375</v>
      </c>
      <c r="AC30" s="35">
        <f>IF(OR($D$23="",$D$25="",$D$29="",$D$31=""),"",MAX(MIN($D$23,$D$25),MIN($D$29,$D$31)))</f>
        <v>1.16873362</v>
      </c>
      <c r="AD30" t="s">
        <v>376</v>
      </c>
      <c r="AE30" s="6">
        <f>$B$38-$AE$29</f>
        <v>1.16602</v>
      </c>
    </row>
    <row r="31" spans="1:32">
      <c r="C31" t="s">
        <v>377</v>
      </c>
      <c r="D31" s="21">
        <f>IF($L$1="SHORT",$B$29+($B$30-$B$29)*0.618,$B$30-($B$30-$B$29)*0.618)</f>
        <v>1.16119402</v>
      </c>
      <c r="F31" t="s">
        <v>241</v>
      </c>
      <c r="G31" s="30">
        <f>Planner_HUD!K9</f>
        <v>1.165</v>
      </c>
      <c r="H31" t="s">
        <v>242</v>
      </c>
      <c r="I31" s="45">
        <f>Planner_HUD!K10</f>
        <v>1.12</v>
      </c>
      <c r="J31">
        <f>IF(G31="","",ABS(G31-$B$3))</f>
        <v>0.00136000000000003</v>
      </c>
      <c r="P31" s="2"/>
      <c r="Q31" s="72"/>
      <c r="R31" s="72"/>
      <c r="S31" s="72"/>
      <c r="T31" s="3"/>
      <c r="U31" s="73"/>
      <c r="V31" s="74"/>
      <c r="W31" s="75"/>
      <c r="X31" s="75"/>
      <c r="Y31" s="3"/>
      <c r="Z31" s="76"/>
      <c r="AB31" t="s">
        <v>378</v>
      </c>
      <c r="AC31" s="35">
        <f>IF(OR($D$23="",$D$25="",$D$29="",$D$31=""),"",MIN(MAX($D$23,$D$25),MAX($D$29,$D$31)))</f>
        <v>1.16853598</v>
      </c>
      <c r="AD31" t="s">
        <v>379</v>
      </c>
      <c r="AE31" s="6" t="str">
        <f>IF(Q3="","",($B$3-Q3)*10000)</f>
        <v/>
      </c>
    </row>
    <row r="32" spans="1:32">
      <c r="F32" t="s">
        <v>380</v>
      </c>
      <c r="G32" s="30"/>
      <c r="H32" t="s">
        <v>381</v>
      </c>
      <c r="I32" s="45"/>
      <c r="J32" t="str">
        <f>IF(G32="","",ABS(G32-$B$3))</f>
        <v/>
      </c>
      <c r="P32" t="s">
        <v>161</v>
      </c>
      <c r="Q32" s="6">
        <f>IF(SUM(Y28:Y30)=0,0,SUMPRODUCT(AA26:AA28,Y28:Y30)/SUM(Y28:Y30))</f>
        <v>11.7048346055966</v>
      </c>
      <c r="AB32" t="s">
        <v>382</v>
      </c>
      <c r="AC32" s="35" t="str">
        <f>IF(OR(AC30="",AC31="",AC30&gt;AC31),"",(AC30+AC31)/2)</f>
        <v/>
      </c>
      <c r="AD32" t="s">
        <v>383</v>
      </c>
      <c r="AE32" s="6" t="str">
        <f>IF(Q4="","",($B$3-Q4)*10000)</f>
        <v/>
      </c>
      <c r="AF32" t="str">
        <f>IF($L$1&lt;&gt;"LONG","","Dist to entries (pips): 0.382="&amp;TEXT(AE30,"0.0")&amp;", 0.5="&amp;TEXT(AE31,"0.0")&amp;", 0.618="&amp;TEXT(AE32,"0.0"))</f>
        <v/>
      </c>
    </row>
    <row r="33" spans="1:32">
      <c r="F33" t="s">
        <v>244</v>
      </c>
      <c r="G33" s="21">
        <f>IF(COUNTA(G29:G32)=0,"",INDEX(G29:G32,MATCH(MIN(J29:J32),J29:J32,0)))</f>
        <v>1.165</v>
      </c>
      <c r="P33" t="s">
        <v>166</v>
      </c>
      <c r="Q33" s="6">
        <f>SUM(Y28:Y30)</f>
        <v>257471.352782638</v>
      </c>
      <c r="AB33" t="s">
        <v>384</v>
      </c>
      <c r="AC33" s="16" t="b">
        <f>IF(OR(AC30="",AC31="",AC30&gt;AC31),FALSE,AND($B$3&gt;=AC30,$B$3&lt;=AC31))</f>
        <v>0</v>
      </c>
      <c r="AD33" s="79" t="s">
        <v>385</v>
      </c>
      <c r="AE33" s="12">
        <v>1</v>
      </c>
    </row>
    <row r="34" spans="1:32">
      <c r="A34" t="s">
        <v>386</v>
      </c>
      <c r="F34" t="s">
        <v>246</v>
      </c>
      <c r="G34" s="80">
        <f>Planner_HUD!K13</f>
        <v>20</v>
      </c>
      <c r="P34" t="s">
        <v>195</v>
      </c>
      <c r="Q34" s="21">
        <f>IF(Q33=0,"",SUMPRODUCT(Q28:Q30,Y28:Y30)/Q33)</f>
        <v>1.16486951653944</v>
      </c>
      <c r="AB34" t="s">
        <v>387</v>
      </c>
      <c r="AC34" s="46">
        <f>IF(OR(AC30="",AC31="",AC30&gt;AC31),0,IF(OR($B$3&lt;AC30,$B$3&gt;AC31),0,MAX(0,1-(ABS($B$3-AC32)/((AC31-AC30)/2)))))</f>
        <v>0</v>
      </c>
      <c r="AD34" s="79" t="s">
        <v>388</v>
      </c>
      <c r="AE34" s="6">
        <v>10</v>
      </c>
    </row>
    <row r="35" spans="1:32">
      <c r="A35" t="s">
        <v>184</v>
      </c>
      <c r="B35" s="30">
        <f>Planner_HUD!H5</f>
        <v>1.16139</v>
      </c>
      <c r="F35" t="s">
        <v>248</v>
      </c>
      <c r="G35" s="6">
        <f>IF(G33="","",ABS((G33-$B$3)*10000))</f>
        <v>13.6000000000003</v>
      </c>
      <c r="P35" t="s">
        <v>81</v>
      </c>
      <c r="Q35" s="6">
        <f>IF(OR(Q34="",$R$28=""),"",ABS(($R$28-Q34)*10000))</f>
        <v>57.7951653944009</v>
      </c>
      <c r="AB35" t="s">
        <v>389</v>
      </c>
      <c r="AC35" s="21" t="str">
        <f>IF($L$1&lt;&gt;"SHORT","",IF(COUNT($Q$28:$Q$30)=0,"",IF(MAX(IF(Planner_HUD!$E$12&lt;$AC$46,Planner_HUD!$E$12,0),IF(Planner_HUD!$E$10&lt;$AC$46,Planner_HUD!$E$10,0),IF(Planner_HUD!$H$10&lt;$AC$46,Planner_HUD!$H$10,0))=0,$AC$46-MAX($K$20,$AE$24*$AE$3),MAX(IF(Planner_HUD!$E$12&lt;$AC$46,Planner_HUD!$E$12,0),IF(Planner_HUD!$E$10&lt;$AC$46,Planner_HUD!$E$10,0),IF(Planner_HUD!$H$10&lt;$AC$46,Planner_HUD!$H$10,0)))))</f>
        <v/>
      </c>
      <c r="AD35" s="79" t="s">
        <v>390</v>
      </c>
      <c r="AE35" s="6">
        <f>MAX($AE$34,ROUNDUP($AE$6*$AE$5,0))</f>
        <v>10</v>
      </c>
    </row>
    <row r="36" spans="1:32">
      <c r="A36" t="s">
        <v>189</v>
      </c>
      <c r="B36" s="30">
        <f>Planner_HUD!H6</f>
        <v>1.1605</v>
      </c>
      <c r="F36" t="s">
        <v>249</v>
      </c>
      <c r="G36" s="6">
        <f>IF(AND(G33&lt;&gt;"",G35&lt;=G34),1,0)</f>
        <v>1</v>
      </c>
      <c r="P36" t="s">
        <v>314</v>
      </c>
      <c r="Q36" s="22">
        <f>IF(OR(Q33=0,Q34="",$R$28=""),"",ABS(($R$28-Q34)*Q33))</f>
        <v>1488.05994183927</v>
      </c>
      <c r="AD36" s="79" t="s">
        <v>391</v>
      </c>
      <c r="AE36" s="21">
        <f>MAX(0.00025,$B$18*0.5,$AE$34*$AE$3)</f>
        <v>0.001</v>
      </c>
    </row>
    <row r="37" spans="1:32">
      <c r="A37" t="s">
        <v>192</v>
      </c>
      <c r="B37" s="30">
        <f>Planner_HUD!H7</f>
        <v>1.16734</v>
      </c>
      <c r="F37" t="s">
        <v>250</v>
      </c>
      <c r="G37" s="81">
        <f>Planner_HUD!K14</f>
        <v>0.3</v>
      </c>
      <c r="P37" t="s">
        <v>85</v>
      </c>
      <c r="Q37" s="6">
        <f>IF(SUM($W$28:$W$30)=0,"",SUM($X$28:$X$30)/SUM($W$28:$W$30))</f>
        <v>4.93771739130486</v>
      </c>
      <c r="AB37" t="s">
        <v>392</v>
      </c>
      <c r="AC37" s="16" t="str">
        <f ca="1">Macro_Dashboard!$B$19</f>
        <v>Neutral</v>
      </c>
      <c r="AD37" s="79" t="s">
        <v>393</v>
      </c>
      <c r="AE37" s="21">
        <f>$B$40-$AE$36</f>
        <v>1.16679</v>
      </c>
    </row>
    <row r="38" spans="1:32">
      <c r="A38" t="s">
        <v>197</v>
      </c>
      <c r="B38" s="30">
        <f>Planner_HUD!H8</f>
        <v>1.16627</v>
      </c>
      <c r="P38" t="s">
        <v>321</v>
      </c>
      <c r="Q38" s="6">
        <f>IF(SUM(Y28:Y30)=0,"",(Y28*MAX(U28,$AE$21)+Y29*MAX(U29,$AE$21)+Y30*MAX(U30,$AE$21))/SUM(Y28:Y30))</f>
        <v>11.7048346055966</v>
      </c>
      <c r="AB38" t="s">
        <v>394</v>
      </c>
      <c r="AC38" s="52">
        <f ca="1">IF(AC37="Buy dips",1,IF(AC37="Sell rallies",-1,0))</f>
        <v>0</v>
      </c>
      <c r="AD38" s="79" t="s">
        <v>395</v>
      </c>
      <c r="AE38" s="12">
        <f>SUM($V$42:$V$44)</f>
        <v>1</v>
      </c>
    </row>
    <row r="39" spans="1:32">
      <c r="A39" t="s">
        <v>201</v>
      </c>
      <c r="B39" s="30">
        <f>Planner_HUD!H9</f>
        <v>1.1682</v>
      </c>
      <c r="AB39" t="s">
        <v>396</v>
      </c>
      <c r="AC39" s="52">
        <f ca="1">IF(Macro_Dashboard!$B$31&gt;0.3,-0.5,IF(Macro_Dashboard!$B$31&lt;-0.3,0.5,0))</f>
        <v>-0.5</v>
      </c>
      <c r="AE39">
        <v>8</v>
      </c>
    </row>
    <row r="40" spans="1:32">
      <c r="A40" t="s">
        <v>206</v>
      </c>
      <c r="B40" s="45">
        <f>Planner_HUD!H10</f>
        <v>1.16779</v>
      </c>
      <c r="AB40" t="s">
        <v>397</v>
      </c>
      <c r="AC40" s="16">
        <f ca="1">IF(Macro_Dashboard!$B$28&lt;=-2,0.5,IF(Macro_Dashboard!$B$28&gt;=2,-0.5,0))</f>
        <v>-0.5</v>
      </c>
      <c r="AE40">
        <f>MAX($B$27,$G$19,$G$17)+$AE$39*$AE$3</f>
        <v>1.1797</v>
      </c>
    </row>
    <row r="41" spans="1:32">
      <c r="P41" s="18" t="s">
        <v>398</v>
      </c>
      <c r="Q41" s="19" t="s">
        <v>78</v>
      </c>
      <c r="R41" s="19" t="s">
        <v>79</v>
      </c>
      <c r="S41" s="19" t="s">
        <v>80</v>
      </c>
      <c r="T41" s="19" t="s">
        <v>81</v>
      </c>
      <c r="U41" s="19" t="s">
        <v>283</v>
      </c>
      <c r="V41" s="19" t="s">
        <v>255</v>
      </c>
      <c r="W41" s="19" t="s">
        <v>256</v>
      </c>
      <c r="X41" s="19" t="s">
        <v>257</v>
      </c>
      <c r="Y41" s="19" t="s">
        <v>86</v>
      </c>
      <c r="Z41" s="20" t="s">
        <v>284</v>
      </c>
      <c r="AA41" t="str">
        <f>IF(U42="","",MAX(U42,$AE$7))</f>
        <v/>
      </c>
      <c r="AB41" t="s">
        <v>399</v>
      </c>
      <c r="AC41" s="46">
        <f ca="1">MAX(-1,MIN(1,AC38+AC39+AC40))</f>
        <v>-1</v>
      </c>
      <c r="AE41" t="str">
        <f>IF($L$1&lt;&gt;"LONG","",MIN(IF($G$17&gt;$B$3,$G$17,10^6),IF($G$19&gt;$B$3,$G$19,10^6),IF($B$27&gt;$B$3,$B$27,10^6)))</f>
        <v/>
      </c>
    </row>
    <row r="42" spans="1:32">
      <c r="P42" s="23" t="s">
        <v>400</v>
      </c>
      <c r="Q42" s="24" t="str">
        <f>IF($L$1&lt;&gt;"LONG","",IF($B$8&lt;=$B$3,$B$8,""))</f>
        <v/>
      </c>
      <c r="R42" s="24" t="str">
        <f>IF(Q42="","",$AE$41)</f>
        <v/>
      </c>
      <c r="S42" s="24" t="str">
        <f>IF(Q42="","",$AE$37)</f>
        <v/>
      </c>
      <c r="T42" s="25" t="str">
        <f>IF(OR(Q42="",R42=""),"",ABS((R42-Q42)*10000))</f>
        <v/>
      </c>
      <c r="U42" s="25" t="str">
        <f>IF(OR(Q42="",S42=""),"",MAX(ABS((Q42-S42)*10000),$AE$35))</f>
        <v/>
      </c>
      <c r="V42" s="26">
        <v>0.35</v>
      </c>
      <c r="W42" s="27" t="str">
        <f>IF(OR(V42=0,$AE$38=0,Q42=""),"",$L$2*$AE$33*V42/$AE$38)</f>
        <v/>
      </c>
      <c r="X42" s="27" t="str">
        <f>IF(OR(W42="",W42=0,T42=""),"",W42*T42/MAX(U42,$AE$35))</f>
        <v/>
      </c>
      <c r="Y42" s="28" t="str">
        <f>IF(OR(Q42="",U42="",W42=""),"",W42/(MAX(U42,$AE$35)*$AE$3))</f>
        <v/>
      </c>
      <c r="Z42" s="29" t="str">
        <f>IF(OR(T42="",U42=""),"",T42/MAX(U42,$AE$35))</f>
        <v/>
      </c>
      <c r="AA42" t="str">
        <f>IF(U43="","",MAX(U43,$AE$7))</f>
        <v/>
      </c>
      <c r="AB42" t="s">
        <v>392</v>
      </c>
      <c r="AC42" s="16">
        <f ca="1">0.5*AC41</f>
        <v>-0.5</v>
      </c>
    </row>
    <row r="43" spans="1:32">
      <c r="H43" s="21"/>
      <c r="I43" s="21"/>
      <c r="P43" s="23" t="s">
        <v>401</v>
      </c>
      <c r="Q43" s="24" t="str">
        <f>IF($L$1&lt;&gt;"LONG","",IF($B$10&lt;=$B$3,$B$10,""))</f>
        <v/>
      </c>
      <c r="R43" s="24" t="str">
        <f>IF(Q43="","",$AE$41)</f>
        <v/>
      </c>
      <c r="S43" s="24" t="str">
        <f>IF(Q43="","",$AE$37)</f>
        <v/>
      </c>
      <c r="T43" s="25" t="str">
        <f>IF(OR(Q43="",R43=""),"",ABS((R43-Q43)*10000))</f>
        <v/>
      </c>
      <c r="U43" s="25" t="str">
        <f>IF(OR(Q43="",S43=""),"",MAX(ABS((Q43-S43)*10000),$AE$35))</f>
        <v/>
      </c>
      <c r="V43" s="26">
        <v>0.4</v>
      </c>
      <c r="W43" s="27" t="str">
        <f>IF(OR(V43=0,$AE$38=0,Q43=""),"",$L$2*$AE$33*V43/$AE$38)</f>
        <v/>
      </c>
      <c r="X43" s="27" t="str">
        <f>IF(OR(W43="",W43=0,T43=""),"",W43*T43/MAX(U43,$AE$35))</f>
        <v/>
      </c>
      <c r="Y43" s="28" t="str">
        <f>IF(OR(Q43="",U43="",W43=""),"",W43/(MAX(U43,$AE$35)*$AE$3))</f>
        <v/>
      </c>
      <c r="Z43" s="29" t="str">
        <f>IF(OR(T43="",U43=""),"",T43/MAX(U43,$AE$35))</f>
        <v/>
      </c>
      <c r="AA43" t="str">
        <f>IF(U44="","",MAX(U44,$AE$7))</f>
        <v/>
      </c>
    </row>
    <row r="44" spans="1:32">
      <c r="I44" s="21"/>
      <c r="P44" s="23" t="s">
        <v>402</v>
      </c>
      <c r="Q44" s="24" t="str">
        <f>IF($L$1&lt;&gt;"LONG","",IF($B$40&lt;=$B$3,$B$40,""))</f>
        <v/>
      </c>
      <c r="R44" s="24" t="str">
        <f>IF(Q44="","",$AE$41)</f>
        <v/>
      </c>
      <c r="S44" s="24" t="str">
        <f>IF(Q44="","",$AE$37)</f>
        <v/>
      </c>
      <c r="T44" s="25" t="str">
        <f>IF(OR(Q44="",R44=""),"",ABS((R44-Q44)*10000))</f>
        <v/>
      </c>
      <c r="U44" s="25" t="str">
        <f>IF(OR(Q44="",S44=""),"",MAX(ABS((Q44-S44)*10000),$AE$35))</f>
        <v/>
      </c>
      <c r="V44" s="26">
        <v>0.25</v>
      </c>
      <c r="W44" s="27" t="str">
        <f>IF(OR(V44=0,$AE$38=0,Q44=""),"",$L$2*$AE$33*V44/$AE$38)</f>
        <v/>
      </c>
      <c r="X44" s="27" t="str">
        <f>IF(OR(W44="",W44=0,T44=""),"",W44*T44/MAX(U44,$AE$35))</f>
        <v/>
      </c>
      <c r="Y44" s="28" t="str">
        <f>IF(OR(Q44="",U44="",W44=""),"",W44/(MAX(U44,$AE$35)*$AE$3))</f>
        <v/>
      </c>
      <c r="Z44" s="29" t="str">
        <f>IF(OR(T44="",U44=""),"",T44/MAX(U44,$AE$35))</f>
        <v/>
      </c>
    </row>
    <row r="45" spans="1:32">
      <c r="I45" s="21"/>
      <c r="AE45" t="s">
        <v>403</v>
      </c>
      <c r="AF45" t="b">
        <f>AND($B$3&gt;=AC51,$B$3&lt;=AD51)</f>
        <v>0</v>
      </c>
    </row>
    <row r="46" spans="1:32">
      <c r="I46" s="21"/>
      <c r="P46" t="s">
        <v>161</v>
      </c>
      <c r="Q46" s="6">
        <f>IF(SUM(Y42:Y44)=0,0,SUMPRODUCT(AA41:AA43,Y42:Y44)/SUM(Y42:Y44))</f>
        <v>0</v>
      </c>
      <c r="AB46" s="122" t="s">
        <v>404</v>
      </c>
      <c r="AC46" s="21">
        <f>MIN(IF($Q$28="",1000000000,$Q$28),IF($Q$29="",1000000000,$Q$29),IF($Q$30="",1000000000,$Q$30))</f>
        <v>1.16454</v>
      </c>
      <c r="AE46" t="s">
        <v>405</v>
      </c>
      <c r="AF46" t="b">
        <f>AND($B$3&gt;=AC52,$B$3&lt;=AD52)</f>
        <v>0</v>
      </c>
    </row>
    <row r="47" spans="1:32">
      <c r="I47" s="21"/>
      <c r="P47" t="s">
        <v>166</v>
      </c>
      <c r="Q47" s="48">
        <f>SUM(Y42:Y44)</f>
        <v>0</v>
      </c>
      <c r="AB47" t="s">
        <v>406</v>
      </c>
      <c r="AC47" s="35">
        <f>IF(AC48="","",AC48+($AE$24*$AE$3))</f>
        <v>1.16524</v>
      </c>
      <c r="AE47" t="s">
        <v>407</v>
      </c>
      <c r="AF47">
        <f>IF(Planner_HUD!$E$7&gt;$B$3,Planner_HUD!$E$7,"")</f>
        <v>1.1789</v>
      </c>
    </row>
    <row r="48" spans="1:32">
      <c r="I48" s="21"/>
      <c r="P48" t="s">
        <v>195</v>
      </c>
      <c r="Q48" s="21" t="str">
        <f>IF(Q47=0,"",SUMPRODUCT(Q42:Q44,Y42:Y44)/Q47)</f>
        <v/>
      </c>
      <c r="AB48" t="s">
        <v>408</v>
      </c>
      <c r="AC48" s="35">
        <f>IF(AF51="","",AF51+$K$20)</f>
        <v>1.16454</v>
      </c>
      <c r="AE48" t="s">
        <v>409</v>
      </c>
      <c r="AF48">
        <f>IF(Planner_HUD!$E$9&gt;$B$3,Planner_HUD!$E$9,"")</f>
        <v>1.16829</v>
      </c>
    </row>
    <row r="49" spans="9:32">
      <c r="I49" s="21"/>
      <c r="P49" t="s">
        <v>81</v>
      </c>
      <c r="Q49" s="6" t="str">
        <f>IF(OR(Q48="",$L$3=""),"",ABS(($L$3-Q48)*10000))</f>
        <v/>
      </c>
      <c r="AB49" t="s">
        <v>410</v>
      </c>
      <c r="AC49" s="35">
        <f>IF(AC48="","",AC48+((($AE$24/2)*$AE$3)))</f>
        <v>1.16489</v>
      </c>
      <c r="AE49" t="s">
        <v>411</v>
      </c>
      <c r="AF49">
        <f>IF(Planner_HUD!$E$16&gt;$B$3,Planner_HUD!$E$16,"")</f>
        <v>1.1682</v>
      </c>
    </row>
    <row r="50" spans="9:32">
      <c r="P50" t="s">
        <v>314</v>
      </c>
      <c r="Q50" s="22" t="str">
        <f>IF(OR(Q47=0,Q48="",$L$3=""),"",ABS(($L$3-Q48)*Q47))</f>
        <v/>
      </c>
      <c r="AA50" s="72">
        <f>B3</f>
        <v>1.16364</v>
      </c>
      <c r="AB50" s="2" t="s">
        <v>412</v>
      </c>
      <c r="AC50" s="16" t="str">
        <f>IF($L$1&lt;&gt;"LONG","",MAX($B$3,IF(AND($G$21&lt;&gt;"",ABS($G$21-IF($B$27&lt;&gt;"",$B$27,$G$17))&lt;=0.0025),$G$21,IF($B$27&lt;&gt;"",$B$27,$G$17))))</f>
        <v/>
      </c>
      <c r="AD50" s="2" t="s">
        <v>260</v>
      </c>
      <c r="AE50" t="s">
        <v>413</v>
      </c>
      <c r="AF50" t="str">
        <f>IF(AND(Planner_HUD!$E$11&gt;$B$3,(Planner_HUD!$E$11-$B$3)*10000&lt;=40),Planner_HUD!$E$11,"")</f>
        <v/>
      </c>
    </row>
    <row r="51" spans="9:32">
      <c r="P51" t="s">
        <v>85</v>
      </c>
      <c r="Q51" s="6" t="str">
        <f>IF(SUM($W$42:$W$44)=0,"",SUM($X$42:$X$44)/SUM($W$42:$W$44))</f>
        <v/>
      </c>
      <c r="AA51" s="2" t="s">
        <v>414</v>
      </c>
      <c r="AB51" t="s">
        <v>415</v>
      </c>
      <c r="AC51" s="35">
        <f>MIN($D$23,$D$25)</f>
        <v>1.16873362</v>
      </c>
      <c r="AD51" s="72">
        <f>MAX($D$23,$D$25)</f>
        <v>1.17319638</v>
      </c>
      <c r="AF51">
        <f>IFERROR(_xlfn.AGGREGATE(15,6,AF47:AF50/(AF47:AF50&lt;&gt;""),1),$B$3+($AE$24*$AE$3))</f>
        <v>1.16434</v>
      </c>
    </row>
    <row r="52" spans="9:32">
      <c r="P52" t="s">
        <v>321</v>
      </c>
      <c r="Q52" s="6" t="str">
        <f>IF(SUM(Y42:Y44)=0,"",(Y42*MAX(U42,$AE$35)+Y43*MAX(U43,$AE$35)+Y44*MAX(U44,$AE$35))/SUM(Y42:Y44))</f>
        <v/>
      </c>
      <c r="AA52" s="2" t="s">
        <v>416</v>
      </c>
      <c r="AB52" s="2">
        <v>2</v>
      </c>
      <c r="AC52" s="16">
        <f>B36</f>
        <v>1.1605</v>
      </c>
      <c r="AD52" s="2">
        <f>B35</f>
        <v>1.16139</v>
      </c>
      <c r="AE52" t="s">
        <v>417</v>
      </c>
      <c r="AF52" t="b">
        <f ca="1">AND($AC$38&gt;=0,G8=TRUE,NOT(G9),AF48)</f>
        <v>0</v>
      </c>
    </row>
    <row r="53" spans="9:32">
      <c r="AA53" s="2" t="s">
        <v>418</v>
      </c>
      <c r="AB53" s="2">
        <v>3</v>
      </c>
      <c r="AC53" s="16">
        <f>B13</f>
        <v>1.16347</v>
      </c>
      <c r="AD53" s="2">
        <f>B12</f>
        <v>1.16757</v>
      </c>
      <c r="AE53" s="21" t="s">
        <v>419</v>
      </c>
      <c r="AF53" t="b">
        <f ca="1">AND(N($AC$38)&lt;=0,G8=TRUE,G11=TRUE,AF49=TRUE,$B$21&gt;70,$B$20&gt;65)</f>
        <v>0</v>
      </c>
    </row>
    <row r="54" spans="9:32">
      <c r="AB54" s="2"/>
      <c r="AD54" s="2"/>
      <c r="AE54" t="s">
        <v>420</v>
      </c>
      <c r="AF54" s="2" t="str">
        <f>IF(AF48,"DISCOUNT",IF(AF49,"CT_ZONE",IF(AF50,"PREMIUM","MID")))</f>
        <v>DISCOUNT</v>
      </c>
    </row>
    <row r="55" spans="9:32">
      <c r="AB55" t="s">
        <v>421</v>
      </c>
      <c r="AC55" s="16">
        <f>IF(AND($B$3&gt;=AC51,$B$3&lt;=AD51),1,IF(AND($B$3&gt;=AC52,$B$3&lt;=AD52),2,IF(AND($B$3&gt;=AC53,$B$3&lt;=AD53),3,0)))</f>
        <v>3</v>
      </c>
    </row>
    <row r="56" spans="9:32">
      <c r="AC56">
        <f>AC55</f>
        <v>3</v>
      </c>
    </row>
    <row r="57" spans="9:32">
      <c r="AB57" t="s">
        <v>422</v>
      </c>
      <c r="AD57" t="s">
        <v>423</v>
      </c>
      <c r="AE57">
        <f>IF($AC$57&lt;&gt;"",$AC$57,IF($AC$55=0,1,$AC$55))</f>
        <v>3</v>
      </c>
    </row>
    <row r="59" spans="9:32">
      <c r="Z59" s="72"/>
    </row>
    <row r="60" spans="9:32">
      <c r="Z60" s="2"/>
    </row>
    <row r="61" spans="9:32">
      <c r="Z61" s="2"/>
    </row>
    <row r="62" spans="9:32">
      <c r="Z62" s="2"/>
    </row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9"/>
  <sheetViews>
    <sheetView workbookViewId="0">
      <pane ySplit="3" topLeftCell="A4" activePane="bottomLeft" state="frozen"/>
      <selection/>
      <selection pane="bottomLeft" activeCell="F12" sqref="F12"/>
    </sheetView>
  </sheetViews>
  <sheetFormatPr defaultColWidth="91.7090909090909" defaultRowHeight="14.5"/>
  <cols>
    <col min="1" max="1" width="33.2818181818182" customWidth="1"/>
    <col min="2" max="2" width="21.7090909090909" customWidth="1"/>
    <col min="3" max="3" width="17" customWidth="1"/>
    <col min="4" max="4" width="19.8545454545455" customWidth="1"/>
    <col min="5" max="5" width="11" customWidth="1"/>
    <col min="6" max="6" width="13.1363636363636" customWidth="1"/>
    <col min="7" max="7" width="14" customWidth="1"/>
    <col min="8" max="8" width="8.13636363636364" customWidth="1"/>
    <col min="9" max="9" width="11.2818181818182" customWidth="1"/>
    <col min="10" max="10" width="19.5727272727273" customWidth="1"/>
    <col min="11" max="11" width="12" customWidth="1"/>
    <col min="12" max="12" width="53.7090909090909" customWidth="1"/>
  </cols>
  <sheetData>
    <row r="1" ht="18.75" customHeight="1" spans="1:12">
      <c r="A1" s="125" t="s">
        <v>424</v>
      </c>
    </row>
    <row r="2" spans="1:12">
      <c r="A2" s="126" t="s">
        <v>425</v>
      </c>
    </row>
    <row r="4" spans="1:12">
      <c r="A4" s="120" t="s">
        <v>426</v>
      </c>
      <c r="D4" s="120" t="s">
        <v>427</v>
      </c>
      <c r="G4" s="120" t="s">
        <v>428</v>
      </c>
      <c r="J4" s="120" t="s">
        <v>429</v>
      </c>
    </row>
    <row r="5" spans="1:12">
      <c r="A5" s="127" t="s">
        <v>91</v>
      </c>
      <c r="B5" s="128">
        <v>1.16364</v>
      </c>
      <c r="D5" s="127" t="s">
        <v>182</v>
      </c>
      <c r="E5" s="128">
        <v>1.1808</v>
      </c>
      <c r="G5" s="127" t="s">
        <v>184</v>
      </c>
      <c r="H5" s="128">
        <v>1.16139</v>
      </c>
      <c r="J5" s="127" t="s">
        <v>232</v>
      </c>
      <c r="K5" s="128">
        <v>1.13</v>
      </c>
    </row>
    <row r="6" spans="1:12">
      <c r="A6" s="127" t="s">
        <v>102</v>
      </c>
      <c r="B6" s="128">
        <v>1.16347</v>
      </c>
      <c r="D6" s="127" t="s">
        <v>187</v>
      </c>
      <c r="E6" s="128">
        <v>1.15889</v>
      </c>
      <c r="G6" s="127" t="s">
        <v>189</v>
      </c>
      <c r="H6" s="128">
        <v>1.1605</v>
      </c>
      <c r="J6" s="127" t="s">
        <v>233</v>
      </c>
      <c r="K6" s="129">
        <v>1.46</v>
      </c>
      <c r="L6" s="14"/>
    </row>
    <row r="7" spans="1:12">
      <c r="A7" s="127" t="s">
        <v>110</v>
      </c>
      <c r="B7" s="128">
        <v>1.16351</v>
      </c>
      <c r="D7" s="127" t="s">
        <v>191</v>
      </c>
      <c r="E7" s="128">
        <v>1.1789</v>
      </c>
      <c r="G7" s="127" t="s">
        <v>192</v>
      </c>
      <c r="H7" s="128">
        <v>1.16734</v>
      </c>
      <c r="J7" s="127" t="s">
        <v>237</v>
      </c>
      <c r="K7" s="128">
        <v>1.18</v>
      </c>
    </row>
    <row r="8" spans="1:12">
      <c r="A8" s="127" t="s">
        <v>117</v>
      </c>
      <c r="B8" s="128">
        <v>1.16383</v>
      </c>
      <c r="D8" s="127" t="s">
        <v>196</v>
      </c>
      <c r="E8" s="128">
        <v>1.17132</v>
      </c>
      <c r="G8" s="127" t="s">
        <v>197</v>
      </c>
      <c r="H8" s="128">
        <v>1.16627</v>
      </c>
      <c r="J8" s="127" t="s">
        <v>238</v>
      </c>
      <c r="K8" s="129">
        <v>1.136</v>
      </c>
    </row>
    <row r="9" spans="1:12">
      <c r="A9" s="127" t="s">
        <v>123</v>
      </c>
      <c r="B9" s="128">
        <v>1.1658</v>
      </c>
      <c r="D9" s="127" t="s">
        <v>199</v>
      </c>
      <c r="E9" s="128">
        <v>1.16829</v>
      </c>
      <c r="G9" s="127" t="s">
        <v>201</v>
      </c>
      <c r="H9" s="128">
        <v>1.1682</v>
      </c>
      <c r="J9" s="127" t="s">
        <v>241</v>
      </c>
      <c r="K9" s="128">
        <v>1.165</v>
      </c>
    </row>
    <row r="10" spans="1:12">
      <c r="A10" s="127" t="s">
        <v>136</v>
      </c>
      <c r="B10" s="128">
        <v>1.16567</v>
      </c>
      <c r="D10" s="127" t="s">
        <v>204</v>
      </c>
      <c r="E10" s="128">
        <v>1.16427</v>
      </c>
      <c r="G10" s="127" t="s">
        <v>206</v>
      </c>
      <c r="H10" s="128">
        <v>1.16779</v>
      </c>
      <c r="J10" s="127" t="s">
        <v>242</v>
      </c>
      <c r="K10" s="129">
        <v>1.12</v>
      </c>
    </row>
    <row r="11" spans="1:12">
      <c r="A11" s="127" t="s">
        <v>143</v>
      </c>
      <c r="B11" s="128">
        <v>1.16963</v>
      </c>
      <c r="D11" s="127" t="s">
        <v>209</v>
      </c>
      <c r="E11" s="128">
        <v>1.17025</v>
      </c>
      <c r="J11" s="127" t="s">
        <v>380</v>
      </c>
      <c r="K11" s="128"/>
    </row>
    <row r="12" spans="1:12">
      <c r="A12" s="127" t="s">
        <v>150</v>
      </c>
      <c r="B12" s="128">
        <v>1.16757</v>
      </c>
      <c r="D12" s="127" t="s">
        <v>216</v>
      </c>
      <c r="E12" s="128">
        <v>1.15919</v>
      </c>
      <c r="J12" s="127" t="s">
        <v>381</v>
      </c>
      <c r="K12" s="129"/>
    </row>
    <row r="13" spans="1:12">
      <c r="A13" s="127" t="s">
        <v>156</v>
      </c>
      <c r="B13" s="128">
        <v>1.16347</v>
      </c>
      <c r="D13" s="127" t="s">
        <v>145</v>
      </c>
      <c r="E13" s="128">
        <v>1.16151</v>
      </c>
      <c r="J13" s="127" t="s">
        <v>246</v>
      </c>
      <c r="K13" s="130">
        <v>20</v>
      </c>
    </row>
    <row r="14" spans="1:12">
      <c r="A14" s="127" t="s">
        <v>162</v>
      </c>
      <c r="B14" s="128">
        <v>1.14963</v>
      </c>
      <c r="D14" s="127" t="s">
        <v>152</v>
      </c>
      <c r="E14" s="128">
        <v>1.18042</v>
      </c>
      <c r="J14" s="127" t="s">
        <v>250</v>
      </c>
      <c r="K14" s="131">
        <v>0.3</v>
      </c>
    </row>
    <row r="15" spans="1:12">
      <c r="A15" s="127" t="s">
        <v>167</v>
      </c>
      <c r="B15" s="128">
        <v>1.1439</v>
      </c>
      <c r="D15" s="127" t="s">
        <v>361</v>
      </c>
      <c r="E15" s="128">
        <v>1.16182</v>
      </c>
      <c r="J15" s="127" t="s">
        <v>344</v>
      </c>
      <c r="K15" s="128">
        <v>0.0002</v>
      </c>
    </row>
    <row r="16" spans="1:12">
      <c r="A16" s="127" t="s">
        <v>171</v>
      </c>
      <c r="B16" s="128">
        <v>1.1241</v>
      </c>
      <c r="D16" s="127" t="s">
        <v>364</v>
      </c>
      <c r="E16" s="128">
        <v>1.1682</v>
      </c>
      <c r="J16" s="127" t="s">
        <v>138</v>
      </c>
      <c r="K16" s="129">
        <v>0.2</v>
      </c>
    </row>
    <row r="17" spans="1:11">
      <c r="A17" s="127" t="s">
        <v>343</v>
      </c>
      <c r="B17" s="129">
        <v>51.21</v>
      </c>
      <c r="D17" s="127" t="s">
        <v>93</v>
      </c>
      <c r="E17" s="128">
        <v>1.14931</v>
      </c>
      <c r="J17" s="127" t="s">
        <v>146</v>
      </c>
      <c r="K17" s="129">
        <v>0.35</v>
      </c>
    </row>
    <row r="18" spans="1:11">
      <c r="A18" s="127" t="s">
        <v>105</v>
      </c>
      <c r="B18" s="129">
        <v>38.35</v>
      </c>
      <c r="D18" s="127" t="s">
        <v>104</v>
      </c>
      <c r="E18" s="128">
        <v>1.18042</v>
      </c>
      <c r="J18" s="127" t="s">
        <v>153</v>
      </c>
      <c r="K18" s="129">
        <v>0.45</v>
      </c>
    </row>
    <row r="19" spans="1:11">
      <c r="A19" s="127" t="s">
        <v>332</v>
      </c>
      <c r="B19" s="129">
        <v>31.67</v>
      </c>
      <c r="J19" s="127" t="s">
        <v>318</v>
      </c>
      <c r="K19" s="130">
        <v>0</v>
      </c>
    </row>
    <row r="20" spans="1:11">
      <c r="A20" s="127" t="s">
        <v>178</v>
      </c>
      <c r="B20" s="128">
        <v>0.00047</v>
      </c>
      <c r="J20" s="127" t="s">
        <v>320</v>
      </c>
      <c r="K20" s="130">
        <v>3</v>
      </c>
    </row>
    <row r="21" spans="1:11">
      <c r="A21" s="127" t="s">
        <v>221</v>
      </c>
      <c r="B21" s="128">
        <v>0.00088</v>
      </c>
    </row>
    <row r="22" spans="1:11">
      <c r="A22" s="120" t="s">
        <v>430</v>
      </c>
    </row>
    <row r="23" spans="1:11">
      <c r="A23" s="114" t="s">
        <v>87</v>
      </c>
      <c r="B23" s="114" t="s">
        <v>431</v>
      </c>
      <c r="C23" s="114" t="s">
        <v>432</v>
      </c>
      <c r="D23" s="114" t="s">
        <v>433</v>
      </c>
    </row>
    <row r="24" spans="1:11">
      <c r="A24" s="132" t="s">
        <v>98</v>
      </c>
      <c r="B24" s="132" t="str">
        <f>Planner_v2!G3</f>
        <v>Range</v>
      </c>
      <c r="C24" s="133" t="s">
        <v>100</v>
      </c>
      <c r="D24" s="133" t="s">
        <v>100</v>
      </c>
    </row>
    <row r="25" spans="1:11">
      <c r="A25" s="132" t="s">
        <v>109</v>
      </c>
      <c r="B25" s="132" t="str">
        <f>Planner_v2!G4</f>
        <v>Bear</v>
      </c>
      <c r="C25" s="133" t="s">
        <v>100</v>
      </c>
      <c r="D25" s="133" t="s">
        <v>100</v>
      </c>
    </row>
    <row r="26" spans="1:11">
      <c r="A26" s="132" t="s">
        <v>115</v>
      </c>
      <c r="B26" s="132" t="str">
        <f>Planner_v2!G5</f>
        <v>Bear</v>
      </c>
      <c r="C26" s="133" t="s">
        <v>100</v>
      </c>
      <c r="D26" s="133" t="s">
        <v>100</v>
      </c>
    </row>
    <row r="27" spans="1:11">
      <c r="A27" s="132" t="s">
        <v>122</v>
      </c>
      <c r="B27" s="132" t="str">
        <f>Planner_v2!G6</f>
        <v>Bear</v>
      </c>
      <c r="C27" s="133" t="s">
        <v>100</v>
      </c>
      <c r="D27" s="133" t="s">
        <v>100</v>
      </c>
    </row>
    <row r="30" spans="1:11">
      <c r="A30" s="120" t="s">
        <v>434</v>
      </c>
    </row>
    <row r="31" spans="1:11">
      <c r="A31" s="127" t="s">
        <v>435</v>
      </c>
      <c r="B31" s="134" t="str">
        <f>Planner_v2!L1</f>
        <v/>
      </c>
      <c r="C31" s="135"/>
      <c r="D31" s="135"/>
      <c r="E31" s="135"/>
      <c r="F31" s="135"/>
      <c r="G31" s="135"/>
      <c r="H31" s="135"/>
      <c r="I31" s="135"/>
      <c r="J31" s="135"/>
      <c r="K31" s="136"/>
    </row>
    <row r="32" spans="1:11">
      <c r="A32" s="127" t="s">
        <v>214</v>
      </c>
      <c r="B32" s="134" t="str">
        <f ca="1">IF(Planner_v2!AC18="","",TEXT(Planner_v2!AC18,"0%")&amp;" ("&amp;Narrative_Engine!B4&amp;") — "&amp;Narrative_Engine!B5)</f>
        <v>13% (D) — Avoid: observation only.</v>
      </c>
      <c r="C32" s="135"/>
      <c r="D32" s="135"/>
      <c r="E32" s="135"/>
      <c r="F32" s="135"/>
      <c r="G32" s="135"/>
      <c r="H32" s="135"/>
      <c r="I32" s="135"/>
      <c r="J32" s="135"/>
      <c r="K32" s="136"/>
    </row>
    <row r="33" spans="1:11">
      <c r="A33" s="127" t="s">
        <v>436</v>
      </c>
      <c r="B33" s="134" t="str">
        <f ca="1">Planner_v2!AC23</f>
        <v>Avoid</v>
      </c>
      <c r="C33" s="135"/>
      <c r="D33" s="135"/>
      <c r="E33" s="135"/>
      <c r="F33" s="135"/>
      <c r="G33" s="135"/>
      <c r="H33" s="135"/>
      <c r="I33" s="135"/>
      <c r="J33" s="135"/>
      <c r="K33" s="136"/>
    </row>
    <row r="34" spans="1:11">
      <c r="A34" s="127" t="s">
        <v>437</v>
      </c>
      <c r="B34" s="134" t="str">
        <f ca="1">Macro_Dashboard!B19</f>
        <v>Neutral</v>
      </c>
      <c r="C34" s="135"/>
      <c r="D34" s="135"/>
      <c r="E34" s="135"/>
      <c r="F34" s="135"/>
      <c r="G34" s="135"/>
      <c r="H34" s="135"/>
      <c r="I34" s="135"/>
      <c r="J34" s="135"/>
      <c r="K34" s="136"/>
    </row>
    <row r="35" spans="1:11">
      <c r="A35" s="127" t="s">
        <v>438</v>
      </c>
      <c r="B35" s="134" t="str">
        <f>IF(Narrative_Engine!B7="","",TEXT(Narrative_Engine!B7,"0.00")&amp;" ("&amp;Narrative_Engine!B11&amp;")")</f>
        <v>2.37 (USD advantage now)</v>
      </c>
      <c r="C35" s="135"/>
      <c r="D35" s="135"/>
      <c r="E35" s="135"/>
      <c r="F35" s="135"/>
      <c r="G35" s="135"/>
      <c r="H35" s="135"/>
      <c r="I35" s="135"/>
      <c r="J35" s="135"/>
      <c r="K35" s="136"/>
    </row>
    <row r="36" spans="1:11">
      <c r="A36" s="127" t="s">
        <v>439</v>
      </c>
      <c r="B36" s="134" t="str">
        <f ca="1">IF(Narrative_Engine!B9="","",TEXT(Narrative_Engine!B9,"0")&amp;" steps (~"&amp;TEXT(Narrative_Engine!B10,"0")&amp;"bp) — "&amp;Narrative_Engine!B12)</f>
        <v/>
      </c>
      <c r="C36" s="135"/>
      <c r="D36" s="135"/>
      <c r="E36" s="135"/>
      <c r="F36" s="135"/>
      <c r="G36" s="135"/>
      <c r="H36" s="135"/>
      <c r="I36" s="135"/>
      <c r="J36" s="135"/>
      <c r="K36" s="136"/>
    </row>
    <row r="37" spans="1:11">
      <c r="A37" s="127" t="s">
        <v>440</v>
      </c>
      <c r="B37" s="134" t="str">
        <f>Macro_Dashboard!B37</f>
        <v>US yields: 2Y 3.50% (-2bp 1d) — 2Y falling → easier Fed priced → USD headwind. Curve (2s10s): 1bp — Curve normal → growth ok</v>
      </c>
      <c r="C37" s="135"/>
      <c r="D37" s="135"/>
      <c r="E37" s="135"/>
      <c r="F37" s="135"/>
      <c r="G37" s="135"/>
      <c r="H37" s="135"/>
      <c r="I37" s="135"/>
      <c r="J37" s="135"/>
      <c r="K37" s="136"/>
    </row>
    <row r="38" ht="90.75" customHeight="1" spans="1:11">
      <c r="A38" s="127" t="s">
        <v>441</v>
      </c>
      <c r="B38" s="134" t="str">
        <f ca="1">Narrative_Engine!B31</f>
        <v>1) Macro bias: Neutral. Rate gap NOW 2.37 (USD advantage now). 2) Yields: US yields: 2Y 3.50% (-2bp 1d) — 2Y falling → easier Fed priced → USD headwind. Curve (2s10s): 1bp — Curve normal → growth ok. 3) Speakers: Fed neutral (daily -0.08), ; ECB hawkish (daily 0.25), . </v>
      </c>
      <c r="C38" s="135"/>
      <c r="D38" s="135"/>
      <c r="E38" s="135"/>
      <c r="F38" s="135"/>
      <c r="G38" s="135"/>
      <c r="H38" s="135"/>
      <c r="I38" s="135"/>
      <c r="J38" s="135"/>
      <c r="K38" s="136"/>
    </row>
    <row r="39" spans="1:11">
      <c r="A39" s="122" t="s">
        <v>442</v>
      </c>
      <c r="B39" s="137" t="str">
        <f ca="1">Narrative_Engine!B33</f>
        <v>Action: macro neutral — lean on structure/levels, trade smaller.</v>
      </c>
      <c r="C39" s="138"/>
      <c r="D39" s="138"/>
      <c r="E39" s="138"/>
      <c r="F39" s="138"/>
      <c r="G39" s="138"/>
      <c r="H39" s="138"/>
      <c r="I39" s="138"/>
      <c r="J39" s="138"/>
      <c r="K39" s="138"/>
    </row>
    <row r="40" spans="1:11">
      <c r="A40" s="139" t="s">
        <v>42</v>
      </c>
      <c r="B40" s="140" t="str">
        <f>Narrative_Engine!B35</f>
        <v>Steps = 25bp moves (quarter‑point). Example: -4 steps ≈ -100bp of USD-vs-EUR advantage compressing over ~6 months.</v>
      </c>
    </row>
    <row r="41" spans="1:11">
      <c r="A41" s="139" t="s">
        <v>443</v>
      </c>
      <c r="B41" s="140" t="str">
        <f>IF(B40="","",IF(B40="Aligned","Trade direction matches macro bias.","Macro bias disagrees — reduce size or demand stronger technical confirmation."))</f>
        <v>Macro bias disagrees — reduce size or demand stronger technical confirmation.</v>
      </c>
    </row>
    <row r="42" spans="1:11">
      <c r="A42" s="120" t="s">
        <v>444</v>
      </c>
    </row>
    <row r="43" spans="1:11">
      <c r="A43" s="141" t="s">
        <v>445</v>
      </c>
    </row>
    <row r="44" spans="1:11">
      <c r="A44" s="142" t="s">
        <v>446</v>
      </c>
      <c r="B44" s="143" t="s">
        <v>78</v>
      </c>
      <c r="C44" s="143" t="s">
        <v>79</v>
      </c>
      <c r="D44" s="143" t="s">
        <v>80</v>
      </c>
      <c r="E44" s="143" t="s">
        <v>447</v>
      </c>
      <c r="F44" s="143" t="s">
        <v>448</v>
      </c>
      <c r="G44" s="144" t="s">
        <v>86</v>
      </c>
      <c r="H44" s="144" t="s">
        <v>256</v>
      </c>
      <c r="I44" s="144" t="s">
        <v>257</v>
      </c>
      <c r="J44" s="144" t="s">
        <v>449</v>
      </c>
      <c r="K44" s="145" t="s">
        <v>450</v>
      </c>
    </row>
    <row r="45" spans="1:11">
      <c r="A45" s="136" t="s">
        <v>263</v>
      </c>
      <c r="B45" s="146" t="str">
        <f>Planner_v2!Q2</f>
        <v/>
      </c>
      <c r="C45" s="146" t="str">
        <f>Planner_v2!R2</f>
        <v/>
      </c>
      <c r="D45" s="146" t="str">
        <f>Planner_v2!S2</f>
        <v/>
      </c>
      <c r="E45" s="147" t="str">
        <f>Planner_v2!T2</f>
        <v/>
      </c>
      <c r="F45" s="147" t="str">
        <f>Planner_v2!U2</f>
        <v/>
      </c>
      <c r="G45" s="148" t="str">
        <f>Planner_v2!Y2</f>
        <v/>
      </c>
      <c r="H45" s="149" t="str">
        <f>Planner_v2!W2</f>
        <v/>
      </c>
      <c r="I45" s="149" t="str">
        <f>Planner_v2!X2</f>
        <v/>
      </c>
      <c r="J45" s="150" t="str">
        <f>Planner_v2!Z2</f>
        <v/>
      </c>
      <c r="K45" s="151" t="str">
        <f>Planner_v2!Z2</f>
        <v/>
      </c>
    </row>
    <row r="46" spans="1:11">
      <c r="A46" s="136" t="s">
        <v>451</v>
      </c>
      <c r="B46" s="146" t="str">
        <f>Planner_v2!Q3</f>
        <v/>
      </c>
      <c r="C46" s="146" t="str">
        <f>Planner_v2!R3</f>
        <v/>
      </c>
      <c r="D46" s="146" t="str">
        <f>Planner_v2!S3</f>
        <v/>
      </c>
      <c r="E46" s="147" t="str">
        <f>Planner_v2!T3</f>
        <v/>
      </c>
      <c r="F46" s="147" t="str">
        <f>Planner_v2!U3</f>
        <v/>
      </c>
      <c r="G46" s="148" t="str">
        <f>Planner_v2!Y3</f>
        <v/>
      </c>
      <c r="H46" s="149" t="str">
        <f>Planner_v2!W3</f>
        <v/>
      </c>
      <c r="I46" s="149" t="str">
        <f>Planner_v2!X3</f>
        <v/>
      </c>
      <c r="J46" s="150" t="str">
        <f>Planner_v2!Z3</f>
        <v/>
      </c>
      <c r="K46" s="151" t="str">
        <f>Planner_v2!Z3</f>
        <v/>
      </c>
    </row>
    <row r="47" spans="1:11">
      <c r="A47" s="136" t="s">
        <v>452</v>
      </c>
      <c r="B47" s="146" t="str">
        <f>Planner_v2!Q4</f>
        <v/>
      </c>
      <c r="C47" s="146" t="str">
        <f>Planner_v2!R4</f>
        <v/>
      </c>
      <c r="D47" s="146" t="str">
        <f>Planner_v2!S4</f>
        <v/>
      </c>
      <c r="E47" s="147" t="str">
        <f>Planner_v2!T4</f>
        <v/>
      </c>
      <c r="F47" s="147" t="str">
        <f>Planner_v2!U4</f>
        <v/>
      </c>
      <c r="G47" s="148" t="str">
        <f>Planner_v2!Y4</f>
        <v/>
      </c>
      <c r="H47" s="149" t="str">
        <f>Planner_v2!W4</f>
        <v/>
      </c>
      <c r="I47" s="149" t="str">
        <f>Planner_v2!X4</f>
        <v/>
      </c>
      <c r="J47" s="150" t="str">
        <f>Planner_v2!Z4</f>
        <v/>
      </c>
      <c r="K47" s="151" t="str">
        <f>Planner_v2!Z4</f>
        <v/>
      </c>
    </row>
    <row r="48" spans="1:11">
      <c r="A48" s="152" t="s">
        <v>453</v>
      </c>
      <c r="B48" s="153" t="str">
        <f>IFERROR(SUBTOTAL(101,Table16[Entry]),"")</f>
        <v/>
      </c>
      <c r="C48" s="153" t="str">
        <f>IFERROR(SUBTOTAL(101,Table16[TP]),"")</f>
        <v/>
      </c>
      <c r="D48" s="153" t="str">
        <f>IFERROR(SUBTOTAL(101,Table16[SL]),"")</f>
        <v/>
      </c>
      <c r="E48" s="154" t="str">
        <f>IFERROR(SUBTOTAL(101,Table16[Pips→TP]),"")</f>
        <v/>
      </c>
      <c r="F48" s="154" t="str">
        <f>IFERROR(SUBTOTAL(101,Table16[EffPips→SL]),"")</f>
        <v/>
      </c>
      <c r="G48" s="155">
        <f>SUBTOTAL(109,Table16[Units])</f>
        <v>0</v>
      </c>
      <c r="H48" s="156">
        <f>SUBTOTAL(109,Table16[Risk $])</f>
        <v>0</v>
      </c>
      <c r="I48" s="156">
        <f>SUBTOTAL(109,Table16[Reward $])</f>
        <v>0</v>
      </c>
      <c r="J48" s="157" t="str">
        <f>IFERROR(Table16[[#Totals],[Reward $]]/Table16[[#Totals],[Risk $]],"")</f>
        <v/>
      </c>
      <c r="K48" s="158"/>
    </row>
    <row r="49" spans="1:12">
      <c r="A49" s="114"/>
      <c r="B49" s="149"/>
      <c r="C49" s="149"/>
      <c r="D49" s="148"/>
      <c r="E49" s="159"/>
      <c r="F49" s="159"/>
      <c r="G49" s="148"/>
      <c r="H49" s="149"/>
      <c r="I49" s="149"/>
      <c r="J49" s="150"/>
    </row>
    <row r="50" spans="1:12">
      <c r="A50" s="141" t="s">
        <v>454</v>
      </c>
    </row>
    <row r="51" spans="1:12">
      <c r="A51" s="142" t="s">
        <v>446</v>
      </c>
      <c r="B51" s="143" t="s">
        <v>78</v>
      </c>
      <c r="C51" s="143" t="s">
        <v>79</v>
      </c>
      <c r="D51" s="143" t="s">
        <v>80</v>
      </c>
      <c r="E51" s="143" t="s">
        <v>447</v>
      </c>
      <c r="F51" s="143" t="s">
        <v>448</v>
      </c>
      <c r="G51" s="144" t="s">
        <v>86</v>
      </c>
      <c r="H51" s="144" t="s">
        <v>256</v>
      </c>
      <c r="I51" s="144" t="s">
        <v>257</v>
      </c>
      <c r="J51" s="144" t="s">
        <v>449</v>
      </c>
      <c r="K51" s="145" t="s">
        <v>450</v>
      </c>
    </row>
    <row r="52" spans="1:12">
      <c r="A52" s="136" t="s">
        <v>263</v>
      </c>
      <c r="B52" s="146" t="str">
        <f>Planner_v2!Q42</f>
        <v/>
      </c>
      <c r="C52" s="146" t="str">
        <f>Planner_v2!R42</f>
        <v/>
      </c>
      <c r="D52" s="146" t="str">
        <f>Planner_v2!S42</f>
        <v/>
      </c>
      <c r="E52" s="147" t="str">
        <f>Planner_v2!T42</f>
        <v/>
      </c>
      <c r="F52" s="147" t="str">
        <f>Planner_v2!U42</f>
        <v/>
      </c>
      <c r="G52" s="148" t="str">
        <f>Planner_v2!Y42</f>
        <v/>
      </c>
      <c r="H52" s="149" t="str">
        <f>Planner_v2!W42</f>
        <v/>
      </c>
      <c r="I52" s="149" t="str">
        <f>Planner_v2!X42</f>
        <v/>
      </c>
      <c r="J52" s="150" t="str">
        <f>Planner_v2!Z42</f>
        <v/>
      </c>
      <c r="K52" s="151" t="str">
        <f>Planner_v2!Z42</f>
        <v/>
      </c>
    </row>
    <row r="53" spans="1:12">
      <c r="A53" s="136" t="s">
        <v>451</v>
      </c>
      <c r="B53" s="146" t="str">
        <f>Planner_v2!Q43</f>
        <v/>
      </c>
      <c r="C53" s="146" t="str">
        <f>Planner_v2!R43</f>
        <v/>
      </c>
      <c r="D53" s="146" t="str">
        <f>Planner_v2!S43</f>
        <v/>
      </c>
      <c r="E53" s="147" t="str">
        <f>Planner_v2!T43</f>
        <v/>
      </c>
      <c r="F53" s="147" t="str">
        <f>Planner_v2!U43</f>
        <v/>
      </c>
      <c r="G53" s="148" t="str">
        <f>Planner_v2!Y43</f>
        <v/>
      </c>
      <c r="H53" s="149" t="str">
        <f>Planner_v2!W43</f>
        <v/>
      </c>
      <c r="I53" s="149" t="str">
        <f>Planner_v2!X43</f>
        <v/>
      </c>
      <c r="J53" s="150" t="str">
        <f>Planner_v2!Z43</f>
        <v/>
      </c>
      <c r="K53" s="151" t="str">
        <f>Planner_v2!Z43</f>
        <v/>
      </c>
    </row>
    <row r="54" spans="1:12">
      <c r="A54" s="136" t="s">
        <v>452</v>
      </c>
      <c r="B54" s="146" t="str">
        <f>Planner_v2!Q44</f>
        <v/>
      </c>
      <c r="C54" s="146" t="str">
        <f>Planner_v2!R44</f>
        <v/>
      </c>
      <c r="D54" s="146" t="str">
        <f>Planner_v2!S44</f>
        <v/>
      </c>
      <c r="E54" s="147" t="str">
        <f>Planner_v2!T44</f>
        <v/>
      </c>
      <c r="F54" s="147" t="str">
        <f>Planner_v2!U44</f>
        <v/>
      </c>
      <c r="G54" s="148" t="str">
        <f>Planner_v2!Y44</f>
        <v/>
      </c>
      <c r="H54" s="149" t="str">
        <f>Planner_v2!W44</f>
        <v/>
      </c>
      <c r="I54" s="149" t="str">
        <f>Planner_v2!X44</f>
        <v/>
      </c>
      <c r="J54" s="150" t="str">
        <f>Planner_v2!Z44</f>
        <v/>
      </c>
      <c r="K54" s="151" t="str">
        <f>Planner_v2!Z44</f>
        <v/>
      </c>
    </row>
    <row r="55" spans="1:12">
      <c r="A55" s="152" t="s">
        <v>453</v>
      </c>
      <c r="B55" s="153" t="str">
        <f>IFERROR(SUBTOTAL(101,Table17[Entry]),"")</f>
        <v/>
      </c>
      <c r="C55" s="153" t="str">
        <f>IFERROR(SUBTOTAL(101,Table17[TP]),"")</f>
        <v/>
      </c>
      <c r="D55" s="153" t="str">
        <f>IFERROR(SUBTOTAL(101,Table17[SL]),"")</f>
        <v/>
      </c>
      <c r="E55" s="154" t="str">
        <f>IFERROR(SUBTOTAL(101,Table17[Pips→TP]),"")</f>
        <v/>
      </c>
      <c r="F55" s="154" t="str">
        <f>IFERROR(SUBTOTAL(101,Table17[EffPips→SL]),"")</f>
        <v/>
      </c>
      <c r="G55" s="155">
        <f>SUBTOTAL(109,Table17[Units])</f>
        <v>0</v>
      </c>
      <c r="H55" s="156">
        <f>SUBTOTAL(109,Table17[Risk $])</f>
        <v>0</v>
      </c>
      <c r="I55" s="156">
        <f>SUBTOTAL(109,Table17[Reward $])</f>
        <v>0</v>
      </c>
      <c r="J55" s="157" t="str">
        <f>IFERROR(Table17[[#Totals],[Reward $]]/Table17[[#Totals],[Risk $]],"")</f>
        <v/>
      </c>
      <c r="K55" s="158"/>
    </row>
    <row r="56" spans="1:12">
      <c r="A56" s="114"/>
      <c r="B56" s="149"/>
      <c r="C56" s="149"/>
      <c r="D56" s="148"/>
      <c r="E56" s="159"/>
      <c r="F56" s="159"/>
      <c r="G56" s="148"/>
      <c r="H56" s="149"/>
      <c r="I56" s="149"/>
      <c r="J56" s="150"/>
    </row>
    <row r="57" spans="1:12">
      <c r="A57" s="141" t="s">
        <v>455</v>
      </c>
    </row>
    <row r="58" spans="1:12">
      <c r="A58" s="142" t="s">
        <v>446</v>
      </c>
      <c r="B58" s="143" t="s">
        <v>78</v>
      </c>
      <c r="C58" s="143" t="s">
        <v>79</v>
      </c>
      <c r="D58" s="143" t="s">
        <v>80</v>
      </c>
      <c r="E58" s="143" t="s">
        <v>447</v>
      </c>
      <c r="F58" s="143" t="s">
        <v>448</v>
      </c>
      <c r="G58" s="144" t="s">
        <v>86</v>
      </c>
      <c r="H58" s="144" t="s">
        <v>256</v>
      </c>
      <c r="I58" s="144" t="s">
        <v>257</v>
      </c>
      <c r="J58" s="144" t="s">
        <v>449</v>
      </c>
      <c r="K58" s="145" t="s">
        <v>450</v>
      </c>
    </row>
    <row r="59" spans="1:12">
      <c r="A59" s="136" t="s">
        <v>263</v>
      </c>
      <c r="B59" s="146" t="str">
        <f>Planner_v2!Q15</f>
        <v/>
      </c>
      <c r="C59" s="146" t="str">
        <f>Planner_v2!R15</f>
        <v/>
      </c>
      <c r="D59" s="146" t="str">
        <f>Planner_v2!S15</f>
        <v/>
      </c>
      <c r="E59" s="147" t="str">
        <f>Planner_v2!T15</f>
        <v/>
      </c>
      <c r="F59" s="147" t="str">
        <f>Planner_v2!U15</f>
        <v/>
      </c>
      <c r="G59" s="148" t="str">
        <f>Planner_v2!Y15</f>
        <v/>
      </c>
      <c r="H59" s="149" t="str">
        <f>Planner_v2!W15</f>
        <v/>
      </c>
      <c r="I59" s="149" t="str">
        <f>Planner_v2!X15</f>
        <v/>
      </c>
      <c r="J59" s="150" t="str">
        <f>Planner_v2!Z15</f>
        <v/>
      </c>
      <c r="K59" s="151" t="str">
        <f>Planner_v2!Z15</f>
        <v/>
      </c>
    </row>
    <row r="60" spans="1:12">
      <c r="A60" s="136" t="s">
        <v>451</v>
      </c>
      <c r="B60" s="146" t="str">
        <f>Planner_v2!Q16</f>
        <v/>
      </c>
      <c r="C60" s="146" t="str">
        <f>Planner_v2!R16</f>
        <v/>
      </c>
      <c r="D60" s="146" t="str">
        <f>Planner_v2!S16</f>
        <v/>
      </c>
      <c r="E60" s="147" t="str">
        <f>Planner_v2!T16</f>
        <v/>
      </c>
      <c r="F60" s="147" t="str">
        <f>Planner_v2!U16</f>
        <v/>
      </c>
      <c r="G60" s="148" t="str">
        <f>Planner_v2!Y16</f>
        <v/>
      </c>
      <c r="H60" s="149" t="str">
        <f>Planner_v2!W16</f>
        <v/>
      </c>
      <c r="I60" s="149" t="str">
        <f>Planner_v2!X16</f>
        <v/>
      </c>
      <c r="J60" s="150" t="str">
        <f>Planner_v2!Z16</f>
        <v/>
      </c>
      <c r="K60" s="151" t="str">
        <f>Planner_v2!Z16</f>
        <v/>
      </c>
    </row>
    <row r="61" spans="1:12">
      <c r="A61" s="136" t="s">
        <v>452</v>
      </c>
      <c r="B61" s="146" t="str">
        <f>Planner_v2!Q17</f>
        <v/>
      </c>
      <c r="C61" s="146" t="str">
        <f>Planner_v2!R17</f>
        <v/>
      </c>
      <c r="D61" s="146" t="str">
        <f>Planner_v2!S17</f>
        <v/>
      </c>
      <c r="E61" s="147" t="str">
        <f>Planner_v2!T17</f>
        <v/>
      </c>
      <c r="F61" s="147" t="str">
        <f>Planner_v2!U17</f>
        <v/>
      </c>
      <c r="G61" s="148" t="str">
        <f>Planner_v2!Y17</f>
        <v/>
      </c>
      <c r="H61" s="149" t="str">
        <f>Planner_v2!W17</f>
        <v/>
      </c>
      <c r="I61" s="149" t="str">
        <f>Planner_v2!X17</f>
        <v/>
      </c>
      <c r="J61" s="150" t="str">
        <f>Planner_v2!Z17</f>
        <v/>
      </c>
      <c r="K61" s="151" t="str">
        <f>Planner_v2!Z17</f>
        <v/>
      </c>
    </row>
    <row r="62" spans="1:12">
      <c r="A62" s="152" t="s">
        <v>453</v>
      </c>
      <c r="B62" s="153" t="str">
        <f>IFERROR(SUBTOTAL(101,Table18[Entry]),"")</f>
        <v/>
      </c>
      <c r="C62" s="153" t="str">
        <f>IFERROR(SUBTOTAL(101,Table18[TP]),"")</f>
        <v/>
      </c>
      <c r="D62" s="153" t="str">
        <f>IFERROR(SUBTOTAL(101,Table18[SL]),"")</f>
        <v/>
      </c>
      <c r="E62" s="154" t="str">
        <f>IFERROR(SUBTOTAL(101,Table18[Pips→TP]),"")</f>
        <v/>
      </c>
      <c r="F62" s="154" t="str">
        <f>IFERROR(SUBTOTAL(101,Table18[EffPips→SL]),"")</f>
        <v/>
      </c>
      <c r="G62" s="155">
        <f>SUBTOTAL(109,Table18[Units])</f>
        <v>0</v>
      </c>
      <c r="H62" s="156">
        <f>SUBTOTAL(109,Table18[Risk $])</f>
        <v>0</v>
      </c>
      <c r="I62" s="156">
        <f>SUBTOTAL(109,Table18[Reward $])</f>
        <v>0</v>
      </c>
      <c r="J62" s="157" t="str">
        <f>IFERROR(Table18[[#Totals],[Reward $]]/Table18[[#Totals],[Risk $]],"")</f>
        <v/>
      </c>
      <c r="K62" s="158"/>
    </row>
    <row r="63" spans="1:12">
      <c r="A63" s="114"/>
      <c r="B63" s="149"/>
      <c r="C63" s="149"/>
      <c r="D63" s="148"/>
      <c r="E63" s="159"/>
      <c r="F63" s="159"/>
      <c r="G63" s="148"/>
      <c r="H63" s="149"/>
      <c r="I63" s="149"/>
      <c r="J63" s="150"/>
    </row>
    <row r="64" spans="1:12">
      <c r="A64" s="141" t="s">
        <v>456</v>
      </c>
      <c r="L64" t="str">
        <f>IF(Planner_v2!L1&lt;&gt;"SHORT","CT inactive (Side is "&amp;Planner_v2!L1&amp;"). Switch Side to SHORT to use CT.","")</f>
        <v>CT inactive (Side is ). Switch Side to SHORT to use CT.</v>
      </c>
    </row>
    <row r="65" spans="1:11">
      <c r="A65" s="142" t="s">
        <v>446</v>
      </c>
      <c r="B65" s="143" t="s">
        <v>78</v>
      </c>
      <c r="C65" s="143" t="s">
        <v>79</v>
      </c>
      <c r="D65" s="143" t="s">
        <v>80</v>
      </c>
      <c r="E65" s="143" t="s">
        <v>447</v>
      </c>
      <c r="F65" s="143" t="s">
        <v>448</v>
      </c>
      <c r="G65" s="144" t="s">
        <v>86</v>
      </c>
      <c r="H65" s="144" t="s">
        <v>256</v>
      </c>
      <c r="I65" s="144" t="s">
        <v>257</v>
      </c>
      <c r="J65" s="144" t="s">
        <v>449</v>
      </c>
      <c r="K65" s="145" t="s">
        <v>77</v>
      </c>
    </row>
    <row r="66" spans="1:11">
      <c r="A66" s="136" t="s">
        <v>263</v>
      </c>
      <c r="B66" s="146">
        <f>Planner_v2!Q28</f>
        <v>1.16454</v>
      </c>
      <c r="C66" s="146">
        <f>Planner_v2!R28</f>
        <v>1.15909</v>
      </c>
      <c r="D66" s="146">
        <f>Planner_v2!S28</f>
        <v>1.16604</v>
      </c>
      <c r="E66" s="147">
        <f>Planner_v2!T28</f>
        <v>54.4999999999995</v>
      </c>
      <c r="F66" s="147">
        <f>Planner_v2!U28</f>
        <v>14.9999999999983</v>
      </c>
      <c r="G66" s="148">
        <f>Planner_v2!Y28</f>
        <v>90409.78800001</v>
      </c>
      <c r="H66" s="149">
        <f>Planner_v2!W28</f>
        <v>135.614682</v>
      </c>
      <c r="I66" s="149">
        <f>Planner_v2!X28</f>
        <v>492.73334460005</v>
      </c>
      <c r="J66" s="150">
        <f>Planner_v2!Z28</f>
        <v>3.6333333333337</v>
      </c>
      <c r="K66" s="151"/>
    </row>
    <row r="67" spans="1:11">
      <c r="A67" s="136" t="s">
        <v>451</v>
      </c>
      <c r="B67" s="146">
        <f>Planner_v2!Q29</f>
        <v>1.16489</v>
      </c>
      <c r="C67" s="146">
        <f>Planner_v2!R29</f>
        <v>1.15909</v>
      </c>
      <c r="D67" s="146">
        <f>Planner_v2!S29</f>
        <v>1.16604</v>
      </c>
      <c r="E67" s="147">
        <f>Planner_v2!T29</f>
        <v>58.0000000000003</v>
      </c>
      <c r="F67" s="147">
        <f>Planner_v2!U29</f>
        <v>11.4999999999976</v>
      </c>
      <c r="G67" s="148">
        <f>Planner_v2!Y29</f>
        <v>91720.0747826276</v>
      </c>
      <c r="H67" s="149">
        <f>Planner_v2!W29</f>
        <v>105.478086</v>
      </c>
      <c r="I67" s="149">
        <f>Planner_v2!X29</f>
        <v>531.976433739243</v>
      </c>
      <c r="J67" s="150">
        <f>Planner_v2!Z29</f>
        <v>5.04347826087063</v>
      </c>
      <c r="K67" s="151"/>
    </row>
    <row r="68" spans="1:11">
      <c r="A68" s="136" t="s">
        <v>452</v>
      </c>
      <c r="B68" s="146">
        <f>Planner_v2!Q30</f>
        <v>1.16524</v>
      </c>
      <c r="C68" s="146">
        <f>Planner_v2!R30</f>
        <v>1.15909</v>
      </c>
      <c r="D68" s="146">
        <f>Planner_v2!S30</f>
        <v>1.16604</v>
      </c>
      <c r="E68" s="147">
        <f>Planner_v2!T30</f>
        <v>61.4999999999988</v>
      </c>
      <c r="F68" s="147">
        <f>Planner_v2!U30</f>
        <v>8</v>
      </c>
      <c r="G68" s="148">
        <f>Planner_v2!Y30</f>
        <v>75341.49</v>
      </c>
      <c r="H68" s="149">
        <f>Planner_v2!W30</f>
        <v>60.273192</v>
      </c>
      <c r="I68" s="149">
        <f>Planner_v2!X30</f>
        <v>463.350163499991</v>
      </c>
      <c r="J68" s="150">
        <f>Planner_v2!Z30</f>
        <v>7.68749999999985</v>
      </c>
      <c r="K68" s="151"/>
    </row>
    <row r="69" spans="1:11">
      <c r="A69" s="152" t="s">
        <v>453</v>
      </c>
      <c r="B69" s="153">
        <f>IFERROR(SUBTOTAL(101,Table19[Entry]),"")</f>
        <v>1.16489</v>
      </c>
      <c r="C69" s="153">
        <f>IFERROR(SUBTOTAL(101,Table19[TP]),"")</f>
        <v>1.15909</v>
      </c>
      <c r="D69" s="153">
        <f>IFERROR(SUBTOTAL(101,Table19[SL]),"")</f>
        <v>1.16604</v>
      </c>
      <c r="E69" s="154">
        <f>IFERROR(SUBTOTAL(101,Table19[Pips→TP]),"")</f>
        <v>57.9999999999995</v>
      </c>
      <c r="F69" s="154">
        <f>IFERROR(SUBTOTAL(101,Table19[EffPips→SL]),"")</f>
        <v>11.4999999999987</v>
      </c>
      <c r="G69" s="155">
        <f>SUBTOTAL(109,Table19[Units])</f>
        <v>257471.352782638</v>
      </c>
      <c r="H69" s="156">
        <f>SUBTOTAL(109,Table19[Risk $])</f>
        <v>301.36596</v>
      </c>
      <c r="I69" s="156">
        <f>SUBTOTAL(109,Table19[Reward $])</f>
        <v>1488.05994183928</v>
      </c>
      <c r="J69" s="157">
        <f>IFERROR(Table19[[#Totals],[Reward $]]/Table19[[#Totals],[Risk $]],"")</f>
        <v>4.93771739130486</v>
      </c>
      <c r="K69" s="160"/>
    </row>
  </sheetData>
  <mergeCells count="24">
    <mergeCell ref="A1:K1"/>
    <mergeCell ref="A2:K2"/>
    <mergeCell ref="A4:B4"/>
    <mergeCell ref="D4:E4"/>
    <mergeCell ref="G4:H4"/>
    <mergeCell ref="J4:K4"/>
    <mergeCell ref="A22:B22"/>
    <mergeCell ref="A30:K30"/>
    <mergeCell ref="B31:K31"/>
    <mergeCell ref="B32:K32"/>
    <mergeCell ref="B33:K33"/>
    <mergeCell ref="B34:K34"/>
    <mergeCell ref="B35:K35"/>
    <mergeCell ref="B36:K36"/>
    <mergeCell ref="B37:K37"/>
    <mergeCell ref="B38:K38"/>
    <mergeCell ref="B39:K39"/>
    <mergeCell ref="B40:K40"/>
    <mergeCell ref="B41:K41"/>
    <mergeCell ref="A42:K42"/>
    <mergeCell ref="A43:K43"/>
    <mergeCell ref="A50:K50"/>
    <mergeCell ref="A57:K57"/>
    <mergeCell ref="A64:K64"/>
  </mergeCells>
  <pageMargins left="0.75" right="0.75" top="1" bottom="1" header="0.5" footer="0.5"/>
  <pageSetup paperSize="1" orientation="portrait"/>
  <headerFooter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topLeftCell="A2" workbookViewId="0">
      <selection activeCell="H18" sqref="H18"/>
    </sheetView>
  </sheetViews>
  <sheetFormatPr defaultColWidth="9" defaultRowHeight="14.5"/>
  <cols>
    <col min="1" max="1" width="30.7090909090909" customWidth="1"/>
    <col min="2" max="2" width="21.5727272727273" customWidth="1"/>
    <col min="3" max="3" width="18.8545454545455" customWidth="1"/>
    <col min="4" max="4" width="12" customWidth="1"/>
    <col min="5" max="5" width="9.13636363636364" customWidth="1"/>
    <col min="6" max="6" width="23" customWidth="1"/>
    <col min="7" max="7" width="12" customWidth="1"/>
    <col min="8" max="9" width="2.70909090909091" customWidth="1"/>
    <col min="10" max="10" width="23" customWidth="1"/>
    <col min="11" max="11" width="12" customWidth="1"/>
    <col min="12" max="13" width="2.70909090909091" customWidth="1"/>
    <col min="14" max="14" width="14" customWidth="1"/>
    <col min="15" max="17" width="10" customWidth="1"/>
    <col min="18" max="18" width="11" customWidth="1"/>
    <col min="19" max="19" width="46" customWidth="1"/>
    <col min="20" max="20" width="51.8545454545455" customWidth="1"/>
  </cols>
  <sheetData>
    <row r="1" spans="1:20">
      <c r="A1" t="s">
        <v>457</v>
      </c>
    </row>
    <row r="3" spans="1:20">
      <c r="A3" t="s">
        <v>458</v>
      </c>
    </row>
    <row r="4" ht="18" customHeight="1" spans="1:20">
      <c r="A4" t="s">
        <v>459</v>
      </c>
      <c r="D4" t="s">
        <v>460</v>
      </c>
      <c r="F4" t="s">
        <v>461</v>
      </c>
      <c r="J4" t="s">
        <v>462</v>
      </c>
      <c r="N4" s="111" t="s">
        <v>463</v>
      </c>
    </row>
    <row r="5" spans="1:20">
      <c r="A5" t="s">
        <v>464</v>
      </c>
      <c r="B5" s="1" t="str">
        <f>IFERROR(LOOKUP(2,1/((Macro_Data!$B$2:$B$148="Inflation – US")*(Macro_Data!$I$2:$I$148&lt;&gt;"")),Macro_Data!$I$2:$I$148),"")</f>
        <v>Slowing</v>
      </c>
      <c r="C5" s="3">
        <f>IF(B5="","",VLOOKUP(B5,$D$5:$E$19,2,FALSE))</f>
        <v>-1</v>
      </c>
      <c r="D5" s="4" t="s">
        <v>465</v>
      </c>
      <c r="E5" s="5">
        <v>-1</v>
      </c>
      <c r="F5" t="s">
        <v>464</v>
      </c>
      <c r="G5" s="1" t="str">
        <f>IFERROR(LOOKUP(2,1/((Macro_Data!$B$2:$B$148="Inflation – EUR")*(Macro_Data!$I$2:$I$148&lt;&gt;"")),Macro_Data!$I$2:$I$148),"")</f>
        <v>Slowing</v>
      </c>
      <c r="H5" s="3">
        <f>IF(G5="","",VLOOKUP(G5,$D$5:$E$19,2,FALSE))</f>
        <v>-1</v>
      </c>
      <c r="I5" s="3"/>
      <c r="J5" t="s">
        <v>464</v>
      </c>
      <c r="K5" s="1" t="str">
        <f>IFERROR(LOOKUP(2,1/((Macro_Data!$B$2:$B$148="Inflation – EUR")*(Macro_Data!$I$2:$I$148&lt;&gt;"")),Macro_Data!$I$2:$I$148),"")</f>
        <v>Slowing</v>
      </c>
      <c r="L5" s="3">
        <f>IF(K5="","",VLOOKUP(K5,$D$5:$E$19,2,FALSE))</f>
        <v>-1</v>
      </c>
      <c r="M5" s="3"/>
      <c r="N5" s="112" t="s">
        <v>466</v>
      </c>
      <c r="O5" s="112" t="s">
        <v>467</v>
      </c>
      <c r="P5" s="113" t="s">
        <v>468</v>
      </c>
      <c r="Q5" s="112" t="s">
        <v>469</v>
      </c>
      <c r="R5" s="112" t="s">
        <v>470</v>
      </c>
      <c r="S5" s="112" t="s">
        <v>471</v>
      </c>
      <c r="T5" s="114" t="s">
        <v>472</v>
      </c>
    </row>
    <row r="6" ht="30" customHeight="1" spans="1:20">
      <c r="A6" t="s">
        <v>473</v>
      </c>
      <c r="B6" s="1" t="str">
        <f>IFERROR(LOOKUP(2,1/((Macro_Data!$B$2:$B$148="Labour – US")*(Macro_Data!$I$2:$I$148&lt;&gt;"")),Macro_Data!$I$2:$I$148),"")</f>
        <v>Mixed</v>
      </c>
      <c r="C6" s="3">
        <f>IF(B6="","",VLOOKUP(B6,$D$5:$E$19,2,FALSE))</f>
        <v>0</v>
      </c>
      <c r="D6" s="4" t="s">
        <v>474</v>
      </c>
      <c r="E6" s="7">
        <v>0</v>
      </c>
      <c r="F6" t="s">
        <v>473</v>
      </c>
      <c r="G6" s="1" t="str">
        <f>IFERROR(LOOKUP(2,1/((Macro_Data!$B$2:$B$148="Labour – EUR")*(Macro_Data!$I$2:$I$148&lt;&gt;"")),Macro_Data!$I$2:$I$148),"")</f>
        <v>Accelerating</v>
      </c>
      <c r="H6" s="3">
        <f>IF(G6="","",VLOOKUP(G6,$D$5:$E$19,2,FALSE))</f>
        <v>1</v>
      </c>
      <c r="I6" s="3"/>
      <c r="J6" t="s">
        <v>473</v>
      </c>
      <c r="K6" s="1" t="str">
        <f>IFERROR(LOOKUP(2,1/((Macro_Data!$B$2:$B$148="Labour – EUR")*(Macro_Data!$I$2:$I$148&lt;&gt;"")),Macro_Data!$I$2:$I$148),"")</f>
        <v>Accelerating</v>
      </c>
      <c r="L6" s="3">
        <f>IF(K6="","",VLOOKUP(K6,$D$5:$E$19,2,FALSE))</f>
        <v>1</v>
      </c>
      <c r="M6" s="3"/>
      <c r="N6" s="115" t="s">
        <v>475</v>
      </c>
      <c r="O6" s="116">
        <f>IFERROR(VLOOKUP(N6,Macro_Data!$O$2:$V$8,2,FALSE),"")</f>
        <v>3.497</v>
      </c>
      <c r="P6" s="117">
        <f>IFERROR(VLOOKUP(N6,Macro_Data!$O$2:$V$8,6,FALSE)*100,"")</f>
        <v>-2.20000000000002</v>
      </c>
      <c r="Q6" s="117">
        <f>IFERROR(VLOOKUP(N6,Macro_Data!$O$2:$V$8,7,FALSE)*100,"")</f>
        <v>-11.3</v>
      </c>
      <c r="R6" s="117">
        <f>IFERROR(VLOOKUP(N6,Macro_Data!$O$2:$V$8,8,FALSE)*100,"")</f>
        <v>-11.5</v>
      </c>
      <c r="S6" s="118" t="s">
        <v>476</v>
      </c>
      <c r="T6" s="119" t="str">
        <f>IF(O6="","",IF(P6&gt;2,"2Y rising → tighter Fed priced → USD tailwind",IF(P6&lt;-2,"2Y falling → easier Fed priced → USD headwind","2Y stable → policy steady")))</f>
        <v>2Y falling → easier Fed priced → USD headwind</v>
      </c>
    </row>
    <row r="7" spans="1:20">
      <c r="A7" t="s">
        <v>477</v>
      </c>
      <c r="B7" s="1" t="str">
        <f>IFERROR(LOOKUP(2,1/((Macro_Data!$B$2:$B$148="Growth - US")*(Macro_Data!$I$2:$I$148&lt;&gt;"")),Macro_Data!$I$2:$I$148),"")</f>
        <v>Slowing</v>
      </c>
      <c r="C7" s="3">
        <f>IF(B7="","",VLOOKUP(B7,$D$5:$E$19,2,FALSE))</f>
        <v>-1</v>
      </c>
      <c r="D7" s="4" t="s">
        <v>478</v>
      </c>
      <c r="E7" s="7">
        <v>1</v>
      </c>
      <c r="F7" t="s">
        <v>477</v>
      </c>
      <c r="G7" s="1" t="str">
        <f>IFERROR(LOOKUP(2,1/((Macro_Data!$B$2:$B$148="Growth - EUR")*(Macro_Data!$I$2:$I$148&lt;&gt;"")),Macro_Data!$I$2:$I$148),"")</f>
        <v>Stable</v>
      </c>
      <c r="H7" s="8">
        <v>-1</v>
      </c>
      <c r="I7" s="8"/>
      <c r="J7" t="s">
        <v>477</v>
      </c>
      <c r="K7" s="1" t="str">
        <f>IFERROR(LOOKUP(2,1/((Macro_Data!$B$2:$B$148="Growth - EUR")*(Macro_Data!$I$2:$I$148&lt;&gt;"")),Macro_Data!$I$2:$I$148),"")</f>
        <v>Stable</v>
      </c>
      <c r="L7" s="8">
        <v>-1</v>
      </c>
      <c r="M7" s="8"/>
      <c r="N7" s="115" t="s">
        <v>479</v>
      </c>
      <c r="O7" s="116">
        <f>IFERROR(VLOOKUP(N7,Macro_Data!$O$2:$V$8,2,FALSE),"")</f>
        <v>3.719</v>
      </c>
      <c r="P7" s="117">
        <f>IFERROR(VLOOKUP(N7,Macro_Data!$O$2:$V$8,6,FALSE)*100,"")</f>
        <v>-2.20000000000002</v>
      </c>
      <c r="Q7" s="117">
        <f>IFERROR(VLOOKUP(N7,Macro_Data!$O$2:$V$8,7,FALSE)*100,"")</f>
        <v>-6.40000000000001</v>
      </c>
      <c r="R7" s="117">
        <f>IFERROR(VLOOKUP(N7,Macro_Data!$O$2:$V$8,8,FALSE)*100,"")</f>
        <v>1.49999999999997</v>
      </c>
      <c r="S7" s="118" t="s">
        <v>480</v>
      </c>
      <c r="T7" s="119" t="str">
        <f>IF(O7="","",IF(P7&gt;2,"5Y rising → growth/inflation repriced up (USD supportive)",IF(P7&lt;-2,"5Y falling → growth scare/easing priced (USD headwind)","5Y stable")))</f>
        <v>5Y falling → growth scare/easing priced (USD headwind)</v>
      </c>
    </row>
    <row r="8" spans="1:20">
      <c r="A8" t="s">
        <v>481</v>
      </c>
      <c r="B8" s="1" t="str">
        <f ca="1">IF(B40="","",IF(B40&gt;=2,"More cuts",IF(B40&lt;=-2,"Less cuts","Hold")))</f>
        <v/>
      </c>
      <c r="C8" s="3" t="str">
        <f ca="1">IF(B8="","",VLOOKUP(B8,$D$5:$E$19,2,FALSE))</f>
        <v/>
      </c>
      <c r="D8" s="4" t="s">
        <v>482</v>
      </c>
      <c r="E8" s="5">
        <v>-1</v>
      </c>
      <c r="F8" t="s">
        <v>481</v>
      </c>
      <c r="G8" s="1" t="str">
        <f ca="1">IF(B41="","",IF(B41&gt;=2,"More cuts",IF(B41&lt;=-2,"Less cuts","Hold")))</f>
        <v/>
      </c>
      <c r="H8" s="3" t="str">
        <f ca="1">IF(G8="","",VLOOKUP(G8,$D$5:$E$19,2,FALSE))</f>
        <v/>
      </c>
      <c r="I8" s="3"/>
      <c r="J8" t="s">
        <v>481</v>
      </c>
      <c r="K8" s="1" t="str">
        <f>IF(F41="","",IF(F41&gt;=2,"More cuts",IF(F41&lt;=-2,"Less cuts","Hold")))</f>
        <v/>
      </c>
      <c r="L8" s="3" t="str">
        <f>IF(K8="","",VLOOKUP(K8,$D$5:$E$19,2,FALSE))</f>
        <v/>
      </c>
      <c r="M8" s="3"/>
      <c r="N8" s="115" t="s">
        <v>483</v>
      </c>
      <c r="O8" s="116">
        <f>IFERROR(VLOOKUP(N8,Macro_Data!$O$2:$V$8,2,FALSE),"")</f>
        <v>4.168</v>
      </c>
      <c r="P8" s="117">
        <f>IFERROR(VLOOKUP(N8,Macro_Data!$O$2:$V$8,6,FALSE)*100,"")</f>
        <v>-1.49999999999997</v>
      </c>
      <c r="Q8" s="117">
        <f>IFERROR(VLOOKUP(N8,Macro_Data!$O$2:$V$8,7,FALSE)*100,"")</f>
        <v>-1.99999999999996</v>
      </c>
      <c r="R8" s="117">
        <f>IFERROR(VLOOKUP(N8,Macro_Data!$O$2:$V$8,8,FALSE)*100,"")</f>
        <v>5.20000000000005</v>
      </c>
      <c r="S8" s="118" t="s">
        <v>484</v>
      </c>
      <c r="T8" s="119" t="str">
        <f>IF(O8="","",IF(P8&gt;2,"10Y rising → term premium/growth up (USD supportive)",IF(P8&lt;-2,"10Y falling → duration bid/risk-off (USD mixed)","10Y stable")))</f>
        <v>10Y stable</v>
      </c>
    </row>
    <row r="9" ht="30" customHeight="1" spans="1:20">
      <c r="A9" t="s">
        <v>485</v>
      </c>
      <c r="B9" s="1" t="s">
        <v>486</v>
      </c>
      <c r="C9" s="3">
        <f>IF(B9="","",VLOOKUP(B9,$D$5:$E$19,2,FALSE))</f>
        <v>0</v>
      </c>
      <c r="D9" s="4" t="s">
        <v>486</v>
      </c>
      <c r="E9" s="7">
        <v>0</v>
      </c>
      <c r="F9" t="s">
        <v>485</v>
      </c>
      <c r="G9" s="1" t="s">
        <v>486</v>
      </c>
      <c r="H9" s="3">
        <f>IF(G9="","",VLOOKUP(G9,$D$5:$E$19,2,FALSE))</f>
        <v>0</v>
      </c>
      <c r="I9" s="3"/>
      <c r="J9" t="s">
        <v>485</v>
      </c>
      <c r="K9" s="1" t="s">
        <v>486</v>
      </c>
      <c r="L9" s="3">
        <f>IF(K9="","",VLOOKUP(K9,$D$5:$E$19,2,FALSE))</f>
        <v>0</v>
      </c>
      <c r="M9" s="3"/>
      <c r="N9" s="115" t="s">
        <v>487</v>
      </c>
      <c r="O9" s="116">
        <f>IFERROR(VLOOKUP(N9,Macro_Data!$O$2:$V$8,2,FALSE),"")</f>
        <v>4.844</v>
      </c>
      <c r="P9" s="117">
        <f>IFERROR(VLOOKUP(N9,Macro_Data!$O$2:$V$8,6,FALSE)*100,"")</f>
        <v>26.4</v>
      </c>
      <c r="Q9" s="117">
        <f>IFERROR(VLOOKUP(N9,Macro_Data!$O$2:$V$8,7,FALSE)*100,"")</f>
        <v>3.60000000000005</v>
      </c>
      <c r="R9" s="117">
        <f>IFERROR(VLOOKUP(N9,Macro_Data!$O$2:$V$8,8,FALSE)*100,"")</f>
        <v>9.10000000000002</v>
      </c>
      <c r="S9" s="118" t="s">
        <v>488</v>
      </c>
      <c r="T9" s="119" t="str">
        <f>IF(O9="","",IF(P9&gt;2,"30Y rising → term premium/supply pressure (USD mixed)",IF(P9&lt;-2,"30Y falling → long-end bid (risk-off)","30Y stable")))</f>
        <v>30Y rising → term premium/supply pressure (USD mixed)</v>
      </c>
    </row>
    <row r="10" ht="30" customHeight="1" spans="1:20">
      <c r="A10" t="s">
        <v>489</v>
      </c>
      <c r="B10" s="1" t="str">
        <f>IF(C10="","",IF(C10&gt;=0.5,"Rising",IF(C10&lt;=-0.5,"Falling","Flat")))</f>
        <v>Rising</v>
      </c>
      <c r="C10" s="3">
        <f>IF(COUNTA(Macro_Data!$X$2:$X$8)=0,"",AVERAGE(Macro_Data!$X$2:$X$5)+0.5*AVERAGE(Macro_Data!$X$7:$X$8))</f>
        <v>0.5</v>
      </c>
      <c r="D10" s="4" t="s">
        <v>490</v>
      </c>
      <c r="E10" s="7">
        <v>1</v>
      </c>
      <c r="F10" t="s">
        <v>491</v>
      </c>
      <c r="G10" s="1" t="str">
        <f>IF(H10="","",IF(H10&gt;=0.5,"Rising",IF(H10&lt;=-0.5,"Falling","Flat")))</f>
        <v>Rising</v>
      </c>
      <c r="H10" s="3">
        <f>IF(COUNTA(Macro_Data!$X$2:$X$7)=0,"",AVERAGE(Macro_Data!$X$2:$X$5)+0.5*Macro_Data!$X$7)</f>
        <v>0.5</v>
      </c>
      <c r="I10" s="3"/>
      <c r="J10" t="s">
        <v>492</v>
      </c>
      <c r="K10" s="1" t="str">
        <f>IF(L10="","",IF(L10&gt;=0.5,"Rising",IF(L10&lt;=-0.5,"Falling","Flat")))</f>
        <v>Rising</v>
      </c>
      <c r="L10" s="3">
        <f>IF(COUNTA(Macro_Data!$X$2:$X$7)=0,"",AVERAGE(Macro_Data!$X$2:$X$5)+0.5*Macro_Data!$X$7)</f>
        <v>0.5</v>
      </c>
      <c r="M10" s="3"/>
      <c r="N10" s="115" t="s">
        <v>493</v>
      </c>
      <c r="O10" s="116">
        <f>IFERROR(VLOOKUP(N10,Macro_Data!$O$2:$V$8,2,FALSE),"")</f>
        <v>0.671</v>
      </c>
      <c r="P10" s="117">
        <f>IFERROR(VLOOKUP(N10,Macro_Data!$O$2:$V$8,6,FALSE)*100,"")</f>
        <v>0.700000000000056</v>
      </c>
      <c r="Q10" s="117">
        <f>IFERROR(VLOOKUP(N10,Macro_Data!$O$2:$V$8,7,FALSE)*100,"")</f>
        <v>9.30000000000004</v>
      </c>
      <c r="R10" s="117">
        <f>IFERROR(VLOOKUP(N10,Macro_Data!$O$2:$V$8,8,FALSE)*100,"")</f>
        <v>16.7000000000001</v>
      </c>
      <c r="S10" s="118" t="s">
        <v>494</v>
      </c>
      <c r="T10" s="119" t="str">
        <f>IF(O10="","",IF(O10&lt;0,IF(P10&gt;2,"Inversion easing (steepening) → easing cycle risk","Inversion persists → caution growth"),IF(O10&gt;0,IF(P10&lt;-2,"Curve flattening → late-cycle risk","Curve normal → growth ok"),"Curve flat")))</f>
        <v>Curve normal → growth ok</v>
      </c>
    </row>
    <row r="11" ht="30" customHeight="1" spans="1:20">
      <c r="D11" s="4" t="s">
        <v>495</v>
      </c>
      <c r="E11" s="5">
        <v>-1</v>
      </c>
      <c r="G11" s="1"/>
      <c r="H11" s="3"/>
      <c r="I11" s="3"/>
      <c r="J11" s="3"/>
      <c r="K11" s="3"/>
      <c r="L11" s="3"/>
      <c r="M11" s="3"/>
      <c r="N11" s="115" t="s">
        <v>496</v>
      </c>
      <c r="O11" s="116">
        <f>IFERROR(VLOOKUP(N11,Macro_Data!$O$2:$V$8,2,FALSE),"")</f>
        <v>1.125</v>
      </c>
      <c r="P11" s="117">
        <f>IFERROR(VLOOKUP(N11,Macro_Data!$O$2:$V$8,6,FALSE)*100,"")</f>
        <v>28.6</v>
      </c>
      <c r="Q11" s="117">
        <f>IFERROR(VLOOKUP(N11,Macro_Data!$O$2:$V$8,7,FALSE)*100,"")</f>
        <v>10.0000000000001</v>
      </c>
      <c r="R11" s="117">
        <f>IFERROR(VLOOKUP(N11,Macro_Data!$O$2:$V$8,8,FALSE)*100,"")</f>
        <v>7.60000000000005</v>
      </c>
      <c r="S11" s="118" t="s">
        <v>497</v>
      </c>
      <c r="T11" s="119" t="str">
        <f>IF(O11="","",IF(P11&gt;2,"5s30 steepening → term premium/supply up (USD mixed)",IF(P11&lt;-2,"5s30 flattening → long-end bid","5s30 stable")))</f>
        <v>5s30 steepening → term premium/supply up (USD mixed)</v>
      </c>
    </row>
    <row r="12" spans="1:20">
      <c r="D12" s="4" t="s">
        <v>498</v>
      </c>
      <c r="E12" s="7">
        <v>0</v>
      </c>
      <c r="N12" s="120" t="s">
        <v>499</v>
      </c>
    </row>
    <row r="13" ht="33.95" customHeight="1" spans="1:20">
      <c r="A13" t="s">
        <v>500</v>
      </c>
      <c r="B13" s="9">
        <f ca="1">IF(COUNTA($C$5:$C$10)=0,"",SUM($C$5:$C$10))</f>
        <v>-1.5</v>
      </c>
      <c r="C13" s="3"/>
      <c r="D13" s="4" t="s">
        <v>501</v>
      </c>
      <c r="E13" s="7">
        <v>1</v>
      </c>
      <c r="N13" s="121" t="s">
        <v>502</v>
      </c>
    </row>
    <row r="14" spans="1:20">
      <c r="A14" t="s">
        <v>503</v>
      </c>
      <c r="B14" s="9">
        <f ca="1">IF(COUNTA($H$5:$H$10)=0,"",SUM($H$5:$H$10))</f>
        <v>-0.5</v>
      </c>
      <c r="D14" s="4" t="s">
        <v>504</v>
      </c>
      <c r="E14" s="5">
        <v>-1</v>
      </c>
    </row>
    <row r="15" spans="1:20">
      <c r="A15" t="s">
        <v>505</v>
      </c>
      <c r="B15" s="9">
        <f>0</f>
        <v>0</v>
      </c>
      <c r="D15" s="4" t="s">
        <v>506</v>
      </c>
      <c r="E15" s="7">
        <v>0</v>
      </c>
    </row>
    <row r="16" spans="1:20">
      <c r="A16" t="s">
        <v>507</v>
      </c>
      <c r="B16" s="1" t="str">
        <f ca="1">IF(B13="","",IF(B13&gt;=2,"Strong USD",IF(B13&lt;=-2,"Weak USD","Neutral USD")))</f>
        <v>Neutral USD</v>
      </c>
      <c r="D16" s="4" t="s">
        <v>508</v>
      </c>
      <c r="E16" s="7">
        <v>1</v>
      </c>
    </row>
    <row r="17" spans="1:7">
      <c r="A17" s="122" t="s">
        <v>509</v>
      </c>
      <c r="B17" s="123" t="str">
        <f ca="1">IF(B14="","",IF(B14&gt;=2,"Strong EUR",IF(B14&lt;=-2,"Weak EUR","Neutral EUR")))</f>
        <v>Neutral EUR</v>
      </c>
      <c r="D17" s="4" t="s">
        <v>510</v>
      </c>
      <c r="E17" s="5">
        <v>-1</v>
      </c>
    </row>
    <row r="18" spans="1:7">
      <c r="D18" s="4" t="s">
        <v>511</v>
      </c>
      <c r="E18" s="7">
        <v>1</v>
      </c>
    </row>
    <row r="19" spans="1:7">
      <c r="A19" t="s">
        <v>512</v>
      </c>
      <c r="B19" s="10" t="str">
        <f ca="1">IF(OR(B13="",B14=""),"",IF(B14-B13&gt;=2,"Buy dips",IF(B14-B13&lt;=-2,"Sell rallies","Neutral")))</f>
        <v>Neutral</v>
      </c>
      <c r="D19" s="4" t="s">
        <v>513</v>
      </c>
      <c r="E19" s="7">
        <v>0</v>
      </c>
    </row>
    <row r="20" spans="1:7">
      <c r="A20" t="s">
        <v>514</v>
      </c>
      <c r="B20" s="1" t="str">
        <f ca="1">IF(B13="","Neutral",IF(B13-B15&gt;=2,"Buy USD / Sell JPY",IF(B13-B15&lt;=-2,"Sell USD / Buy JPY","Neutral")))</f>
        <v>Neutral</v>
      </c>
    </row>
    <row r="21" spans="1:7">
      <c r="A21" t="s">
        <v>515</v>
      </c>
      <c r="B21" s="1" t="str">
        <f ca="1">IF(B13="","Mixed",IF(AND(C9=1,C10=1,C5&lt;=0),"Risk-on",IF(AND(C9=-1,C10=-1,C5&gt;0),"Risk-off","Mixed")))</f>
        <v>Mixed</v>
      </c>
    </row>
    <row r="22" spans="1:7">
      <c r="A22" s="122" t="s">
        <v>516</v>
      </c>
      <c r="B22" s="12">
        <f>C10</f>
        <v>0.5</v>
      </c>
    </row>
    <row r="23" spans="1:7">
      <c r="A23" t="s">
        <v>517</v>
      </c>
      <c r="B23" s="9" t="str">
        <f ca="1">IF(B40="","",IF(B40&gt;=2,1,IF(B40&lt;=-2,-1,0)))</f>
        <v/>
      </c>
    </row>
    <row r="24" spans="1:7">
      <c r="A24" t="s">
        <v>518</v>
      </c>
      <c r="B24" s="9" t="str">
        <f ca="1">IF(B41="","",IF(B41&gt;=2,1,IF(B41&lt;=-2,-1,0)))</f>
        <v/>
      </c>
    </row>
    <row r="25" spans="1:7">
      <c r="A25" t="s">
        <v>519</v>
      </c>
      <c r="B25" s="9">
        <v>0</v>
      </c>
    </row>
    <row r="27" spans="1:7">
      <c r="A27" t="s">
        <v>520</v>
      </c>
      <c r="B27" s="11" t="str">
        <f ca="1">IF(OR(Macro_Data!$Z$2="",Macro_Data!$Z$3="",$B$40="",$B$41=""),"",(Macro_Data!$Z$2-0.25*$B$40)-(Macro_Data!$Z$3-0.25*$B$41))</f>
        <v/>
      </c>
      <c r="C27" s="2" t="str">
        <f ca="1">IF(B27="","",IF(B27&gt;1.5,"Strong USD carry tailwind",IF(B27&gt;0.5,"Mild USD carry tailwind",IF(B27&lt;-1.5,"Strong EUR carry tailwind",IF(B27&lt;-0.5,"Mild EUR carry tailwind","Carry roughly neutral")))))</f>
        <v/>
      </c>
    </row>
    <row r="28" spans="1:7">
      <c r="A28" t="s">
        <v>521</v>
      </c>
      <c r="B28" s="9" t="str">
        <f ca="1">IF(OR(Macro_Data!Z2="",Macro_Data!Z3="",$B$40="",$B$41=""),"",ROUND((((Macro_Data!Z2-0.25*$B$40)-(Macro_Data!Z3-0.25*$B$41))-(Macro_Data!Z2-Macro_Data!Z3))/0.25,0))</f>
        <v/>
      </c>
      <c r="C28" s="2" t="str">
        <f ca="1">IF(B28="","",IF(B28&lt;=-2,"Spread narrowing in favour of EUR",IF(B28&gt;=2,"Spread widening in favour of USD","Spread roughly unchanged")))</f>
        <v/>
      </c>
      <c r="G28" s="12">
        <f>Macro_Data!Z2</f>
        <v>4.37</v>
      </c>
    </row>
    <row r="29" spans="1:7">
      <c r="A29" t="s">
        <v>522</v>
      </c>
      <c r="B29" s="13">
        <v>46001</v>
      </c>
    </row>
    <row r="30" spans="1:7">
      <c r="A30" s="14" t="s">
        <v>523</v>
      </c>
      <c r="B30" s="10">
        <f>IF($B$29="","",IFERROR(AVERAGEIFS(Macro_Speakers!$H:$H,Macro_Speakers!$B:$B,"FED",Macro_Speakers!$A:$A,"&gt;="&amp;$B$29),""))</f>
        <v>-0.0833333333333333</v>
      </c>
      <c r="C30" s="2" t="str">
        <f t="shared" ref="C30:C35" si="0">IF(B30="","",IF(B30&gt;0.3,"Hawkish",IF(B30&lt;-0.3,"Dovish","Mixed")))</f>
        <v>Mixed</v>
      </c>
    </row>
    <row r="31" spans="1:7">
      <c r="A31" t="s">
        <v>524</v>
      </c>
      <c r="B31" s="10" t="str">
        <f ca="1">IFERROR(AVERAGEIFS(Macro_Speakers!$H:$H,Macro_Speakers!$B:$B,"FED",Macro_Speakers!$A:$A,"&gt;="&amp;TODAY()-30),"")</f>
        <v/>
      </c>
      <c r="C31" s="2" t="str">
        <f ca="1" t="shared" si="0"/>
        <v/>
      </c>
    </row>
    <row r="32" spans="1:7">
      <c r="A32" s="14" t="s">
        <v>525</v>
      </c>
      <c r="B32" s="10">
        <f>IF($B$29="","",IFERROR(AVERAGEIFS(Macro_Speakers!$H:$H,Macro_Speakers!$B:$B,"ECB",Macro_Speakers!$A:$A,"&gt;="&amp;$B$29),""))</f>
        <v>0.25</v>
      </c>
      <c r="C32" s="2" t="str">
        <f t="shared" si="0"/>
        <v>Mixed</v>
      </c>
    </row>
    <row r="33" spans="1:3">
      <c r="A33" t="s">
        <v>526</v>
      </c>
      <c r="B33" s="10" t="str">
        <f ca="1">IFERROR(AVERAGEIFS(Macro_Speakers!$H:$H,Macro_Speakers!$B:$B,"ECB",Macro_Speakers!$A:$A,"&gt;="&amp;TODAY()-30),"")</f>
        <v/>
      </c>
      <c r="C33" s="2" t="str">
        <f ca="1" t="shared" si="0"/>
        <v/>
      </c>
    </row>
    <row r="34" spans="1:3">
      <c r="A34" s="14" t="s">
        <v>527</v>
      </c>
      <c r="B34" s="10">
        <f>IF($B$29="","",IFERROR(AVERAGEIFS(Macro_Speakers!$H:$H,Macro_Speakers!$B:$B,"ECB",Macro_Speakers!$A:$A,"&gt;="&amp;$B$29),""))</f>
        <v>0.25</v>
      </c>
      <c r="C34" s="2" t="str">
        <f t="shared" si="0"/>
        <v>Mixed</v>
      </c>
    </row>
    <row r="35" spans="1:3">
      <c r="A35" t="s">
        <v>528</v>
      </c>
      <c r="B35" s="10" t="str">
        <f ca="1">IFERROR(AVERAGEIFS(Macro_Speakers!$H:$H,Macro_Speakers!$B:$B,"ECB",Macro_Speakers!$A:$A,"&gt;="&amp;TODAY()-30),"")</f>
        <v/>
      </c>
      <c r="C35" s="2" t="str">
        <f ca="1" t="shared" si="0"/>
        <v/>
      </c>
    </row>
    <row r="37" ht="33.95" customHeight="1" spans="1:3">
      <c r="A37" s="122" t="s">
        <v>440</v>
      </c>
      <c r="B37" s="124" t="str">
        <f>IF(O6="","","US yields: 2Y "&amp;TEXT(O6,"0.00")&amp;"% ("&amp;IF(P6="","",IF(P6&gt;0,"+"&amp;TEXT(P6,"0"),TEXT(P6,"0")))&amp;"bp 1d) — "&amp;T6&amp;". "&amp;"Curve (2s10s): "&amp;TEXT(O10,"0")&amp;"bp — "&amp;T10)</f>
        <v>US yields: 2Y 3.50% (-2bp 1d) — 2Y falling → easier Fed priced → USD headwind. Curve (2s10s): 1bp — Curve normal → growth ok</v>
      </c>
    </row>
    <row r="38" ht="33.95" customHeight="1" spans="1:3">
      <c r="B38" s="124" t="str">
        <f ca="1">IF($B$19="","",IF($B$19="Buy dips","Macro backdrop leans EUR support.","Macro backdrop leans USD support.")&amp;" (Rate diff: "&amp;TEXT($B$28,"0")&amp;" steps; Yields: "&amp;$B$10&amp;"; Fed tone: "&amp;$B$31&amp;"; ECB tone: "&amp;$B$33&amp;")")</f>
        <v>Macro backdrop leans USD support. (Rate diff:  steps; Yields: Rising; Fed tone: ; ECB tone: )</v>
      </c>
    </row>
    <row r="40" spans="1:3">
      <c r="A40" t="s">
        <v>529</v>
      </c>
      <c r="B40" s="9" t="str">
        <f ca="1">IFERROR(INDEX(Macro_Rates!$J$2:$J$92,MATCH(_xlfn.AGGREGATE(15,6,Macro_Rates!$A$2:$A$92/((Macro_Rates!$B$2:$B$92="US")*(Macro_Rates!$A$2:$A$92&gt;=TODAY()+180)),1),Macro_Rates!$A$2:$A$92,0)),"")</f>
        <v/>
      </c>
    </row>
    <row r="41" spans="1:3">
      <c r="A41" t="s">
        <v>530</v>
      </c>
      <c r="B41" s="9" t="str">
        <f ca="1">IFERROR(INDEX(Macro_Rates!$J$2:$J$92,MATCH(_xlfn.AGGREGATE(15,6,Macro_Rates!$A$2:$A$92/((Macro_Rates!$B$2:$B$92="ECB")*(Macro_Rates!$A$2:$A$92&gt;=TODAY()+180)),1),Macro_Rates!$A$2:$A$92,0)),"")</f>
        <v/>
      </c>
    </row>
    <row r="42" spans="1:3">
      <c r="A42" t="s">
        <v>531</v>
      </c>
    </row>
  </sheetData>
  <mergeCells count="3">
    <mergeCell ref="N4:S4"/>
    <mergeCell ref="N12:S12"/>
    <mergeCell ref="N13:S13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0"/>
  <sheetViews>
    <sheetView zoomScale="10" zoomScaleNormal="10" workbookViewId="0">
      <selection activeCell="CH207" sqref="CH207"/>
    </sheetView>
  </sheetViews>
  <sheetFormatPr defaultColWidth="11.8545454545455" defaultRowHeight="14.5"/>
  <cols>
    <col min="1" max="1" width="11.8545454545455" customWidth="1"/>
    <col min="2" max="2" width="14" customWidth="1"/>
    <col min="3" max="3" width="35" customWidth="1"/>
    <col min="4" max="5" width="25.5727272727273" customWidth="1"/>
    <col min="6" max="6" width="26.7090909090909" customWidth="1"/>
    <col min="7" max="7" width="21" customWidth="1"/>
    <col min="8" max="8" width="16.7090909090909" customWidth="1"/>
    <col min="9" max="9" width="13.1363636363636" customWidth="1"/>
    <col min="10" max="10" width="16.7090909090909" customWidth="1"/>
    <col min="11" max="12" width="13.1363636363636" customWidth="1"/>
    <col min="13" max="13" width="10.7090909090909" customWidth="1"/>
    <col min="14" max="14" width="17.2818181818182" customWidth="1"/>
    <col min="15" max="15" width="10.7090909090909" customWidth="1"/>
    <col min="16" max="16" width="16.8545454545455" customWidth="1"/>
    <col min="17" max="18" width="25.5727272727273" customWidth="1"/>
    <col min="19" max="19" width="23.8545454545455" customWidth="1"/>
    <col min="20" max="20" width="11.8545454545455" customWidth="1"/>
    <col min="21" max="23" width="15.1363636363636" customWidth="1"/>
    <col min="24" max="24" width="22.2818181818182" customWidth="1"/>
    <col min="25" max="25" width="4.42727272727273" customWidth="1"/>
    <col min="26" max="26" width="5" customWidth="1"/>
    <col min="27" max="27" width="16.1363636363636" customWidth="1"/>
  </cols>
  <sheetData>
    <row r="1" spans="1:27">
      <c r="A1" t="s">
        <v>32</v>
      </c>
      <c r="B1" t="s">
        <v>532</v>
      </c>
      <c r="C1" t="s">
        <v>533</v>
      </c>
      <c r="D1" s="87" t="s">
        <v>534</v>
      </c>
      <c r="E1" s="87" t="s">
        <v>535</v>
      </c>
      <c r="F1" s="87" t="s">
        <v>536</v>
      </c>
      <c r="G1" s="87" t="s">
        <v>537</v>
      </c>
      <c r="H1" s="87" t="s">
        <v>538</v>
      </c>
      <c r="I1" s="88" t="s">
        <v>539</v>
      </c>
      <c r="J1" s="89" t="s">
        <v>540</v>
      </c>
      <c r="K1" s="90" t="s">
        <v>541</v>
      </c>
      <c r="L1" s="90" t="s">
        <v>542</v>
      </c>
      <c r="N1" s="1" t="s">
        <v>32</v>
      </c>
      <c r="O1" s="1" t="s">
        <v>466</v>
      </c>
      <c r="P1" s="1" t="s">
        <v>543</v>
      </c>
      <c r="Q1" s="1" t="s">
        <v>544</v>
      </c>
      <c r="R1" s="1" t="s">
        <v>545</v>
      </c>
      <c r="S1" s="1" t="s">
        <v>546</v>
      </c>
      <c r="T1" s="1" t="s">
        <v>547</v>
      </c>
      <c r="U1" s="1" t="s">
        <v>548</v>
      </c>
      <c r="V1" s="1" t="s">
        <v>549</v>
      </c>
      <c r="W1" s="1" t="s">
        <v>88</v>
      </c>
      <c r="X1" s="1" t="s">
        <v>550</v>
      </c>
      <c r="Y1" s="1"/>
    </row>
    <row r="2" spans="1:27">
      <c r="A2" s="91">
        <v>45985</v>
      </c>
      <c r="B2" s="92" t="s">
        <v>551</v>
      </c>
      <c r="C2" s="93" t="s">
        <v>552</v>
      </c>
      <c r="D2" s="94">
        <v>88.1</v>
      </c>
      <c r="E2" s="94">
        <v>88.6</v>
      </c>
      <c r="F2" s="95">
        <v>88.4</v>
      </c>
      <c r="G2" s="87">
        <f>IF(NOT(ISNUMBER(Table9[[#This Row],[Actual]])),"",IF(NOT(ISNUMBER(Table9[[#This Row],[Forecast]])),"",Table9[[#This Row],[Actual]]-Table9[[#This Row],[Forecast]]))</f>
        <v>-0.5</v>
      </c>
      <c r="H2" s="87">
        <f>IF(NOT(ISNUMBER(Table9[[#This Row],[Actual]])),"",IF(NOT(ISNUMBER(Table9[[#This Row],[Previous]])),"",Table9[[#This Row],[Actual]]-Table9[[#This Row],[Previous]]))</f>
        <v>-0.300000000000011</v>
      </c>
      <c r="I2" s="87" t="str">
        <f t="shared" ref="I2:I65" si="0">IF(AND(K2="",L2=""),"N/A",IF(AND(ABS(N(K2))&lt;0.0005,ABS(N(L2))&lt;0.0005),"Stable",IF(AND(L2="",ABS(N(K2))&gt;=0.0005),IF(N(K2)&gt;0,"Accelerating","Slowing"),IF(AND(K2="",ABS(N(L2))&gt;=0.0005),IF(N(L2)&gt;0,"Accelerating","Slowing"),IF(AND(N(K2)&gt;0,N(L2)&gt;=0),"Accelerating",IF(AND(N(K2)&lt;0,N(L2)&lt;=0),"Slowing","Mixed"))))))</f>
        <v>Slowing</v>
      </c>
      <c r="J2">
        <f t="shared" ref="J2:J65" si="1">IF(OR(ISNUMBER(SEARCH("Unemployment",C2)),ISNUMBER(SEARCH("Claims",C2)),ISNUMBER(SEARCH("Jobless",C2)),ISNUMBER(SEARCH("Inventories",C2)),ISNUMBER(SEARCH("Wholesale Inventories",C2)),ISNUMBER(SEARCH("JOLTS Job Openings",C2)),ISNUMBER(SEARCH("Inflation Expectations",C2))),-1,1)</f>
        <v>1</v>
      </c>
      <c r="K2">
        <f t="shared" ref="K2:K65" si="2">IF(OR(G2="",G2="(NA)"),"",J2*G2)</f>
        <v>-0.5</v>
      </c>
      <c r="L2">
        <f t="shared" ref="L2:L65" si="3">IF(OR(H2="",H2="(NA)"),"",J2*H2)</f>
        <v>-0.300000000000011</v>
      </c>
      <c r="N2" s="96">
        <v>46006</v>
      </c>
      <c r="O2" s="1" t="s">
        <v>475</v>
      </c>
      <c r="P2" s="10">
        <v>3.497</v>
      </c>
      <c r="Q2" s="10">
        <v>3.519</v>
      </c>
      <c r="R2" s="10">
        <v>3.61</v>
      </c>
      <c r="S2" s="10">
        <v>3.612</v>
      </c>
      <c r="T2" s="10">
        <f>IF(OR(P2="",Q2=""),"",P2-Q2)</f>
        <v>-0.0220000000000002</v>
      </c>
      <c r="U2" s="10">
        <f>IF(OR(P2="",R2=""),"",P2-R2)</f>
        <v>-0.113</v>
      </c>
      <c r="V2" s="10">
        <f>IF(OR(P2="",S2=""),"",P2-S2)</f>
        <v>-0.115</v>
      </c>
      <c r="W2" s="1" t="str">
        <f>IF(P2="","",IF(AND(U2&gt;0.03,V2&gt;0),"Rising",IF(AND(U2&lt;-0.03,V2&lt;0),"Falling","Flat")))</f>
        <v>Falling</v>
      </c>
      <c r="X2" s="6">
        <f>IF(W2="","",IFERROR(VLOOKUP(W2,Macro_Dashboard!$D$5:$E$18,2,FALSE)*1,0))</f>
        <v>-1</v>
      </c>
      <c r="Y2" s="6"/>
      <c r="Z2" s="12">
        <f>(3.75+4.99)/2</f>
        <v>4.37</v>
      </c>
      <c r="AA2" t="s">
        <v>553</v>
      </c>
    </row>
    <row r="3" spans="1:27">
      <c r="A3" s="91">
        <v>45986</v>
      </c>
      <c r="B3" s="92" t="s">
        <v>554</v>
      </c>
      <c r="C3" s="93" t="s">
        <v>555</v>
      </c>
      <c r="D3" s="94">
        <v>-13000</v>
      </c>
      <c r="E3" s="97">
        <v>-2500</v>
      </c>
      <c r="F3" s="95"/>
      <c r="G3" s="87">
        <f>IF(NOT(ISNUMBER(Table9[[#This Row],[Actual]])),"",IF(NOT(ISNUMBER(Table9[[#This Row],[Forecast]])),"",Table9[[#This Row],[Actual]]-Table9[[#This Row],[Forecast]]))</f>
        <v>-10500</v>
      </c>
      <c r="H3" s="87" t="str">
        <f>IF(NOT(ISNUMBER(Table9[[#This Row],[Actual]])),"",IF(NOT(ISNUMBER(Table9[[#This Row],[Previous]])),"",Table9[[#This Row],[Actual]]-Table9[[#This Row],[Previous]]))</f>
        <v/>
      </c>
      <c r="I3" s="87" t="str">
        <f t="shared" si="0"/>
        <v>Slowing</v>
      </c>
      <c r="J3">
        <f t="shared" si="1"/>
        <v>1</v>
      </c>
      <c r="K3">
        <f t="shared" si="2"/>
        <v>-10500</v>
      </c>
      <c r="L3" t="str">
        <f t="shared" si="3"/>
        <v/>
      </c>
      <c r="N3" s="96">
        <v>46006</v>
      </c>
      <c r="O3" s="1" t="s">
        <v>479</v>
      </c>
      <c r="P3" s="10">
        <v>3.719</v>
      </c>
      <c r="Q3" s="10">
        <v>3.741</v>
      </c>
      <c r="R3" s="10">
        <v>3.783</v>
      </c>
      <c r="S3" s="10">
        <v>3.704</v>
      </c>
      <c r="T3" s="10">
        <f>IF(OR(P3="",Q3=""),"",P3-Q3)</f>
        <v>-0.0220000000000002</v>
      </c>
      <c r="U3" s="10">
        <f>IF(OR(P3="",R3=""),"",P3-R3)</f>
        <v>-0.0640000000000001</v>
      </c>
      <c r="V3" s="10">
        <f>IF(OR(P3="",S3=""),"",P3-S3)</f>
        <v>0.0149999999999997</v>
      </c>
      <c r="W3" s="1" t="str">
        <f>IF(P3="","",IF(AND(U3&gt;0.03,V3&gt;0),"Rising",IF(AND(U3&lt;-0.03,V3&lt;0),"Falling","Flat")))</f>
        <v>Flat</v>
      </c>
      <c r="X3" s="6">
        <f>IF(W3="","",IFERROR(VLOOKUP(W3,Macro_Dashboard!$D$5:$E$18,2,FALSE)*1,0))</f>
        <v>0</v>
      </c>
      <c r="Y3" s="6"/>
      <c r="Z3" s="12">
        <v>2</v>
      </c>
      <c r="AA3" t="s">
        <v>556</v>
      </c>
    </row>
    <row r="4" spans="1:27">
      <c r="A4" s="91">
        <v>45986</v>
      </c>
      <c r="B4" s="92" t="s">
        <v>554</v>
      </c>
      <c r="C4" s="93" t="s">
        <v>557</v>
      </c>
      <c r="D4" s="98">
        <v>0.003</v>
      </c>
      <c r="E4" s="98">
        <v>0.003</v>
      </c>
      <c r="F4" s="98">
        <v>0.006</v>
      </c>
      <c r="G4" s="87">
        <f>IF(NOT(ISNUMBER(Table9[[#This Row],[Actual]])),"",IF(NOT(ISNUMBER(Table9[[#This Row],[Forecast]])),"",Table9[[#This Row],[Actual]]-Table9[[#This Row],[Forecast]]))</f>
        <v>0</v>
      </c>
      <c r="H4" s="87">
        <f>IF(NOT(ISNUMBER(Table9[[#This Row],[Actual]])),"",IF(NOT(ISNUMBER(Table9[[#This Row],[Previous]])),"",Table9[[#This Row],[Actual]]-Table9[[#This Row],[Previous]]))</f>
        <v>-0.003</v>
      </c>
      <c r="I4" s="87" t="str">
        <f t="shared" si="0"/>
        <v>Mixed</v>
      </c>
      <c r="J4">
        <f t="shared" si="1"/>
        <v>1</v>
      </c>
      <c r="K4">
        <f t="shared" si="2"/>
        <v>0</v>
      </c>
      <c r="L4">
        <f t="shared" si="3"/>
        <v>-0.003</v>
      </c>
      <c r="N4" s="96">
        <v>46006</v>
      </c>
      <c r="O4" s="1" t="s">
        <v>483</v>
      </c>
      <c r="P4" s="10">
        <v>4.168</v>
      </c>
      <c r="Q4" s="10">
        <v>4.183</v>
      </c>
      <c r="R4" s="10">
        <v>4.188</v>
      </c>
      <c r="S4" s="10">
        <v>4.116</v>
      </c>
      <c r="T4" s="10">
        <f>IF(OR(P4="",Q4=""),"",P4-Q4)</f>
        <v>-0.0149999999999997</v>
      </c>
      <c r="U4" s="10">
        <f>IF(OR(P4="",R4=""),"",P4-R4)</f>
        <v>-0.0199999999999996</v>
      </c>
      <c r="V4" s="10">
        <f>IF(OR(P4="",S4=""),"",P4-S4)</f>
        <v>0.0520000000000005</v>
      </c>
      <c r="W4" s="1" t="str">
        <f>IF(P4="","",IF(AND(U4&gt;0.03,V4&gt;0),"Rising",IF(AND(U4&lt;-0.03,V4&lt;0),"Falling","Flat")))</f>
        <v>Flat</v>
      </c>
      <c r="X4" s="6">
        <f>IF(W4="","",IFERROR(VLOOKUP(W4,Macro_Dashboard!$D$5:$E$18,2,FALSE)*1,0))</f>
        <v>0</v>
      </c>
      <c r="Y4" s="6"/>
      <c r="Z4" s="12">
        <v>0</v>
      </c>
      <c r="AA4" t="s">
        <v>558</v>
      </c>
    </row>
    <row r="5" spans="1:27">
      <c r="A5" s="91">
        <v>45986</v>
      </c>
      <c r="B5" s="92" t="s">
        <v>554</v>
      </c>
      <c r="C5" s="93" t="s">
        <v>559</v>
      </c>
      <c r="D5" s="98">
        <v>0.002</v>
      </c>
      <c r="E5" s="98">
        <v>0.004</v>
      </c>
      <c r="F5" s="98">
        <v>-0.001</v>
      </c>
      <c r="G5" s="87">
        <f>IF(NOT(ISNUMBER(Table9[[#This Row],[Actual]])),"",IF(NOT(ISNUMBER(Table9[[#This Row],[Forecast]])),"",Table9[[#This Row],[Actual]]-Table9[[#This Row],[Forecast]]))</f>
        <v>-0.002</v>
      </c>
      <c r="H5" s="87">
        <f>IF(NOT(ISNUMBER(Table9[[#This Row],[Actual]])),"",IF(NOT(ISNUMBER(Table9[[#This Row],[Previous]])),"",Table9[[#This Row],[Actual]]-Table9[[#This Row],[Previous]]))</f>
        <v>0.003</v>
      </c>
      <c r="I5" s="87" t="str">
        <f t="shared" si="0"/>
        <v>Mixed</v>
      </c>
      <c r="J5">
        <f t="shared" si="1"/>
        <v>1</v>
      </c>
      <c r="K5">
        <f t="shared" si="2"/>
        <v>-0.002</v>
      </c>
      <c r="L5">
        <f t="shared" si="3"/>
        <v>0.003</v>
      </c>
      <c r="N5" s="96">
        <v>46006</v>
      </c>
      <c r="O5" s="1" t="s">
        <v>487</v>
      </c>
      <c r="P5" s="10">
        <v>4.844</v>
      </c>
      <c r="Q5" s="10">
        <v>4.58</v>
      </c>
      <c r="R5" s="10">
        <v>4.808</v>
      </c>
      <c r="S5" s="10">
        <v>4.753</v>
      </c>
      <c r="T5" s="10">
        <f>IF(OR(P5="",Q5=""),"",P5-Q5)</f>
        <v>0.264</v>
      </c>
      <c r="U5" s="10">
        <f>IF(OR(P5="",R5=""),"",P5-R5)</f>
        <v>0.0360000000000005</v>
      </c>
      <c r="V5" s="10">
        <f>IF(OR(P5="",S5=""),"",P5-S5)</f>
        <v>0.0910000000000002</v>
      </c>
      <c r="W5" s="1" t="str">
        <f>IF(P5="","",IF(AND(U5&gt;0.03,V5&gt;0),"Rising",IF(AND(U5&lt;-0.03,V5&lt;0),"Falling","Flat")))</f>
        <v>Rising</v>
      </c>
      <c r="X5" s="6">
        <f>IF(W5="","",IFERROR(VLOOKUP(W5,Macro_Dashboard!$D$5:$E$18,2,FALSE)*1,0))</f>
        <v>1</v>
      </c>
      <c r="Y5" s="6"/>
    </row>
    <row r="6" spans="1:27">
      <c r="A6" s="91">
        <v>45986</v>
      </c>
      <c r="B6" s="92" t="s">
        <v>554</v>
      </c>
      <c r="C6" s="93" t="s">
        <v>560</v>
      </c>
      <c r="D6" s="94">
        <v>88.7</v>
      </c>
      <c r="E6" s="94">
        <v>93.4</v>
      </c>
      <c r="F6" s="94">
        <v>95.5</v>
      </c>
      <c r="G6" s="87">
        <f>IF(NOT(ISNUMBER(Table9[[#This Row],[Actual]])),"",IF(NOT(ISNUMBER(Table9[[#This Row],[Forecast]])),"",Table9[[#This Row],[Actual]]-Table9[[#This Row],[Forecast]]))</f>
        <v>-4.7</v>
      </c>
      <c r="H6" s="87">
        <f>IF(NOT(ISNUMBER(Table9[[#This Row],[Actual]])),"",IF(NOT(ISNUMBER(Table9[[#This Row],[Previous]])),"",Table9[[#This Row],[Actual]]-Table9[[#This Row],[Previous]]))</f>
        <v>-6.8</v>
      </c>
      <c r="I6" s="87" t="str">
        <f t="shared" si="0"/>
        <v>Slowing</v>
      </c>
      <c r="J6">
        <f t="shared" si="1"/>
        <v>1</v>
      </c>
      <c r="K6">
        <f t="shared" si="2"/>
        <v>-4.7</v>
      </c>
      <c r="L6">
        <f t="shared" si="3"/>
        <v>-6.8</v>
      </c>
      <c r="N6" s="1" t="s">
        <v>32</v>
      </c>
      <c r="O6" s="1" t="s">
        <v>466</v>
      </c>
      <c r="P6" s="1" t="s">
        <v>543</v>
      </c>
      <c r="Q6" s="1" t="s">
        <v>544</v>
      </c>
      <c r="R6" s="1" t="s">
        <v>545</v>
      </c>
      <c r="S6" s="1" t="s">
        <v>546</v>
      </c>
      <c r="T6" s="1" t="s">
        <v>547</v>
      </c>
      <c r="U6" s="1" t="s">
        <v>548</v>
      </c>
      <c r="V6" s="1" t="s">
        <v>549</v>
      </c>
      <c r="W6" s="1" t="s">
        <v>88</v>
      </c>
      <c r="X6" s="1" t="s">
        <v>550</v>
      </c>
      <c r="Y6" s="1"/>
    </row>
    <row r="7" spans="1:27">
      <c r="A7" s="91">
        <v>45986</v>
      </c>
      <c r="B7" s="92" t="s">
        <v>561</v>
      </c>
      <c r="C7" s="93" t="s">
        <v>562</v>
      </c>
      <c r="D7" s="98">
        <v>0.001</v>
      </c>
      <c r="E7" s="95">
        <v>0.002</v>
      </c>
      <c r="F7" s="98">
        <v>-0.001</v>
      </c>
      <c r="G7" s="87">
        <f>IF(NOT(ISNUMBER(Table9[[#This Row],[Actual]])),"",IF(NOT(ISNUMBER(Table9[[#This Row],[Forecast]])),"",Table9[[#This Row],[Actual]]-Table9[[#This Row],[Forecast]]))</f>
        <v>-0.001</v>
      </c>
      <c r="H7" s="87">
        <f>IF(NOT(ISNUMBER(Table9[[#This Row],[Actual]])),"",IF(NOT(ISNUMBER(Table9[[#This Row],[Previous]])),"",Table9[[#This Row],[Actual]]-Table9[[#This Row],[Previous]]))</f>
        <v>0.002</v>
      </c>
      <c r="I7" s="87" t="str">
        <f t="shared" si="0"/>
        <v>Mixed</v>
      </c>
      <c r="J7">
        <f t="shared" si="1"/>
        <v>1</v>
      </c>
      <c r="K7">
        <f t="shared" si="2"/>
        <v>-0.001</v>
      </c>
      <c r="L7">
        <f t="shared" si="3"/>
        <v>0.002</v>
      </c>
      <c r="N7" s="96">
        <v>46006</v>
      </c>
      <c r="O7" s="1" t="s">
        <v>493</v>
      </c>
      <c r="P7" s="10">
        <f>IF(OR(P2="",P4=""),"",P4-P2)</f>
        <v>0.671</v>
      </c>
      <c r="Q7" s="10">
        <f>IF(OR(Q2="",Q4=""),"",Q4-Q2)</f>
        <v>0.664</v>
      </c>
      <c r="R7" s="10">
        <f>IF(OR(R2="",R4=""),"",R4-R2)</f>
        <v>0.578</v>
      </c>
      <c r="S7" s="10">
        <f>IF(OR(S2="",S4=""),"",S4-S2)</f>
        <v>0.504</v>
      </c>
      <c r="T7" s="10">
        <f>IF(OR(P7="",Q7=""),"",P7-Q7)</f>
        <v>0.00700000000000056</v>
      </c>
      <c r="U7" s="10">
        <f>IF(OR(P7="",R7=""),"",P7-R7)</f>
        <v>0.0930000000000004</v>
      </c>
      <c r="V7" s="10">
        <f>IF(OR(P7="",S7=""),"",P7-S7)</f>
        <v>0.167000000000001</v>
      </c>
      <c r="W7" s="1" t="str">
        <f>IF(P7="","",IF(AND(U7&gt;0.03,V7&gt;0),"Rising",IF(AND(U7&lt;-0.03,V7&lt;0),"Falling","Flat")))</f>
        <v>Rising</v>
      </c>
      <c r="X7" s="6">
        <f>IF(W7="","",IFERROR(VLOOKUP(W7,Macro_Dashboard!$D$5:$E$18,2,FALSE)*1,0))</f>
        <v>1</v>
      </c>
    </row>
    <row r="8" spans="1:27">
      <c r="A8" s="99">
        <v>45987</v>
      </c>
      <c r="B8" s="92" t="s">
        <v>554</v>
      </c>
      <c r="C8" s="100" t="s">
        <v>563</v>
      </c>
      <c r="D8" s="101">
        <v>0.006</v>
      </c>
      <c r="E8" s="101">
        <v>0.002</v>
      </c>
      <c r="F8" s="101">
        <v>0.003</v>
      </c>
      <c r="G8" s="87">
        <f>IF(NOT(ISNUMBER(Table9[[#This Row],[Actual]])),"",IF(NOT(ISNUMBER(Table9[[#This Row],[Forecast]])),"",Table9[[#This Row],[Actual]]-Table9[[#This Row],[Forecast]]))</f>
        <v>0.004</v>
      </c>
      <c r="H8" s="87">
        <f>IF(NOT(ISNUMBER(Table9[[#This Row],[Actual]])),"",IF(NOT(ISNUMBER(Table9[[#This Row],[Previous]])),"",Table9[[#This Row],[Actual]]-Table9[[#This Row],[Previous]]))</f>
        <v>0.003</v>
      </c>
      <c r="I8" s="87" t="str">
        <f t="shared" si="0"/>
        <v>Accelerating</v>
      </c>
      <c r="J8">
        <f t="shared" si="1"/>
        <v>1</v>
      </c>
      <c r="K8">
        <f t="shared" si="2"/>
        <v>0.004</v>
      </c>
      <c r="L8">
        <f t="shared" si="3"/>
        <v>0.003</v>
      </c>
      <c r="N8" s="96">
        <v>46006</v>
      </c>
      <c r="O8" s="1" t="s">
        <v>496</v>
      </c>
      <c r="P8" s="10">
        <f>IF(OR(P3="",P5=""),"",P5-P3)</f>
        <v>1.125</v>
      </c>
      <c r="Q8" s="10">
        <f>IF(OR(Q3="",Q5=""),"",Q5-Q3)</f>
        <v>0.839</v>
      </c>
      <c r="R8" s="10">
        <f>IF(OR(R3="",R5=""),"",R5-R3)</f>
        <v>1.025</v>
      </c>
      <c r="S8" s="10">
        <f>IF(OR(S3="",S5=""),"",S5-S3)</f>
        <v>1.049</v>
      </c>
      <c r="T8" s="10">
        <f>IF(OR(P8="",Q8=""),"",P8-Q8)</f>
        <v>0.286</v>
      </c>
      <c r="U8" s="10">
        <f>IF(OR(P8="",R8=""),"",P8-R8)</f>
        <v>0.100000000000001</v>
      </c>
      <c r="V8" s="10">
        <f>IF(OR(P8="",S8=""),"",P8-S8)</f>
        <v>0.0760000000000005</v>
      </c>
      <c r="W8" s="1" t="str">
        <f>IF(P8="","",IF(AND(U8&gt;0.03,V8&gt;0),"Rising",IF(AND(U8&lt;-0.03,V8&lt;0),"Falling","Flat")))</f>
        <v>Rising</v>
      </c>
      <c r="X8" s="6">
        <f>IF(W8="","",IFERROR(VLOOKUP(W8,Macro_Dashboard!$D$5:$E$18,2,FALSE)*1,0))</f>
        <v>1</v>
      </c>
    </row>
    <row r="9" spans="1:27">
      <c r="A9" s="99">
        <v>45987</v>
      </c>
      <c r="B9" s="92" t="s">
        <v>554</v>
      </c>
      <c r="C9" s="100" t="s">
        <v>564</v>
      </c>
      <c r="D9" s="101">
        <v>0.005</v>
      </c>
      <c r="E9" s="101">
        <v>0.005</v>
      </c>
      <c r="F9" s="101">
        <v>0.03</v>
      </c>
      <c r="G9" s="87">
        <f>IF(NOT(ISNUMBER(Table9[[#This Row],[Actual]])),"",IF(NOT(ISNUMBER(Table9[[#This Row],[Forecast]])),"",Table9[[#This Row],[Actual]]-Table9[[#This Row],[Forecast]]))</f>
        <v>0</v>
      </c>
      <c r="H9" s="87">
        <f>IF(NOT(ISNUMBER(Table9[[#This Row],[Actual]])),"",IF(NOT(ISNUMBER(Table9[[#This Row],[Previous]])),"",Table9[[#This Row],[Actual]]-Table9[[#This Row],[Previous]]))</f>
        <v>-0.025</v>
      </c>
      <c r="I9" s="87" t="str">
        <f t="shared" si="0"/>
        <v>Mixed</v>
      </c>
      <c r="J9">
        <f t="shared" si="1"/>
        <v>1</v>
      </c>
      <c r="K9">
        <f t="shared" si="2"/>
        <v>0</v>
      </c>
      <c r="L9">
        <f t="shared" si="3"/>
        <v>-0.025</v>
      </c>
    </row>
    <row r="10" spans="1:27">
      <c r="A10" s="99">
        <v>45987</v>
      </c>
      <c r="B10" s="92" t="s">
        <v>565</v>
      </c>
      <c r="C10" s="100" t="s">
        <v>566</v>
      </c>
      <c r="D10" s="102">
        <v>216000</v>
      </c>
      <c r="E10" s="102">
        <v>226000</v>
      </c>
      <c r="F10" s="102">
        <v>222000</v>
      </c>
      <c r="G10" s="87">
        <f>IF(NOT(ISNUMBER(Table9[[#This Row],[Actual]])),"",IF(NOT(ISNUMBER(Table9[[#This Row],[Forecast]])),"",Table9[[#This Row],[Actual]]-Table9[[#This Row],[Forecast]]))</f>
        <v>-10000</v>
      </c>
      <c r="H10" s="87">
        <f>IF(NOT(ISNUMBER(Table9[[#This Row],[Actual]])),"",IF(NOT(ISNUMBER(Table9[[#This Row],[Previous]])),"",Table9[[#This Row],[Actual]]-Table9[[#This Row],[Previous]]))</f>
        <v>-6000</v>
      </c>
      <c r="I10" s="87" t="str">
        <f t="shared" si="0"/>
        <v>Accelerating</v>
      </c>
      <c r="J10">
        <f t="shared" si="1"/>
        <v>-1</v>
      </c>
      <c r="K10">
        <f t="shared" si="2"/>
        <v>10000</v>
      </c>
      <c r="L10">
        <f t="shared" si="3"/>
        <v>6000</v>
      </c>
      <c r="N10" s="103" t="s">
        <v>32</v>
      </c>
      <c r="O10" s="103" t="s">
        <v>466</v>
      </c>
      <c r="P10" s="103" t="s">
        <v>543</v>
      </c>
      <c r="Q10" s="103" t="s">
        <v>544</v>
      </c>
      <c r="R10" s="103" t="s">
        <v>545</v>
      </c>
      <c r="S10" s="103" t="s">
        <v>546</v>
      </c>
      <c r="T10" s="103" t="s">
        <v>547</v>
      </c>
      <c r="U10" s="103" t="s">
        <v>548</v>
      </c>
      <c r="V10" s="103" t="s">
        <v>549</v>
      </c>
      <c r="W10" s="103" t="s">
        <v>88</v>
      </c>
      <c r="X10" s="103" t="s">
        <v>550</v>
      </c>
    </row>
    <row r="11" spans="1:27">
      <c r="A11" s="99">
        <v>45988</v>
      </c>
      <c r="B11" s="92" t="s">
        <v>551</v>
      </c>
      <c r="C11" s="100" t="s">
        <v>567</v>
      </c>
      <c r="D11" s="102">
        <v>-23.2</v>
      </c>
      <c r="E11" s="102">
        <v>-23.6</v>
      </c>
      <c r="F11" s="102">
        <v>-24.1</v>
      </c>
      <c r="G11" s="87">
        <f>IF(NOT(ISNUMBER(Table9[[#This Row],[Actual]])),"",IF(NOT(ISNUMBER(Table9[[#This Row],[Forecast]])),"",Table9[[#This Row],[Actual]]-Table9[[#This Row],[Forecast]]))</f>
        <v>0.400000000000002</v>
      </c>
      <c r="H11" s="87">
        <f>IF(NOT(ISNUMBER(Table9[[#This Row],[Actual]])),"",IF(NOT(ISNUMBER(Table9[[#This Row],[Previous]])),"",Table9[[#This Row],[Actual]]-Table9[[#This Row],[Previous]]))</f>
        <v>0.900000000000002</v>
      </c>
      <c r="I11" s="87" t="str">
        <f t="shared" si="0"/>
        <v>Accelerating</v>
      </c>
      <c r="J11">
        <f t="shared" si="1"/>
        <v>1</v>
      </c>
      <c r="K11">
        <f t="shared" si="2"/>
        <v>0.400000000000002</v>
      </c>
      <c r="L11">
        <f t="shared" si="3"/>
        <v>0.900000000000002</v>
      </c>
      <c r="N11" s="96">
        <v>46006</v>
      </c>
      <c r="O11" s="1" t="s">
        <v>568</v>
      </c>
      <c r="P11" s="10"/>
      <c r="Q11" s="10"/>
      <c r="R11" s="10"/>
      <c r="S11" s="10"/>
      <c r="T11" s="10" t="str">
        <f>IF(OR(P11="",Q11=""),"",P11-Q11)</f>
        <v/>
      </c>
      <c r="U11" s="10" t="str">
        <f>IF(OR(P11="",R11=""),"",P11-R11)</f>
        <v/>
      </c>
      <c r="V11" s="10" t="str">
        <f>IF(OR(P11="",S11=""),"",P11-S11)</f>
        <v/>
      </c>
      <c r="W11" s="1" t="str">
        <f>IF(P11="","",IF(AND(U11&gt;0.03,V11&gt;0),"Rising",IF(AND(U11&lt;-0.03,V11&lt;0),"Falling","Flat")))</f>
        <v/>
      </c>
      <c r="X11" s="6"/>
    </row>
    <row r="12" spans="1:27">
      <c r="A12" s="99">
        <v>45989</v>
      </c>
      <c r="B12" s="92" t="s">
        <v>569</v>
      </c>
      <c r="C12" s="100" t="s">
        <v>570</v>
      </c>
      <c r="D12" s="101">
        <v>0.002</v>
      </c>
      <c r="E12" s="101">
        <v>0</v>
      </c>
      <c r="F12" s="101">
        <v>0.003</v>
      </c>
      <c r="G12" s="87">
        <f>IF(NOT(ISNUMBER(Table9[[#This Row],[Actual]])),"",IF(NOT(ISNUMBER(Table9[[#This Row],[Forecast]])),"",Table9[[#This Row],[Actual]]-Table9[[#This Row],[Forecast]]))</f>
        <v>0.002</v>
      </c>
      <c r="H12" s="87">
        <f>IF(NOT(ISNUMBER(Table9[[#This Row],[Actual]])),"",IF(NOT(ISNUMBER(Table9[[#This Row],[Previous]])),"",Table9[[#This Row],[Actual]]-Table9[[#This Row],[Previous]]))</f>
        <v>-0.001</v>
      </c>
      <c r="I12" s="87" t="str">
        <f t="shared" si="0"/>
        <v>Mixed</v>
      </c>
      <c r="J12">
        <f t="shared" si="1"/>
        <v>1</v>
      </c>
      <c r="K12">
        <f t="shared" si="2"/>
        <v>0.002</v>
      </c>
      <c r="L12">
        <f t="shared" si="3"/>
        <v>-0.001</v>
      </c>
      <c r="N12" s="96">
        <v>46006</v>
      </c>
      <c r="O12" s="1" t="s">
        <v>571</v>
      </c>
      <c r="P12" s="10"/>
      <c r="Q12" s="10"/>
      <c r="R12" s="10"/>
      <c r="S12" s="10"/>
      <c r="T12" s="10" t="str">
        <f>IF(OR(P12="",Q12=""),"",P12-Q12)</f>
        <v/>
      </c>
      <c r="U12" s="10" t="str">
        <f>IF(OR(P12="",R12=""),"",P12-R12)</f>
        <v/>
      </c>
      <c r="V12" s="10" t="str">
        <f>IF(OR(P12="",S12=""),"",P12-S12)</f>
        <v/>
      </c>
      <c r="W12" s="1" t="str">
        <f>IF(P12="","",IF(AND(U12&gt;0.03,V12&gt;0),"Rising",IF(AND(U12&lt;-0.03,V12&lt;0),"Falling","Flat")))</f>
        <v/>
      </c>
      <c r="X12" s="6"/>
    </row>
    <row r="13" spans="1:27">
      <c r="A13" s="99">
        <v>45989</v>
      </c>
      <c r="B13" s="92" t="s">
        <v>572</v>
      </c>
      <c r="C13" s="100" t="s">
        <v>573</v>
      </c>
      <c r="D13" s="102">
        <v>1000</v>
      </c>
      <c r="E13" s="102">
        <v>4000</v>
      </c>
      <c r="F13" s="102">
        <v>-2000</v>
      </c>
      <c r="G13" s="87">
        <f>IF(NOT(ISNUMBER(Table9[[#This Row],[Actual]])),"",IF(NOT(ISNUMBER(Table9[[#This Row],[Forecast]])),"",Table9[[#This Row],[Actual]]-Table9[[#This Row],[Forecast]]))</f>
        <v>-3000</v>
      </c>
      <c r="H13" s="87">
        <f>IF(NOT(ISNUMBER(Table9[[#This Row],[Actual]])),"",IF(NOT(ISNUMBER(Table9[[#This Row],[Previous]])),"",Table9[[#This Row],[Actual]]-Table9[[#This Row],[Previous]]))</f>
        <v>3000</v>
      </c>
      <c r="I13" s="87" t="str">
        <f t="shared" si="0"/>
        <v>Mixed</v>
      </c>
      <c r="J13">
        <f t="shared" si="1"/>
        <v>-1</v>
      </c>
      <c r="K13">
        <f t="shared" si="2"/>
        <v>3000</v>
      </c>
      <c r="L13">
        <f t="shared" si="3"/>
        <v>-3000</v>
      </c>
      <c r="N13" s="96">
        <v>46006</v>
      </c>
      <c r="O13" s="1" t="s">
        <v>574</v>
      </c>
      <c r="P13" s="10"/>
      <c r="Q13" s="10"/>
      <c r="R13" s="10"/>
      <c r="S13" s="10"/>
      <c r="T13" s="10" t="str">
        <f>IF(OR(P13="",Q13=""),"",P13-Q13)</f>
        <v/>
      </c>
      <c r="U13" s="10" t="str">
        <f>IF(OR(P13="",R13=""),"",P13-R13)</f>
        <v/>
      </c>
      <c r="V13" s="10" t="str">
        <f>IF(OR(P13="",S13=""),"",P13-S13)</f>
        <v/>
      </c>
      <c r="W13" s="1" t="str">
        <f>IF(P13="","",IF(AND(U13&gt;0.03,V13&gt;0),"Rising",IF(AND(U13&lt;-0.03,V13&lt;0),"Falling","Flat")))</f>
        <v/>
      </c>
      <c r="X13" s="6"/>
    </row>
    <row r="14" spans="1:27">
      <c r="A14" s="91">
        <v>45992</v>
      </c>
      <c r="B14" s="92" t="s">
        <v>554</v>
      </c>
      <c r="C14" s="93" t="s">
        <v>575</v>
      </c>
      <c r="D14" s="94">
        <v>52.2</v>
      </c>
      <c r="E14" s="94">
        <v>51.9</v>
      </c>
      <c r="F14" s="94">
        <v>51.9</v>
      </c>
      <c r="G14" s="87">
        <f>IF(NOT(ISNUMBER(Table9[[#This Row],[Actual]])),"",IF(NOT(ISNUMBER(Table9[[#This Row],[Forecast]])),"",Table9[[#This Row],[Actual]]-Table9[[#This Row],[Forecast]]))</f>
        <v>0.300000000000004</v>
      </c>
      <c r="H14" s="87">
        <f>IF(NOT(ISNUMBER(Table9[[#This Row],[Actual]])),"",IF(NOT(ISNUMBER(Table9[[#This Row],[Previous]])),"",Table9[[#This Row],[Actual]]-Table9[[#This Row],[Previous]]))</f>
        <v>0.300000000000004</v>
      </c>
      <c r="I14" s="87" t="str">
        <f t="shared" si="0"/>
        <v>Accelerating</v>
      </c>
      <c r="J14">
        <f t="shared" si="1"/>
        <v>1</v>
      </c>
      <c r="K14">
        <f t="shared" si="2"/>
        <v>0.300000000000004</v>
      </c>
      <c r="L14">
        <f t="shared" si="3"/>
        <v>0.300000000000004</v>
      </c>
      <c r="N14" s="96">
        <v>46006</v>
      </c>
      <c r="O14" s="1" t="s">
        <v>576</v>
      </c>
      <c r="P14" s="10"/>
      <c r="Q14" s="10"/>
      <c r="R14" s="10"/>
      <c r="S14" s="10"/>
      <c r="T14" s="10" t="str">
        <f>IF(OR(P14="",Q14=""),"",P14-Q14)</f>
        <v/>
      </c>
      <c r="U14" s="10" t="str">
        <f>IF(OR(P14="",R14=""),"",P14-R14)</f>
        <v/>
      </c>
      <c r="V14" s="10" t="str">
        <f>IF(OR(P14="",S14=""),"",P14-S14)</f>
        <v/>
      </c>
      <c r="W14" s="1" t="str">
        <f>IF(P14="","",IF(AND(U14&gt;0.03,V14&gt;0),"Rising",IF(AND(U14&lt;-0.03,V14&lt;0),"Falling","Flat")))</f>
        <v/>
      </c>
      <c r="X14" s="6"/>
    </row>
    <row r="15" spans="1:27">
      <c r="A15" s="91">
        <v>45992</v>
      </c>
      <c r="B15" s="92" t="s">
        <v>554</v>
      </c>
      <c r="C15" s="93" t="s">
        <v>577</v>
      </c>
      <c r="D15" s="94">
        <v>58.5</v>
      </c>
      <c r="E15" s="94">
        <v>59.5</v>
      </c>
      <c r="F15" s="94">
        <v>58</v>
      </c>
      <c r="G15" s="87">
        <f>IF(NOT(ISNUMBER(Table9[[#This Row],[Actual]])),"",IF(NOT(ISNUMBER(Table9[[#This Row],[Forecast]])),"",Table9[[#This Row],[Actual]]-Table9[[#This Row],[Forecast]]))</f>
        <v>-1</v>
      </c>
      <c r="H15" s="87">
        <f>IF(NOT(ISNUMBER(Table9[[#This Row],[Actual]])),"",IF(NOT(ISNUMBER(Table9[[#This Row],[Previous]])),"",Table9[[#This Row],[Actual]]-Table9[[#This Row],[Previous]]))</f>
        <v>0.5</v>
      </c>
      <c r="I15" s="87" t="str">
        <f t="shared" si="0"/>
        <v>Mixed</v>
      </c>
      <c r="J15">
        <f t="shared" si="1"/>
        <v>1</v>
      </c>
      <c r="K15">
        <f t="shared" si="2"/>
        <v>-1</v>
      </c>
      <c r="L15">
        <f t="shared" si="3"/>
        <v>0.5</v>
      </c>
      <c r="N15" s="103" t="s">
        <v>32</v>
      </c>
      <c r="O15" s="103" t="s">
        <v>466</v>
      </c>
      <c r="P15" s="103" t="s">
        <v>543</v>
      </c>
      <c r="Q15" s="103" t="s">
        <v>544</v>
      </c>
      <c r="R15" s="103" t="s">
        <v>545</v>
      </c>
      <c r="S15" s="103" t="s">
        <v>546</v>
      </c>
      <c r="T15" s="103" t="s">
        <v>547</v>
      </c>
      <c r="U15" s="103" t="s">
        <v>548</v>
      </c>
      <c r="V15" s="103" t="s">
        <v>549</v>
      </c>
      <c r="W15" s="103" t="s">
        <v>88</v>
      </c>
      <c r="X15" s="103" t="s">
        <v>550</v>
      </c>
    </row>
    <row r="16" spans="1:27">
      <c r="A16" s="99">
        <v>45992</v>
      </c>
      <c r="B16" s="92" t="s">
        <v>554</v>
      </c>
      <c r="C16" s="100" t="s">
        <v>578</v>
      </c>
      <c r="D16" s="102">
        <v>48.2</v>
      </c>
      <c r="E16" s="102">
        <v>49</v>
      </c>
      <c r="F16" s="102">
        <v>48.7</v>
      </c>
      <c r="G16" s="87">
        <f>IF(NOT(ISNUMBER(Table9[[#This Row],[Actual]])),"",IF(NOT(ISNUMBER(Table9[[#This Row],[Forecast]])),"",Table9[[#This Row],[Actual]]-Table9[[#This Row],[Forecast]]))</f>
        <v>-0.799999999999997</v>
      </c>
      <c r="H16" s="87">
        <f>IF(NOT(ISNUMBER(Table9[[#This Row],[Actual]])),"",IF(NOT(ISNUMBER(Table9[[#This Row],[Previous]])),"",Table9[[#This Row],[Actual]]-Table9[[#This Row],[Previous]]))</f>
        <v>-0.5</v>
      </c>
      <c r="I16" s="87" t="str">
        <f t="shared" si="0"/>
        <v>Slowing</v>
      </c>
      <c r="J16">
        <f t="shared" si="1"/>
        <v>1</v>
      </c>
      <c r="K16">
        <f t="shared" si="2"/>
        <v>-0.799999999999997</v>
      </c>
      <c r="L16">
        <f t="shared" si="3"/>
        <v>-0.5</v>
      </c>
      <c r="N16" s="96">
        <v>46006</v>
      </c>
      <c r="O16" s="1" t="s">
        <v>579</v>
      </c>
      <c r="P16" s="10" t="str">
        <f>IF(OR(P11="",P13=""),"",(P13-P11)*100)</f>
        <v/>
      </c>
      <c r="Q16" s="10" t="str">
        <f>IF(OR(Q11="",Q13=""),"",(Q13-Q11)*100)</f>
        <v/>
      </c>
      <c r="R16" s="10" t="str">
        <f>IF(OR(R11="",R13=""),"",(R13-R11)*100)</f>
        <v/>
      </c>
      <c r="S16" s="10" t="str">
        <f>IF(OR(S11="",S13=""),"",(S13-S11)*100)</f>
        <v/>
      </c>
      <c r="T16" s="10" t="str">
        <f>IF(OR(P16="",Q16=""),"",P16-Q16)</f>
        <v/>
      </c>
      <c r="U16" s="10" t="str">
        <f>IF(OR(P16="",R16=""),"",P16-R16)</f>
        <v/>
      </c>
      <c r="V16" s="10" t="str">
        <f>IF(OR(P16="",S16=""),"",P16-S16)</f>
        <v/>
      </c>
      <c r="W16" s="1" t="str">
        <f>IF(P16="","",IF(AND(U16&gt;3,V16&gt;0),"Rising",IF(AND(U16&lt;-3,V16&lt;0),"Falling","Flat")))</f>
        <v/>
      </c>
      <c r="X16" s="6"/>
    </row>
    <row r="17" spans="1:24">
      <c r="A17" s="91">
        <v>45992</v>
      </c>
      <c r="B17" s="92" t="s">
        <v>554</v>
      </c>
      <c r="C17" s="93" t="s">
        <v>575</v>
      </c>
      <c r="D17" s="94">
        <v>52.2</v>
      </c>
      <c r="E17" s="94">
        <v>51.9</v>
      </c>
      <c r="F17" s="94">
        <v>51.9</v>
      </c>
      <c r="G17" s="87">
        <f>IF(NOT(ISNUMBER(Table9[[#This Row],[Actual]])),"",IF(NOT(ISNUMBER(Table9[[#This Row],[Forecast]])),"",Table9[[#This Row],[Actual]]-Table9[[#This Row],[Forecast]]))</f>
        <v>0.300000000000004</v>
      </c>
      <c r="H17" s="87">
        <f>IF(NOT(ISNUMBER(Table9[[#This Row],[Actual]])),"",IF(NOT(ISNUMBER(Table9[[#This Row],[Previous]])),"",Table9[[#This Row],[Actual]]-Table9[[#This Row],[Previous]]))</f>
        <v>0.300000000000004</v>
      </c>
      <c r="I17" s="87" t="str">
        <f t="shared" si="0"/>
        <v>Accelerating</v>
      </c>
      <c r="J17">
        <f t="shared" si="1"/>
        <v>1</v>
      </c>
      <c r="K17">
        <f t="shared" si="2"/>
        <v>0.300000000000004</v>
      </c>
      <c r="L17">
        <f t="shared" si="3"/>
        <v>0.300000000000004</v>
      </c>
      <c r="N17" s="96">
        <v>46006</v>
      </c>
      <c r="O17" s="1" t="s">
        <v>580</v>
      </c>
      <c r="P17" s="10" t="str">
        <f>IF(OR(P12="",P14=""),"",(P14-P12)*100)</f>
        <v/>
      </c>
      <c r="Q17" s="10" t="str">
        <f>IF(OR(Q12="",Q14=""),"",(Q14-Q12)*100)</f>
        <v/>
      </c>
      <c r="R17" s="10" t="str">
        <f>IF(OR(R12="",R14=""),"",(R14-R12)*100)</f>
        <v/>
      </c>
      <c r="S17" s="10" t="str">
        <f>IF(OR(S12="",S14=""),"",(S14-S12)*100)</f>
        <v/>
      </c>
      <c r="T17" s="10" t="str">
        <f>IF(OR(P17="",Q17=""),"",P17-Q17)</f>
        <v/>
      </c>
      <c r="U17" s="10" t="str">
        <f>IF(OR(P17="",R17=""),"",P17-R17)</f>
        <v/>
      </c>
      <c r="V17" s="10" t="str">
        <f>IF(OR(P17="",S17=""),"",P17-S17)</f>
        <v/>
      </c>
      <c r="W17" s="1" t="str">
        <f>IF(P17="","",IF(AND(U17&gt;3,V17&gt;0),"Rising",IF(AND(U17&lt;-3,V17&lt;0),"Falling","Flat")))</f>
        <v/>
      </c>
      <c r="X17" s="6"/>
    </row>
    <row r="18" spans="1:24">
      <c r="A18" s="91">
        <v>45992</v>
      </c>
      <c r="B18" s="92" t="s">
        <v>554</v>
      </c>
      <c r="C18" s="93" t="s">
        <v>577</v>
      </c>
      <c r="D18" s="94">
        <v>58.5</v>
      </c>
      <c r="E18" s="94">
        <v>59.5</v>
      </c>
      <c r="F18" s="94">
        <v>58</v>
      </c>
      <c r="G18" s="87">
        <f>IF(NOT(ISNUMBER(Table9[[#This Row],[Actual]])),"",IF(NOT(ISNUMBER(Table9[[#This Row],[Forecast]])),"",Table9[[#This Row],[Actual]]-Table9[[#This Row],[Forecast]]))</f>
        <v>-1</v>
      </c>
      <c r="H18" s="87">
        <f>IF(NOT(ISNUMBER(Table9[[#This Row],[Actual]])),"",IF(NOT(ISNUMBER(Table9[[#This Row],[Previous]])),"",Table9[[#This Row],[Actual]]-Table9[[#This Row],[Previous]]))</f>
        <v>0.5</v>
      </c>
      <c r="I18" s="87" t="str">
        <f t="shared" si="0"/>
        <v>Mixed</v>
      </c>
      <c r="J18">
        <f t="shared" si="1"/>
        <v>1</v>
      </c>
      <c r="K18">
        <f t="shared" si="2"/>
        <v>-1</v>
      </c>
      <c r="L18">
        <f t="shared" si="3"/>
        <v>0.5</v>
      </c>
    </row>
    <row r="19" spans="1:24">
      <c r="A19" s="99">
        <v>45992</v>
      </c>
      <c r="B19" s="92" t="s">
        <v>554</v>
      </c>
      <c r="C19" s="100" t="s">
        <v>578</v>
      </c>
      <c r="D19" s="102">
        <v>48.2</v>
      </c>
      <c r="E19" s="102">
        <v>49</v>
      </c>
      <c r="F19" s="102">
        <v>48.7</v>
      </c>
      <c r="G19" s="87">
        <f>IF(NOT(ISNUMBER(Table9[[#This Row],[Actual]])),"",IF(NOT(ISNUMBER(Table9[[#This Row],[Forecast]])),"",Table9[[#This Row],[Actual]]-Table9[[#This Row],[Forecast]]))</f>
        <v>-0.799999999999997</v>
      </c>
      <c r="H19" s="87">
        <f>IF(NOT(ISNUMBER(Table9[[#This Row],[Actual]])),"",IF(NOT(ISNUMBER(Table9[[#This Row],[Previous]])),"",Table9[[#This Row],[Actual]]-Table9[[#This Row],[Previous]]))</f>
        <v>-0.5</v>
      </c>
      <c r="I19" s="87" t="str">
        <f t="shared" si="0"/>
        <v>Slowing</v>
      </c>
      <c r="J19">
        <f t="shared" si="1"/>
        <v>1</v>
      </c>
      <c r="K19">
        <f t="shared" si="2"/>
        <v>-0.799999999999997</v>
      </c>
      <c r="L19">
        <f t="shared" si="3"/>
        <v>-0.5</v>
      </c>
      <c r="N19" s="103" t="s">
        <v>32</v>
      </c>
      <c r="O19" s="103" t="s">
        <v>466</v>
      </c>
      <c r="P19" s="103" t="s">
        <v>543</v>
      </c>
      <c r="Q19" s="103" t="s">
        <v>544</v>
      </c>
      <c r="R19" s="103" t="s">
        <v>545</v>
      </c>
      <c r="S19" s="103" t="s">
        <v>546</v>
      </c>
      <c r="T19" s="103" t="s">
        <v>547</v>
      </c>
      <c r="U19" s="103" t="s">
        <v>548</v>
      </c>
      <c r="V19" s="103" t="s">
        <v>549</v>
      </c>
      <c r="W19" s="103" t="s">
        <v>88</v>
      </c>
      <c r="X19" s="103" t="s">
        <v>550</v>
      </c>
    </row>
    <row r="20" spans="1:24">
      <c r="A20" s="91">
        <v>45993</v>
      </c>
      <c r="B20" s="92" t="s">
        <v>554</v>
      </c>
      <c r="C20" s="93" t="s">
        <v>581</v>
      </c>
      <c r="D20" s="94" t="s">
        <v>582</v>
      </c>
      <c r="E20" s="94" t="s">
        <v>582</v>
      </c>
      <c r="F20" s="94" t="s">
        <v>583</v>
      </c>
      <c r="G20" s="87" t="str">
        <f>IF(NOT(ISNUMBER(Table9[[#This Row],[Actual]])),"",IF(NOT(ISNUMBER(Table9[[#This Row],[Forecast]])),"",Table9[[#This Row],[Actual]]-Table9[[#This Row],[Forecast]]))</f>
        <v/>
      </c>
      <c r="H20" s="87" t="str">
        <f>IF(NOT(ISNUMBER(Table9[[#This Row],[Actual]])),"",IF(NOT(ISNUMBER(Table9[[#This Row],[Previous]])),"",Table9[[#This Row],[Actual]]-Table9[[#This Row],[Previous]]))</f>
        <v/>
      </c>
      <c r="I20" s="87" t="str">
        <f t="shared" si="0"/>
        <v>N/A</v>
      </c>
      <c r="J20">
        <f t="shared" si="1"/>
        <v>1</v>
      </c>
      <c r="K20" t="str">
        <f t="shared" si="2"/>
        <v/>
      </c>
      <c r="L20" t="str">
        <f t="shared" si="3"/>
        <v/>
      </c>
      <c r="N20" s="96">
        <v>46006</v>
      </c>
      <c r="O20" s="1" t="s">
        <v>584</v>
      </c>
      <c r="P20" s="10"/>
      <c r="Q20" s="10"/>
      <c r="R20" s="10"/>
      <c r="S20" s="10"/>
      <c r="T20" s="10" t="str">
        <f>IF(OR(P20="",Q20=""),"",P20-Q20)</f>
        <v/>
      </c>
      <c r="U20" s="10" t="str">
        <f>IF(OR(P20="",R20=""),"",P20-R20)</f>
        <v/>
      </c>
      <c r="V20" s="10" t="str">
        <f>IF(OR(P20="",S20=""),"",P20-S20)</f>
        <v/>
      </c>
      <c r="W20" s="1" t="str">
        <f>IF(P20="","",IF(AND(U20&gt;0.03,V20&gt;0),"Rising",IF(AND(U20&lt;-0.03,V20&lt;0),"Falling","Flat")))</f>
        <v/>
      </c>
      <c r="X20" s="6"/>
    </row>
    <row r="21" spans="1:24">
      <c r="A21" s="91">
        <v>45993</v>
      </c>
      <c r="B21" s="92" t="s">
        <v>554</v>
      </c>
      <c r="C21" s="93" t="s">
        <v>585</v>
      </c>
      <c r="D21" s="98">
        <v>0</v>
      </c>
      <c r="E21" s="98">
        <v>0.001</v>
      </c>
      <c r="F21" s="98">
        <v>0.001</v>
      </c>
      <c r="G21" s="87">
        <f>IF(NOT(ISNUMBER(Table9[[#This Row],[Actual]])),"",IF(NOT(ISNUMBER(Table9[[#This Row],[Forecast]])),"",Table9[[#This Row],[Actual]]-Table9[[#This Row],[Forecast]]))</f>
        <v>-0.001</v>
      </c>
      <c r="H21" s="87">
        <f>IF(NOT(ISNUMBER(Table9[[#This Row],[Actual]])),"",IF(NOT(ISNUMBER(Table9[[#This Row],[Previous]])),"",Table9[[#This Row],[Actual]]-Table9[[#This Row],[Previous]]))</f>
        <v>-0.001</v>
      </c>
      <c r="I21" s="87" t="str">
        <f t="shared" si="0"/>
        <v>Slowing</v>
      </c>
      <c r="J21">
        <f t="shared" si="1"/>
        <v>1</v>
      </c>
      <c r="K21">
        <f t="shared" si="2"/>
        <v>-0.001</v>
      </c>
      <c r="L21">
        <f t="shared" si="3"/>
        <v>-0.001</v>
      </c>
      <c r="N21" s="96">
        <v>46006</v>
      </c>
      <c r="O21" s="1" t="s">
        <v>586</v>
      </c>
      <c r="P21" s="10"/>
      <c r="Q21" s="10"/>
      <c r="R21" s="10"/>
      <c r="S21" s="10"/>
      <c r="T21" s="10" t="str">
        <f>IF(OR(P21="",Q21=""),"",P21-Q21)</f>
        <v/>
      </c>
      <c r="U21" s="10" t="str">
        <f>IF(OR(P21="",R21=""),"",P21-R21)</f>
        <v/>
      </c>
      <c r="V21" s="10" t="str">
        <f>IF(OR(P21="",S21=""),"",P21-S21)</f>
        <v/>
      </c>
      <c r="W21" s="1" t="str">
        <f>IF(P21="","",IF(AND(U21&gt;0.03,V21&gt;0),"Rising",IF(AND(U21&lt;-0.03,V21&lt;0),"Falling","Flat")))</f>
        <v/>
      </c>
      <c r="X21" s="6"/>
    </row>
    <row r="22" spans="1:24">
      <c r="A22" s="91">
        <v>45993</v>
      </c>
      <c r="B22" s="92" t="s">
        <v>554</v>
      </c>
      <c r="C22" s="93" t="s">
        <v>587</v>
      </c>
      <c r="D22" s="98">
        <v>0.759</v>
      </c>
      <c r="E22" s="98">
        <v>0.769</v>
      </c>
      <c r="F22" s="98">
        <v>0.759</v>
      </c>
      <c r="G22" s="87">
        <f>IF(NOT(ISNUMBER(Table9[[#This Row],[Actual]])),"",IF(NOT(ISNUMBER(Table9[[#This Row],[Forecast]])),"",Table9[[#This Row],[Actual]]-Table9[[#This Row],[Forecast]]))</f>
        <v>-0.01</v>
      </c>
      <c r="H22" s="87">
        <f>IF(NOT(ISNUMBER(Table9[[#This Row],[Actual]])),"",IF(NOT(ISNUMBER(Table9[[#This Row],[Previous]])),"",Table9[[#This Row],[Actual]]-Table9[[#This Row],[Previous]]))</f>
        <v>0</v>
      </c>
      <c r="I22" s="87" t="str">
        <f t="shared" si="0"/>
        <v>Slowing</v>
      </c>
      <c r="J22">
        <f t="shared" si="1"/>
        <v>1</v>
      </c>
      <c r="K22">
        <f t="shared" si="2"/>
        <v>-0.01</v>
      </c>
      <c r="L22">
        <f t="shared" si="3"/>
        <v>0</v>
      </c>
      <c r="N22" s="96">
        <v>46006</v>
      </c>
      <c r="O22" s="1" t="s">
        <v>588</v>
      </c>
      <c r="P22" s="10"/>
      <c r="Q22" s="10"/>
      <c r="R22" s="10"/>
      <c r="S22" s="10"/>
      <c r="T22" s="10" t="str">
        <f>IF(OR(P22="",Q22=""),"",P22-Q22)</f>
        <v/>
      </c>
      <c r="U22" s="10" t="str">
        <f>IF(OR(P22="",R22=""),"",P22-R22)</f>
        <v/>
      </c>
      <c r="V22" s="10" t="str">
        <f>IF(OR(P22="",S22=""),"",P22-S22)</f>
        <v/>
      </c>
      <c r="W22" s="1" t="str">
        <f>IF(P22="","",IF(AND(U22&gt;0.03,V22&gt;0),"Rising",IF(AND(U22&lt;-0.03,V22&lt;0),"Falling","Flat")))</f>
        <v/>
      </c>
      <c r="X22" s="6"/>
    </row>
    <row r="23" spans="1:24">
      <c r="A23" s="99">
        <v>45993</v>
      </c>
      <c r="B23" s="104" t="s">
        <v>554</v>
      </c>
      <c r="C23" s="100" t="s">
        <v>589</v>
      </c>
      <c r="D23" s="102">
        <v>52.6</v>
      </c>
      <c r="E23" s="102">
        <v>52</v>
      </c>
      <c r="F23" s="102">
        <v>52.4</v>
      </c>
      <c r="G23" s="87">
        <f>IF(NOT(ISNUMBER(Table9[[#This Row],[Actual]])),"",IF(NOT(ISNUMBER(Table9[[#This Row],[Forecast]])),"",Table9[[#This Row],[Actual]]-Table9[[#This Row],[Forecast]]))</f>
        <v>0.600000000000001</v>
      </c>
      <c r="H23" s="87">
        <f>IF(NOT(ISNUMBER(Table9[[#This Row],[Actual]])),"",IF(NOT(ISNUMBER(Table9[[#This Row],[Previous]])),"",Table9[[#This Row],[Actual]]-Table9[[#This Row],[Previous]]))</f>
        <v>0.200000000000003</v>
      </c>
      <c r="I23" s="87" t="str">
        <f t="shared" si="0"/>
        <v>Accelerating</v>
      </c>
      <c r="J23">
        <f t="shared" si="1"/>
        <v>1</v>
      </c>
      <c r="K23">
        <f t="shared" si="2"/>
        <v>0.600000000000001</v>
      </c>
      <c r="L23">
        <f t="shared" si="3"/>
        <v>0.200000000000003</v>
      </c>
      <c r="N23" s="96">
        <v>46006</v>
      </c>
      <c r="O23" s="1" t="s">
        <v>590</v>
      </c>
      <c r="P23" s="10"/>
      <c r="Q23" s="10"/>
      <c r="R23" s="10"/>
      <c r="S23" s="10"/>
      <c r="T23" s="10" t="str">
        <f>IF(OR(P23="",Q23=""),"",P23-Q23)</f>
        <v/>
      </c>
      <c r="U23" s="10" t="str">
        <f>IF(OR(P23="",R23=""),"",P23-R23)</f>
        <v/>
      </c>
      <c r="V23" s="10" t="str">
        <f>IF(OR(P23="",S23=""),"",P23-S23)</f>
        <v/>
      </c>
      <c r="W23" s="1" t="str">
        <f>IF(P23="","",IF(AND(U23&gt;0.03,V23&gt;0),"Rising",IF(AND(U23&lt;-0.03,V23&lt;0),"Falling","Flat")))</f>
        <v/>
      </c>
      <c r="X23" s="6"/>
    </row>
    <row r="24" spans="1:24">
      <c r="A24" s="91">
        <v>45995</v>
      </c>
      <c r="B24" s="104" t="s">
        <v>554</v>
      </c>
      <c r="C24" s="93" t="s">
        <v>591</v>
      </c>
      <c r="D24" s="98">
        <v>0.002</v>
      </c>
      <c r="E24" s="98">
        <v>0.003</v>
      </c>
      <c r="F24" s="98">
        <v>-0.03</v>
      </c>
      <c r="G24" s="87">
        <f>IF(NOT(ISNUMBER(Table9[[#This Row],[Actual]])),"",IF(NOT(ISNUMBER(Table9[[#This Row],[Forecast]])),"",Table9[[#This Row],[Actual]]-Table9[[#This Row],[Forecast]]))</f>
        <v>-0.001</v>
      </c>
      <c r="H24" s="87">
        <f>IF(NOT(ISNUMBER(Table9[[#This Row],[Actual]])),"",IF(NOT(ISNUMBER(Table9[[#This Row],[Previous]])),"",Table9[[#This Row],[Actual]]-Table9[[#This Row],[Previous]]))</f>
        <v>0.032</v>
      </c>
      <c r="I24" s="87" t="str">
        <f t="shared" si="0"/>
        <v>Mixed</v>
      </c>
      <c r="J24">
        <f t="shared" si="1"/>
        <v>1</v>
      </c>
      <c r="K24">
        <f t="shared" si="2"/>
        <v>-0.001</v>
      </c>
      <c r="L24">
        <f t="shared" si="3"/>
        <v>0.032</v>
      </c>
      <c r="N24" s="103" t="s">
        <v>32</v>
      </c>
      <c r="O24" s="103" t="s">
        <v>466</v>
      </c>
      <c r="P24" s="103" t="s">
        <v>543</v>
      </c>
      <c r="Q24" s="103" t="s">
        <v>544</v>
      </c>
      <c r="R24" s="103" t="s">
        <v>545</v>
      </c>
      <c r="S24" s="103" t="s">
        <v>546</v>
      </c>
      <c r="T24" s="103" t="s">
        <v>547</v>
      </c>
      <c r="U24" s="103" t="s">
        <v>548</v>
      </c>
      <c r="V24" s="103" t="s">
        <v>549</v>
      </c>
      <c r="W24" s="103" t="s">
        <v>88</v>
      </c>
      <c r="X24" s="103" t="s">
        <v>550</v>
      </c>
    </row>
    <row r="25" spans="1:24">
      <c r="A25" s="99">
        <v>45995</v>
      </c>
      <c r="B25" s="104" t="s">
        <v>565</v>
      </c>
      <c r="C25" s="100" t="s">
        <v>566</v>
      </c>
      <c r="D25" s="102">
        <v>191000</v>
      </c>
      <c r="E25" s="102">
        <v>219000</v>
      </c>
      <c r="F25" s="102">
        <v>218000</v>
      </c>
      <c r="G25" s="87">
        <f>IF(NOT(ISNUMBER(Table9[[#This Row],[Actual]])),"",IF(NOT(ISNUMBER(Table9[[#This Row],[Forecast]])),"",Table9[[#This Row],[Actual]]-Table9[[#This Row],[Forecast]]))</f>
        <v>-28000</v>
      </c>
      <c r="H25" s="87">
        <f>IF(NOT(ISNUMBER(Table9[[#This Row],[Actual]])),"",IF(NOT(ISNUMBER(Table9[[#This Row],[Previous]])),"",Table9[[#This Row],[Actual]]-Table9[[#This Row],[Previous]]))</f>
        <v>-27000</v>
      </c>
      <c r="I25" s="87" t="str">
        <f t="shared" si="0"/>
        <v>Accelerating</v>
      </c>
      <c r="J25">
        <f t="shared" si="1"/>
        <v>-1</v>
      </c>
      <c r="K25">
        <f t="shared" si="2"/>
        <v>28000</v>
      </c>
      <c r="L25">
        <f t="shared" si="3"/>
        <v>27000</v>
      </c>
      <c r="N25" s="96">
        <v>46006</v>
      </c>
      <c r="O25" s="1" t="s">
        <v>592</v>
      </c>
      <c r="P25" s="10" t="str">
        <f>IF(OR(P20="",P22=""),"",(P22-P20)*100)</f>
        <v/>
      </c>
      <c r="Q25" s="10" t="str">
        <f>IF(OR(Q20="",Q22=""),"",(Q22-Q20)*100)</f>
        <v/>
      </c>
      <c r="R25" s="10" t="str">
        <f>IF(OR(R20="",R22=""),"",(R22-R20)*100)</f>
        <v/>
      </c>
      <c r="S25" s="10" t="str">
        <f>IF(OR(S20="",S22=""),"",(S22-S20)*100)</f>
        <v/>
      </c>
      <c r="T25" s="10" t="str">
        <f>IF(OR(P25="",Q25=""),"",P25-Q25)</f>
        <v/>
      </c>
      <c r="U25" s="10" t="str">
        <f>IF(OR(P25="",R25=""),"",P25-R25)</f>
        <v/>
      </c>
      <c r="V25" s="10" t="str">
        <f>IF(OR(P25="",S25=""),"",P25-S25)</f>
        <v/>
      </c>
      <c r="W25" s="1" t="str">
        <f>IF(P25="","",IF(AND(U25&gt;3,V25&gt;0),"Rising",IF(AND(U25&lt;-3,V25&lt;0),"Falling","Flat")))</f>
        <v/>
      </c>
      <c r="X25" s="6"/>
    </row>
    <row r="26" spans="1:24">
      <c r="A26" s="91">
        <v>45996</v>
      </c>
      <c r="B26" s="92" t="s">
        <v>551</v>
      </c>
      <c r="C26" s="93" t="s">
        <v>593</v>
      </c>
      <c r="D26" s="98">
        <v>0.005</v>
      </c>
      <c r="E26" s="98">
        <v>0.004</v>
      </c>
      <c r="F26" s="98">
        <v>-0.004</v>
      </c>
      <c r="G26" s="87">
        <f>IF(NOT(ISNUMBER(Table9[[#This Row],[Actual]])),"",IF(NOT(ISNUMBER(Table9[[#This Row],[Forecast]])),"",Table9[[#This Row],[Actual]]-Table9[[#This Row],[Forecast]]))</f>
        <v>0.001</v>
      </c>
      <c r="H26" s="87">
        <f>IF(NOT(ISNUMBER(Table9[[#This Row],[Actual]])),"",IF(NOT(ISNUMBER(Table9[[#This Row],[Previous]])),"",Table9[[#This Row],[Actual]]-Table9[[#This Row],[Previous]]))</f>
        <v>0.009</v>
      </c>
      <c r="I26" s="87" t="str">
        <f t="shared" si="0"/>
        <v>Accelerating</v>
      </c>
      <c r="J26">
        <f t="shared" si="1"/>
        <v>1</v>
      </c>
      <c r="K26">
        <f t="shared" si="2"/>
        <v>0.001</v>
      </c>
      <c r="L26">
        <f t="shared" si="3"/>
        <v>0.009</v>
      </c>
      <c r="N26" s="96">
        <v>46006</v>
      </c>
      <c r="O26" s="1" t="s">
        <v>594</v>
      </c>
      <c r="P26" s="10" t="str">
        <f>IF(OR(P21="",P23=""),"",(P23-P21)*100)</f>
        <v/>
      </c>
      <c r="Q26" s="10" t="str">
        <f>IF(OR(Q21="",Q23=""),"",(Q23-Q21)*100)</f>
        <v/>
      </c>
      <c r="R26" s="10" t="str">
        <f>IF(OR(R21="",R23=""),"",(R23-R21)*100)</f>
        <v/>
      </c>
      <c r="S26" s="10" t="str">
        <f>IF(OR(S21="",S23=""),"",(S23-S21)*100)</f>
        <v/>
      </c>
      <c r="T26" s="10" t="str">
        <f>IF(OR(P26="",Q26=""),"",P26-Q26)</f>
        <v/>
      </c>
      <c r="U26" s="10" t="str">
        <f>IF(OR(P26="",R26=""),"",P26-R26)</f>
        <v/>
      </c>
      <c r="V26" s="10" t="str">
        <f>IF(OR(P26="",S26=""),"",P26-S26)</f>
        <v/>
      </c>
      <c r="W26" s="1" t="str">
        <f>IF(P26="","",IF(AND(U26&gt;3,V26&gt;0),"Rising",IF(AND(U26&lt;-3,V26&lt;0),"Falling","Flat")))</f>
        <v/>
      </c>
      <c r="X26" s="6"/>
    </row>
    <row r="27" spans="1:24">
      <c r="A27" s="91">
        <v>45996</v>
      </c>
      <c r="B27" s="92" t="s">
        <v>551</v>
      </c>
      <c r="C27" s="93" t="s">
        <v>595</v>
      </c>
      <c r="D27" s="98">
        <v>0.003</v>
      </c>
      <c r="E27" s="98">
        <v>0.002</v>
      </c>
      <c r="F27" s="98">
        <v>0.002</v>
      </c>
      <c r="G27" s="87">
        <f>IF(NOT(ISNUMBER(Table9[[#This Row],[Actual]])),"",IF(NOT(ISNUMBER(Table9[[#This Row],[Forecast]])),"",Table9[[#This Row],[Actual]]-Table9[[#This Row],[Forecast]]))</f>
        <v>0.001</v>
      </c>
      <c r="H27" s="87">
        <f>IF(NOT(ISNUMBER(Table9[[#This Row],[Actual]])),"",IF(NOT(ISNUMBER(Table9[[#This Row],[Previous]])),"",Table9[[#This Row],[Actual]]-Table9[[#This Row],[Previous]]))</f>
        <v>0.001</v>
      </c>
      <c r="I27" s="87" t="str">
        <f t="shared" si="0"/>
        <v>Accelerating</v>
      </c>
      <c r="J27">
        <f t="shared" si="1"/>
        <v>1</v>
      </c>
      <c r="K27">
        <f t="shared" si="2"/>
        <v>0.001</v>
      </c>
      <c r="L27">
        <f t="shared" si="3"/>
        <v>0.001</v>
      </c>
    </row>
    <row r="28" spans="1:24">
      <c r="A28" s="91">
        <v>45996</v>
      </c>
      <c r="B28" s="92" t="s">
        <v>554</v>
      </c>
      <c r="C28" s="93" t="s">
        <v>596</v>
      </c>
      <c r="D28" s="94">
        <v>53.3</v>
      </c>
      <c r="E28" s="94">
        <v>52</v>
      </c>
      <c r="F28" s="94">
        <v>51</v>
      </c>
      <c r="G28" s="87">
        <f>IF(NOT(ISNUMBER(Table9[[#This Row],[Actual]])),"",IF(NOT(ISNUMBER(Table9[[#This Row],[Forecast]])),"",Table9[[#This Row],[Actual]]-Table9[[#This Row],[Forecast]]))</f>
        <v>1.3</v>
      </c>
      <c r="H28" s="87">
        <f>IF(NOT(ISNUMBER(Table9[[#This Row],[Actual]])),"",IF(NOT(ISNUMBER(Table9[[#This Row],[Previous]])),"",Table9[[#This Row],[Actual]]-Table9[[#This Row],[Previous]]))</f>
        <v>2.3</v>
      </c>
      <c r="I28" s="87" t="str">
        <f t="shared" si="0"/>
        <v>Accelerating</v>
      </c>
      <c r="J28">
        <f t="shared" si="1"/>
        <v>1</v>
      </c>
      <c r="K28">
        <f t="shared" si="2"/>
        <v>1.3</v>
      </c>
      <c r="L28">
        <f t="shared" si="3"/>
        <v>2.3</v>
      </c>
    </row>
    <row r="29" spans="1:24">
      <c r="A29" s="91">
        <v>45996</v>
      </c>
      <c r="B29" s="92" t="s">
        <v>554</v>
      </c>
      <c r="C29" s="93" t="s">
        <v>597</v>
      </c>
      <c r="D29" s="98">
        <v>0.004</v>
      </c>
      <c r="E29" s="98">
        <v>0.003</v>
      </c>
      <c r="F29" s="98">
        <v>0.004</v>
      </c>
      <c r="G29" s="87">
        <f>IF(NOT(ISNUMBER(Table9[[#This Row],[Actual]])),"",IF(NOT(ISNUMBER(Table9[[#This Row],[Forecast]])),"",Table9[[#This Row],[Actual]]-Table9[[#This Row],[Forecast]]))</f>
        <v>0.001</v>
      </c>
      <c r="H29" s="87">
        <f>IF(NOT(ISNUMBER(Table9[[#This Row],[Actual]])),"",IF(NOT(ISNUMBER(Table9[[#This Row],[Previous]])),"",Table9[[#This Row],[Actual]]-Table9[[#This Row],[Previous]]))</f>
        <v>0</v>
      </c>
      <c r="I29" s="87" t="str">
        <f t="shared" si="0"/>
        <v>Accelerating</v>
      </c>
      <c r="J29">
        <f t="shared" si="1"/>
        <v>1</v>
      </c>
      <c r="K29">
        <f t="shared" si="2"/>
        <v>0.001</v>
      </c>
      <c r="L29">
        <f t="shared" si="3"/>
        <v>0</v>
      </c>
    </row>
    <row r="30" spans="1:24">
      <c r="A30" s="99">
        <v>45996</v>
      </c>
      <c r="B30" s="104" t="s">
        <v>554</v>
      </c>
      <c r="C30" s="100" t="s">
        <v>598</v>
      </c>
      <c r="D30" s="101">
        <v>0.003</v>
      </c>
      <c r="E30" s="101">
        <v>0.003</v>
      </c>
      <c r="F30" s="101">
        <v>0.005</v>
      </c>
      <c r="G30" s="87">
        <f>IF(NOT(ISNUMBER(Table9[[#This Row],[Actual]])),"",IF(NOT(ISNUMBER(Table9[[#This Row],[Forecast]])),"",Table9[[#This Row],[Actual]]-Table9[[#This Row],[Forecast]]))</f>
        <v>0</v>
      </c>
      <c r="H30" s="87">
        <f>IF(NOT(ISNUMBER(Table9[[#This Row],[Actual]])),"",IF(NOT(ISNUMBER(Table9[[#This Row],[Previous]])),"",Table9[[#This Row],[Actual]]-Table9[[#This Row],[Previous]]))</f>
        <v>-0.002</v>
      </c>
      <c r="I30" s="87" t="str">
        <f t="shared" si="0"/>
        <v>Mixed</v>
      </c>
      <c r="J30">
        <f t="shared" si="1"/>
        <v>1</v>
      </c>
      <c r="K30">
        <f t="shared" si="2"/>
        <v>0</v>
      </c>
      <c r="L30">
        <f t="shared" si="3"/>
        <v>-0.002</v>
      </c>
    </row>
    <row r="31" spans="1:24">
      <c r="A31" s="91">
        <v>45996</v>
      </c>
      <c r="B31" s="92" t="s">
        <v>554</v>
      </c>
      <c r="C31" s="93" t="s">
        <v>599</v>
      </c>
      <c r="D31" s="94">
        <v>92000000</v>
      </c>
      <c r="E31" s="94">
        <v>118000000</v>
      </c>
      <c r="F31" s="94">
        <v>110000000</v>
      </c>
      <c r="G31" s="87">
        <f>IF(NOT(ISNUMBER(Table9[[#This Row],[Actual]])),"",IF(NOT(ISNUMBER(Table9[[#This Row],[Forecast]])),"",Table9[[#This Row],[Actual]]-Table9[[#This Row],[Forecast]]))</f>
        <v>-26000000</v>
      </c>
      <c r="H31" s="87">
        <f>IF(NOT(ISNUMBER(Table9[[#This Row],[Actual]])),"",IF(NOT(ISNUMBER(Table9[[#This Row],[Previous]])),"",Table9[[#This Row],[Actual]]-Table9[[#This Row],[Previous]]))</f>
        <v>-18000000</v>
      </c>
      <c r="I31" s="87" t="str">
        <f t="shared" si="0"/>
        <v>Slowing</v>
      </c>
      <c r="J31">
        <f t="shared" si="1"/>
        <v>1</v>
      </c>
      <c r="K31">
        <f t="shared" si="2"/>
        <v>-26000000</v>
      </c>
      <c r="L31">
        <f t="shared" si="3"/>
        <v>-18000000</v>
      </c>
    </row>
    <row r="32" spans="1:24">
      <c r="A32" s="91">
        <v>45996</v>
      </c>
      <c r="B32" s="92" t="s">
        <v>561</v>
      </c>
      <c r="C32" s="93" t="s">
        <v>600</v>
      </c>
      <c r="D32" s="98">
        <v>0.002</v>
      </c>
      <c r="E32" s="98">
        <v>0.002</v>
      </c>
      <c r="F32" s="98">
        <v>0.002</v>
      </c>
      <c r="G32" s="87">
        <f>IF(NOT(ISNUMBER(Table9[[#This Row],[Actual]])),"",IF(NOT(ISNUMBER(Table9[[#This Row],[Forecast]])),"",Table9[[#This Row],[Actual]]-Table9[[#This Row],[Forecast]]))</f>
        <v>0</v>
      </c>
      <c r="H32" s="87">
        <f>IF(NOT(ISNUMBER(Table9[[#This Row],[Actual]])),"",IF(NOT(ISNUMBER(Table9[[#This Row],[Previous]])),"",Table9[[#This Row],[Actual]]-Table9[[#This Row],[Previous]]))</f>
        <v>0</v>
      </c>
      <c r="I32" s="87" t="str">
        <f t="shared" si="0"/>
        <v>Stable</v>
      </c>
      <c r="J32">
        <f t="shared" si="1"/>
        <v>1</v>
      </c>
      <c r="K32">
        <f t="shared" si="2"/>
        <v>0</v>
      </c>
      <c r="L32">
        <f t="shared" si="3"/>
        <v>0</v>
      </c>
    </row>
    <row r="33" spans="1:12">
      <c r="A33" s="91">
        <v>45996</v>
      </c>
      <c r="B33" s="92" t="s">
        <v>561</v>
      </c>
      <c r="C33" s="93" t="s">
        <v>601</v>
      </c>
      <c r="D33" s="98">
        <v>0.041</v>
      </c>
      <c r="E33" s="94" t="s">
        <v>582</v>
      </c>
      <c r="F33" s="98">
        <v>0.045</v>
      </c>
      <c r="G33" s="87" t="str">
        <f>IF(NOT(ISNUMBER(Table9[[#This Row],[Actual]])),"",IF(NOT(ISNUMBER(Table9[[#This Row],[Forecast]])),"",Table9[[#This Row],[Actual]]-Table9[[#This Row],[Forecast]]))</f>
        <v/>
      </c>
      <c r="H33" s="87">
        <f>IF(NOT(ISNUMBER(Table9[[#This Row],[Actual]])),"",IF(NOT(ISNUMBER(Table9[[#This Row],[Previous]])),"",Table9[[#This Row],[Actual]]-Table9[[#This Row],[Previous]]))</f>
        <v>-0.004</v>
      </c>
      <c r="I33" s="87" t="str">
        <f t="shared" si="0"/>
        <v>Accelerating</v>
      </c>
      <c r="J33">
        <f t="shared" si="1"/>
        <v>-1</v>
      </c>
      <c r="K33" t="str">
        <f t="shared" si="2"/>
        <v/>
      </c>
      <c r="L33">
        <f t="shared" si="3"/>
        <v>0.004</v>
      </c>
    </row>
    <row r="34" spans="1:12">
      <c r="A34" s="91">
        <v>45996</v>
      </c>
      <c r="B34" s="92" t="s">
        <v>602</v>
      </c>
      <c r="C34" s="93" t="s">
        <v>603</v>
      </c>
      <c r="D34" s="94">
        <v>53600</v>
      </c>
      <c r="E34" s="94">
        <v>-1500</v>
      </c>
      <c r="F34" s="94">
        <v>66600</v>
      </c>
      <c r="G34" s="87">
        <f>IF(NOT(ISNUMBER(Table9[[#This Row],[Actual]])),"",IF(NOT(ISNUMBER(Table9[[#This Row],[Forecast]])),"",Table9[[#This Row],[Actual]]-Table9[[#This Row],[Forecast]]))</f>
        <v>55100</v>
      </c>
      <c r="H34" s="87">
        <f>IF(NOT(ISNUMBER(Table9[[#This Row],[Actual]])),"",IF(NOT(ISNUMBER(Table9[[#This Row],[Previous]])),"",Table9[[#This Row],[Actual]]-Table9[[#This Row],[Previous]]))</f>
        <v>-13000</v>
      </c>
      <c r="I34" s="87" t="str">
        <f t="shared" si="0"/>
        <v>Mixed</v>
      </c>
      <c r="J34">
        <f t="shared" si="1"/>
        <v>1</v>
      </c>
      <c r="K34">
        <f t="shared" si="2"/>
        <v>55100</v>
      </c>
      <c r="L34">
        <f t="shared" si="3"/>
        <v>-13000</v>
      </c>
    </row>
    <row r="35" spans="1:12">
      <c r="A35" s="91">
        <v>46000</v>
      </c>
      <c r="B35" s="92" t="s">
        <v>551</v>
      </c>
      <c r="C35" s="93" t="s">
        <v>604</v>
      </c>
      <c r="D35" s="94">
        <v>16.9</v>
      </c>
      <c r="E35" s="94">
        <v>15.9</v>
      </c>
      <c r="F35" s="94">
        <v>15.3</v>
      </c>
      <c r="G35" s="87">
        <f>IF(NOT(ISNUMBER(Table9[[#This Row],[Actual]])),"",IF(NOT(ISNUMBER(Table9[[#This Row],[Forecast]])),"",Table9[[#This Row],[Actual]]-Table9[[#This Row],[Forecast]]))</f>
        <v>0.999999999999998</v>
      </c>
      <c r="H35" s="87">
        <f>IF(NOT(ISNUMBER(Table9[[#This Row],[Actual]])),"",IF(NOT(ISNUMBER(Table9[[#This Row],[Previous]])),"",Table9[[#This Row],[Actual]]-Table9[[#This Row],[Previous]]))</f>
        <v>1.6</v>
      </c>
      <c r="I35" s="87" t="str">
        <f t="shared" si="0"/>
        <v>Accelerating</v>
      </c>
      <c r="J35">
        <f t="shared" si="1"/>
        <v>1</v>
      </c>
      <c r="K35">
        <f t="shared" si="2"/>
        <v>0.999999999999998</v>
      </c>
      <c r="L35">
        <f t="shared" si="3"/>
        <v>1.6</v>
      </c>
    </row>
    <row r="36" spans="1:12">
      <c r="A36" s="91">
        <v>45996</v>
      </c>
      <c r="B36" s="92" t="s">
        <v>602</v>
      </c>
      <c r="C36" s="93" t="s">
        <v>605</v>
      </c>
      <c r="D36" s="98">
        <v>0.065</v>
      </c>
      <c r="E36" s="98">
        <v>0.07</v>
      </c>
      <c r="F36" s="98">
        <v>0.069</v>
      </c>
      <c r="G36" s="87">
        <f>IF(NOT(ISNUMBER(Table9[[#This Row],[Actual]])),"",IF(NOT(ISNUMBER(Table9[[#This Row],[Forecast]])),"",Table9[[#This Row],[Actual]]-Table9[[#This Row],[Forecast]]))</f>
        <v>-0.005</v>
      </c>
      <c r="H36" s="87">
        <f>IF(NOT(ISNUMBER(Table9[[#This Row],[Actual]])),"",IF(NOT(ISNUMBER(Table9[[#This Row],[Previous]])),"",Table9[[#This Row],[Actual]]-Table9[[#This Row],[Previous]]))</f>
        <v>-0.004</v>
      </c>
      <c r="I36" s="87" t="str">
        <f t="shared" si="0"/>
        <v>Accelerating</v>
      </c>
      <c r="J36">
        <f t="shared" si="1"/>
        <v>-1</v>
      </c>
      <c r="K36">
        <f t="shared" si="2"/>
        <v>0.005</v>
      </c>
      <c r="L36">
        <f t="shared" si="3"/>
        <v>0.004</v>
      </c>
    </row>
    <row r="37" spans="1:12">
      <c r="A37" s="91">
        <v>45997</v>
      </c>
      <c r="B37" s="92" t="s">
        <v>551</v>
      </c>
      <c r="C37" s="93" t="s">
        <v>606</v>
      </c>
      <c r="D37" s="98">
        <v>0.018</v>
      </c>
      <c r="E37" s="98">
        <v>0.002</v>
      </c>
      <c r="F37" s="98">
        <v>0.013</v>
      </c>
      <c r="G37" s="87">
        <f>IF(NOT(ISNUMBER(Table9[[#This Row],[Actual]])),"",IF(NOT(ISNUMBER(Table9[[#This Row],[Forecast]])),"",Table9[[#This Row],[Actual]]-Table9[[#This Row],[Forecast]]))</f>
        <v>0.016</v>
      </c>
      <c r="H37" s="87">
        <f>IF(NOT(ISNUMBER(Table9[[#This Row],[Actual]])),"",IF(NOT(ISNUMBER(Table9[[#This Row],[Previous]])),"",Table9[[#This Row],[Actual]]-Table9[[#This Row],[Previous]]))</f>
        <v>0.005</v>
      </c>
      <c r="I37" s="87" t="str">
        <f t="shared" si="0"/>
        <v>Accelerating</v>
      </c>
      <c r="J37">
        <f t="shared" si="1"/>
        <v>1</v>
      </c>
      <c r="K37">
        <f t="shared" si="2"/>
        <v>0.016</v>
      </c>
      <c r="L37">
        <f t="shared" si="3"/>
        <v>0.005</v>
      </c>
    </row>
    <row r="38" spans="1:12">
      <c r="A38" s="91">
        <v>46000</v>
      </c>
      <c r="B38" s="92" t="s">
        <v>551</v>
      </c>
      <c r="C38" s="93" t="s">
        <v>607</v>
      </c>
      <c r="D38" s="105">
        <v>-0.062</v>
      </c>
      <c r="E38" s="105">
        <v>-0.062</v>
      </c>
      <c r="F38" s="105">
        <v>-0.074</v>
      </c>
      <c r="G38" s="87">
        <f>IF(NOT(ISNUMBER(Table9[[#This Row],[Actual]])),"",IF(NOT(ISNUMBER(Table9[[#This Row],[Forecast]])),"",Table9[[#This Row],[Actual]]-Table9[[#This Row],[Forecast]]))</f>
        <v>0</v>
      </c>
      <c r="H38" s="87">
        <f>IF(NOT(ISNUMBER(Table9[[#This Row],[Actual]])),"",IF(NOT(ISNUMBER(Table9[[#This Row],[Previous]])),"",Table9[[#This Row],[Actual]]-Table9[[#This Row],[Previous]]))</f>
        <v>0.012</v>
      </c>
      <c r="I38" s="87" t="str">
        <f t="shared" si="0"/>
        <v>Mixed</v>
      </c>
      <c r="J38">
        <f t="shared" si="1"/>
        <v>1</v>
      </c>
      <c r="K38">
        <f t="shared" si="2"/>
        <v>0</v>
      </c>
      <c r="L38">
        <f t="shared" si="3"/>
        <v>0.012</v>
      </c>
    </row>
    <row r="39" spans="1:12">
      <c r="A39" s="91">
        <v>46000</v>
      </c>
      <c r="B39" s="92" t="s">
        <v>554</v>
      </c>
      <c r="C39" s="93" t="s">
        <v>608</v>
      </c>
      <c r="D39" s="105">
        <v>99</v>
      </c>
      <c r="E39" s="105">
        <v>98.4</v>
      </c>
      <c r="F39" s="105">
        <v>98.2</v>
      </c>
      <c r="G39" s="87">
        <f>IF(NOT(ISNUMBER(Table9[[#This Row],[Actual]])),"",IF(NOT(ISNUMBER(Table9[[#This Row],[Forecast]])),"",Table9[[#This Row],[Actual]]-Table9[[#This Row],[Forecast]]))</f>
        <v>0.599999999999994</v>
      </c>
      <c r="H39" s="87">
        <f>IF(NOT(ISNUMBER(Table9[[#This Row],[Actual]])),"",IF(NOT(ISNUMBER(Table9[[#This Row],[Previous]])),"",Table9[[#This Row],[Actual]]-Table9[[#This Row],[Previous]]))</f>
        <v>0.799999999999997</v>
      </c>
      <c r="I39" s="87" t="str">
        <f t="shared" si="0"/>
        <v>Accelerating</v>
      </c>
      <c r="J39">
        <f t="shared" si="1"/>
        <v>1</v>
      </c>
      <c r="K39">
        <f t="shared" si="2"/>
        <v>0.599999999999994</v>
      </c>
      <c r="L39">
        <f t="shared" si="3"/>
        <v>0.799999999999997</v>
      </c>
    </row>
    <row r="40" spans="1:12">
      <c r="A40" s="91">
        <v>46000</v>
      </c>
      <c r="B40" s="92" t="s">
        <v>565</v>
      </c>
      <c r="C40" s="93" t="s">
        <v>609</v>
      </c>
      <c r="D40" s="105">
        <v>4.8</v>
      </c>
      <c r="E40" s="105"/>
      <c r="F40" s="105">
        <v>-13.5</v>
      </c>
      <c r="G40" s="87" t="str">
        <f>IF(NOT(ISNUMBER(Table9[[#This Row],[Actual]])),"",IF(NOT(ISNUMBER(Table9[[#This Row],[Forecast]])),"",Table9[[#This Row],[Actual]]-Table9[[#This Row],[Forecast]]))</f>
        <v/>
      </c>
      <c r="H40" s="87">
        <f>IF(NOT(ISNUMBER(Table9[[#This Row],[Actual]])),"",IF(NOT(ISNUMBER(Table9[[#This Row],[Previous]])),"",Table9[[#This Row],[Actual]]-Table9[[#This Row],[Previous]]))</f>
        <v>18.3</v>
      </c>
      <c r="I40" s="87" t="str">
        <f t="shared" si="0"/>
        <v>Accelerating</v>
      </c>
      <c r="J40">
        <f t="shared" si="1"/>
        <v>1</v>
      </c>
      <c r="K40" t="str">
        <f t="shared" si="2"/>
        <v/>
      </c>
      <c r="L40">
        <f t="shared" si="3"/>
        <v>18.3</v>
      </c>
    </row>
    <row r="41" spans="1:12">
      <c r="A41" s="91">
        <v>45901</v>
      </c>
      <c r="B41" s="92" t="s">
        <v>565</v>
      </c>
      <c r="C41" s="93" t="s">
        <v>610</v>
      </c>
      <c r="D41" s="105">
        <v>7.66</v>
      </c>
      <c r="E41" s="105"/>
      <c r="F41" s="105">
        <v>7.23</v>
      </c>
      <c r="G41" s="87" t="str">
        <f>IF(NOT(ISNUMBER(Table9[[#This Row],[Actual]])),"",IF(NOT(ISNUMBER(Table9[[#This Row],[Forecast]])),"",Table9[[#This Row],[Actual]]-Table9[[#This Row],[Forecast]]))</f>
        <v/>
      </c>
      <c r="H41" s="87">
        <f>IF(NOT(ISNUMBER(Table9[[#This Row],[Actual]])),"",IF(NOT(ISNUMBER(Table9[[#This Row],[Previous]])),"",Table9[[#This Row],[Actual]]-Table9[[#This Row],[Previous]]))</f>
        <v>0.43</v>
      </c>
      <c r="I41" s="87" t="str">
        <f t="shared" si="0"/>
        <v>Slowing</v>
      </c>
      <c r="J41">
        <f t="shared" si="1"/>
        <v>-1</v>
      </c>
      <c r="K41" t="str">
        <f t="shared" si="2"/>
        <v/>
      </c>
      <c r="L41">
        <f t="shared" si="3"/>
        <v>-0.43</v>
      </c>
    </row>
    <row r="42" spans="1:12">
      <c r="A42" s="91">
        <v>46000</v>
      </c>
      <c r="B42" s="92" t="s">
        <v>565</v>
      </c>
      <c r="C42" s="93" t="s">
        <v>610</v>
      </c>
      <c r="D42" s="105">
        <v>7.67</v>
      </c>
      <c r="E42" s="105">
        <v>7.14</v>
      </c>
      <c r="F42" s="105">
        <v>7.66</v>
      </c>
      <c r="G42" s="87">
        <f>IF(NOT(ISNUMBER(Table9[[#This Row],[Actual]])),"",IF(NOT(ISNUMBER(Table9[[#This Row],[Forecast]])),"",Table9[[#This Row],[Actual]]-Table9[[#This Row],[Forecast]]))</f>
        <v>0.53</v>
      </c>
      <c r="H42" s="87">
        <f>IF(NOT(ISNUMBER(Table9[[#This Row],[Actual]])),"",IF(NOT(ISNUMBER(Table9[[#This Row],[Previous]])),"",Table9[[#This Row],[Actual]]-Table9[[#This Row],[Previous]]))</f>
        <v>0.00999999999999979</v>
      </c>
      <c r="I42" s="87" t="str">
        <f t="shared" si="0"/>
        <v>Slowing</v>
      </c>
      <c r="J42">
        <f t="shared" si="1"/>
        <v>-1</v>
      </c>
      <c r="K42">
        <f t="shared" si="2"/>
        <v>-0.53</v>
      </c>
      <c r="L42">
        <f t="shared" si="3"/>
        <v>-0.00999999999999979</v>
      </c>
    </row>
    <row r="43" spans="1:12">
      <c r="A43" s="91">
        <v>46000</v>
      </c>
      <c r="B43" s="92" t="s">
        <v>554</v>
      </c>
      <c r="C43" s="93" t="s">
        <v>611</v>
      </c>
      <c r="D43" s="105">
        <v>-0.3</v>
      </c>
      <c r="E43" s="105">
        <v>-0.3</v>
      </c>
      <c r="F43" s="105">
        <v>-0.3</v>
      </c>
      <c r="G43" s="87">
        <f>IF(NOT(ISNUMBER(Table9[[#This Row],[Actual]])),"",IF(NOT(ISNUMBER(Table9[[#This Row],[Forecast]])),"",Table9[[#This Row],[Actual]]-Table9[[#This Row],[Forecast]]))</f>
        <v>0</v>
      </c>
      <c r="H43" s="87">
        <f>IF(NOT(ISNUMBER(Table9[[#This Row],[Actual]])),"",IF(NOT(ISNUMBER(Table9[[#This Row],[Previous]])),"",Table9[[#This Row],[Actual]]-Table9[[#This Row],[Previous]]))</f>
        <v>0</v>
      </c>
      <c r="I43" s="87" t="str">
        <f t="shared" si="0"/>
        <v>Stable</v>
      </c>
      <c r="J43">
        <f t="shared" si="1"/>
        <v>1</v>
      </c>
      <c r="K43">
        <f t="shared" si="2"/>
        <v>0</v>
      </c>
      <c r="L43">
        <f t="shared" si="3"/>
        <v>0</v>
      </c>
    </row>
    <row r="44" spans="1:12">
      <c r="A44" s="91">
        <v>46001</v>
      </c>
      <c r="B44" s="92" t="s">
        <v>551</v>
      </c>
      <c r="C44" s="93" t="s">
        <v>612</v>
      </c>
      <c r="D44" s="105">
        <v>-1</v>
      </c>
      <c r="E44" s="106">
        <v>-0.003</v>
      </c>
      <c r="F44" s="106">
        <v>0.028</v>
      </c>
      <c r="G44" s="87">
        <f>IF(NOT(ISNUMBER(Table9[[#This Row],[Actual]])),"",IF(NOT(ISNUMBER(Table9[[#This Row],[Forecast]])),"",Table9[[#This Row],[Actual]]-Table9[[#This Row],[Forecast]]))</f>
        <v>-0.997</v>
      </c>
      <c r="H44" s="87">
        <f>IF(NOT(ISNUMBER(Table9[[#This Row],[Actual]])),"",IF(NOT(ISNUMBER(Table9[[#This Row],[Previous]])),"",Table9[[#This Row],[Actual]]-Table9[[#This Row],[Previous]]))</f>
        <v>-1.028</v>
      </c>
      <c r="I44" s="87" t="str">
        <f t="shared" si="0"/>
        <v>Slowing</v>
      </c>
      <c r="J44">
        <f t="shared" si="1"/>
        <v>1</v>
      </c>
      <c r="K44">
        <f t="shared" si="2"/>
        <v>-0.997</v>
      </c>
      <c r="L44">
        <f t="shared" si="3"/>
        <v>-1.028</v>
      </c>
    </row>
    <row r="45" spans="1:12">
      <c r="A45" s="91">
        <v>46001</v>
      </c>
      <c r="B45" s="92" t="s">
        <v>561</v>
      </c>
      <c r="C45" s="93" t="s">
        <v>613</v>
      </c>
      <c r="D45" s="105">
        <v>0.008</v>
      </c>
      <c r="E45" s="106">
        <v>0.009</v>
      </c>
      <c r="F45" s="106">
        <v>0.009</v>
      </c>
      <c r="G45" s="87">
        <f>IF(NOT(ISNUMBER(Table9[[#This Row],[Actual]])),"",IF(NOT(ISNUMBER(Table9[[#This Row],[Forecast]])),"",Table9[[#This Row],[Actual]]-Table9[[#This Row],[Forecast]]))</f>
        <v>-0.000999999999999999</v>
      </c>
      <c r="H45" s="87">
        <f>IF(NOT(ISNUMBER(Table9[[#This Row],[Actual]])),"",IF(NOT(ISNUMBER(Table9[[#This Row],[Previous]])),"",Table9[[#This Row],[Actual]]-Table9[[#This Row],[Previous]]))</f>
        <v>-0.000999999999999999</v>
      </c>
      <c r="I45" s="87" t="str">
        <f t="shared" si="0"/>
        <v>Slowing</v>
      </c>
      <c r="J45">
        <f t="shared" si="1"/>
        <v>1</v>
      </c>
      <c r="K45">
        <f t="shared" si="2"/>
        <v>-0.000999999999999999</v>
      </c>
      <c r="L45">
        <f t="shared" si="3"/>
        <v>-0.000999999999999999</v>
      </c>
    </row>
    <row r="46" spans="1:12">
      <c r="A46" s="91">
        <v>46001</v>
      </c>
      <c r="B46" s="92" t="s">
        <v>554</v>
      </c>
      <c r="C46" s="93" t="s">
        <v>614</v>
      </c>
      <c r="D46" s="105">
        <v>0.0375</v>
      </c>
      <c r="E46" s="107">
        <v>0.0375</v>
      </c>
      <c r="F46" s="107">
        <v>0.04</v>
      </c>
      <c r="G46" s="87">
        <f>IF(NOT(ISNUMBER(Table9[[#This Row],[Actual]])),"",IF(NOT(ISNUMBER(Table9[[#This Row],[Forecast]])),"",Table9[[#This Row],[Actual]]-Table9[[#This Row],[Forecast]]))</f>
        <v>0</v>
      </c>
      <c r="H46" s="87">
        <f>IF(NOT(ISNUMBER(Table9[[#This Row],[Actual]])),"",IF(NOT(ISNUMBER(Table9[[#This Row],[Previous]])),"",Table9[[#This Row],[Actual]]-Table9[[#This Row],[Previous]]))</f>
        <v>-0.0025</v>
      </c>
      <c r="I46" s="87" t="str">
        <f t="shared" si="0"/>
        <v>Mixed</v>
      </c>
      <c r="J46">
        <f t="shared" si="1"/>
        <v>1</v>
      </c>
      <c r="K46">
        <f t="shared" si="2"/>
        <v>0</v>
      </c>
      <c r="L46">
        <f t="shared" si="3"/>
        <v>-0.0025</v>
      </c>
    </row>
    <row r="47" spans="1:12">
      <c r="A47" s="91">
        <v>46001</v>
      </c>
      <c r="B47" s="92" t="s">
        <v>554</v>
      </c>
      <c r="C47" s="93" t="s">
        <v>615</v>
      </c>
      <c r="D47" s="105">
        <v>-173.3</v>
      </c>
      <c r="E47" s="108">
        <v>-186.5</v>
      </c>
      <c r="F47" s="108">
        <v>-284.4</v>
      </c>
      <c r="G47" s="87">
        <f>IF(NOT(ISNUMBER(Table9[[#This Row],[Actual]])),"",IF(NOT(ISNUMBER(Table9[[#This Row],[Forecast]])),"",Table9[[#This Row],[Actual]]-Table9[[#This Row],[Forecast]]))</f>
        <v>13.2</v>
      </c>
      <c r="H47" s="87">
        <f>IF(NOT(ISNUMBER(Table9[[#This Row],[Actual]])),"",IF(NOT(ISNUMBER(Table9[[#This Row],[Previous]])),"",Table9[[#This Row],[Actual]]-Table9[[#This Row],[Previous]]))</f>
        <v>111.1</v>
      </c>
      <c r="I47" s="87" t="str">
        <f t="shared" si="0"/>
        <v>Accelerating</v>
      </c>
      <c r="J47">
        <f t="shared" si="1"/>
        <v>1</v>
      </c>
      <c r="K47">
        <f t="shared" si="2"/>
        <v>13.2</v>
      </c>
      <c r="L47">
        <f t="shared" si="3"/>
        <v>111.1</v>
      </c>
    </row>
    <row r="48" spans="1:12">
      <c r="A48" s="91">
        <v>46002</v>
      </c>
      <c r="B48" s="92" t="s">
        <v>572</v>
      </c>
      <c r="C48" s="93" t="s">
        <v>616</v>
      </c>
      <c r="D48" s="106">
        <v>0.061</v>
      </c>
      <c r="E48" s="106">
        <v>0.063</v>
      </c>
      <c r="F48" s="106">
        <v>0.063</v>
      </c>
      <c r="G48" s="87">
        <f>IF(NOT(ISNUMBER(Table9[[#This Row],[Actual]])),"",IF(NOT(ISNUMBER(Table9[[#This Row],[Forecast]])),"",Table9[[#This Row],[Actual]]-Table9[[#This Row],[Forecast]]))</f>
        <v>-0.002</v>
      </c>
      <c r="H48" s="87">
        <f>IF(NOT(ISNUMBER(Table9[[#This Row],[Actual]])),"",IF(NOT(ISNUMBER(Table9[[#This Row],[Previous]])),"",Table9[[#This Row],[Actual]]-Table9[[#This Row],[Previous]]))</f>
        <v>-0.002</v>
      </c>
      <c r="I48" s="87" t="str">
        <f t="shared" si="0"/>
        <v>Accelerating</v>
      </c>
      <c r="J48">
        <f t="shared" si="1"/>
        <v>-1</v>
      </c>
      <c r="K48">
        <f t="shared" si="2"/>
        <v>0.002</v>
      </c>
      <c r="L48">
        <f t="shared" si="3"/>
        <v>0.002</v>
      </c>
    </row>
    <row r="49" spans="1:12">
      <c r="A49" s="91">
        <v>46002</v>
      </c>
      <c r="B49" s="92" t="s">
        <v>565</v>
      </c>
      <c r="C49" s="93" t="s">
        <v>617</v>
      </c>
      <c r="D49" s="105">
        <v>236</v>
      </c>
      <c r="E49" s="108">
        <v>220</v>
      </c>
      <c r="F49" s="108">
        <v>191</v>
      </c>
      <c r="G49" s="87">
        <f>IF(NOT(ISNUMBER(Table9[[#This Row],[Actual]])),"",IF(NOT(ISNUMBER(Table9[[#This Row],[Forecast]])),"",Table9[[#This Row],[Actual]]-Table9[[#This Row],[Forecast]]))</f>
        <v>16</v>
      </c>
      <c r="H49" s="87">
        <f>IF(NOT(ISNUMBER(Table9[[#This Row],[Actual]])),"",IF(NOT(ISNUMBER(Table9[[#This Row],[Previous]])),"",Table9[[#This Row],[Actual]]-Table9[[#This Row],[Previous]]))</f>
        <v>45</v>
      </c>
      <c r="I49" s="87" t="str">
        <f t="shared" si="0"/>
        <v>Slowing</v>
      </c>
      <c r="J49">
        <f t="shared" si="1"/>
        <v>-1</v>
      </c>
      <c r="K49">
        <f t="shared" si="2"/>
        <v>-16</v>
      </c>
      <c r="L49">
        <f t="shared" si="3"/>
        <v>-45</v>
      </c>
    </row>
    <row r="50" spans="1:12">
      <c r="A50" s="91">
        <v>46002</v>
      </c>
      <c r="B50" s="92" t="s">
        <v>554</v>
      </c>
      <c r="C50" s="93" t="s">
        <v>618</v>
      </c>
      <c r="D50" s="105">
        <v>-52.8</v>
      </c>
      <c r="E50" s="108">
        <v>-62.5</v>
      </c>
      <c r="F50" s="108">
        <v>-59.6</v>
      </c>
      <c r="G50" s="87">
        <f>IF(NOT(ISNUMBER(Table9[[#This Row],[Actual]])),"",IF(NOT(ISNUMBER(Table9[[#This Row],[Forecast]])),"",Table9[[#This Row],[Actual]]-Table9[[#This Row],[Forecast]]))</f>
        <v>9.7</v>
      </c>
      <c r="H50" s="87">
        <f>IF(NOT(ISNUMBER(Table9[[#This Row],[Actual]])),"",IF(NOT(ISNUMBER(Table9[[#This Row],[Previous]])),"",Table9[[#This Row],[Actual]]-Table9[[#This Row],[Previous]]))</f>
        <v>6.8</v>
      </c>
      <c r="I50" s="87" t="str">
        <f t="shared" si="0"/>
        <v>Accelerating</v>
      </c>
      <c r="J50">
        <f t="shared" si="1"/>
        <v>1</v>
      </c>
      <c r="K50">
        <f t="shared" si="2"/>
        <v>9.7</v>
      </c>
      <c r="L50">
        <f t="shared" si="3"/>
        <v>6.8</v>
      </c>
    </row>
    <row r="51" spans="1:12">
      <c r="A51" s="91">
        <v>46002</v>
      </c>
      <c r="B51" s="92" t="s">
        <v>554</v>
      </c>
      <c r="C51" s="93" t="s">
        <v>619</v>
      </c>
      <c r="D51" s="106">
        <v>0.005</v>
      </c>
      <c r="E51" s="106">
        <v>0.001</v>
      </c>
      <c r="F51" s="106">
        <v>0</v>
      </c>
      <c r="G51" s="87">
        <f>IF(NOT(ISNUMBER(Table9[[#This Row],[Actual]])),"",IF(NOT(ISNUMBER(Table9[[#This Row],[Forecast]])),"",Table9[[#This Row],[Actual]]-Table9[[#This Row],[Forecast]]))</f>
        <v>0.004</v>
      </c>
      <c r="H51" s="87">
        <f>IF(NOT(ISNUMBER(Table9[[#This Row],[Actual]])),"",IF(NOT(ISNUMBER(Table9[[#This Row],[Previous]])),"",Table9[[#This Row],[Actual]]-Table9[[#This Row],[Previous]]))</f>
        <v>0.005</v>
      </c>
      <c r="I51" s="87" t="str">
        <f t="shared" si="0"/>
        <v>Slowing</v>
      </c>
      <c r="J51">
        <f t="shared" si="1"/>
        <v>-1</v>
      </c>
      <c r="K51">
        <f t="shared" si="2"/>
        <v>-0.004</v>
      </c>
      <c r="L51">
        <f t="shared" si="3"/>
        <v>-0.005</v>
      </c>
    </row>
    <row r="52" spans="1:12">
      <c r="A52" s="91">
        <v>46003</v>
      </c>
      <c r="B52" s="92" t="s">
        <v>569</v>
      </c>
      <c r="C52" s="93" t="s">
        <v>620</v>
      </c>
      <c r="D52" s="106">
        <v>-0.002</v>
      </c>
      <c r="E52" s="106">
        <v>-0.002</v>
      </c>
      <c r="F52" s="106">
        <v>-0.002</v>
      </c>
      <c r="G52" s="87">
        <f>IF(NOT(ISNUMBER(Table9[[#This Row],[Actual]])),"",IF(NOT(ISNUMBER(Table9[[#This Row],[Forecast]])),"",Table9[[#This Row],[Actual]]-Table9[[#This Row],[Forecast]]))</f>
        <v>0</v>
      </c>
      <c r="H52" s="87">
        <f>IF(NOT(ISNUMBER(Table9[[#This Row],[Actual]])),"",IF(NOT(ISNUMBER(Table9[[#This Row],[Previous]])),"",Table9[[#This Row],[Actual]]-Table9[[#This Row],[Previous]]))</f>
        <v>0</v>
      </c>
      <c r="I52" s="87" t="str">
        <f t="shared" si="0"/>
        <v>Stable</v>
      </c>
      <c r="J52">
        <f t="shared" si="1"/>
        <v>1</v>
      </c>
      <c r="K52">
        <f t="shared" si="2"/>
        <v>0</v>
      </c>
      <c r="L52">
        <f t="shared" si="3"/>
        <v>0</v>
      </c>
    </row>
    <row r="53" spans="1:12">
      <c r="A53" s="91">
        <v>46003</v>
      </c>
      <c r="B53" s="92" t="s">
        <v>569</v>
      </c>
      <c r="C53" s="93" t="s">
        <v>621</v>
      </c>
      <c r="D53" s="106">
        <v>-0.002</v>
      </c>
      <c r="E53" s="106">
        <v>-0.001</v>
      </c>
      <c r="F53" s="106">
        <v>-0.001</v>
      </c>
      <c r="G53" s="87">
        <f>IF(NOT(ISNUMBER(Table9[[#This Row],[Actual]])),"",IF(NOT(ISNUMBER(Table9[[#This Row],[Forecast]])),"",Table9[[#This Row],[Actual]]-Table9[[#This Row],[Forecast]]))</f>
        <v>-0.001</v>
      </c>
      <c r="H53" s="87">
        <f>IF(NOT(ISNUMBER(Table9[[#This Row],[Actual]])),"",IF(NOT(ISNUMBER(Table9[[#This Row],[Previous]])),"",Table9[[#This Row],[Actual]]-Table9[[#This Row],[Previous]]))</f>
        <v>-0.001</v>
      </c>
      <c r="I53" s="87" t="str">
        <f t="shared" si="0"/>
        <v>Slowing</v>
      </c>
      <c r="J53">
        <f t="shared" si="1"/>
        <v>1</v>
      </c>
      <c r="K53">
        <f t="shared" si="2"/>
        <v>-0.001</v>
      </c>
      <c r="L53">
        <f t="shared" si="3"/>
        <v>-0.001</v>
      </c>
    </row>
    <row r="54" spans="1:12">
      <c r="A54" s="91">
        <v>46003</v>
      </c>
      <c r="B54" s="92" t="s">
        <v>569</v>
      </c>
      <c r="C54" s="93" t="s">
        <v>622</v>
      </c>
      <c r="D54" s="106">
        <v>0.002</v>
      </c>
      <c r="E54" s="106">
        <v>0.002</v>
      </c>
      <c r="F54" s="106">
        <v>0.002</v>
      </c>
      <c r="G54" s="87">
        <f>IF(NOT(ISNUMBER(Table9[[#This Row],[Actual]])),"",IF(NOT(ISNUMBER(Table9[[#This Row],[Forecast]])),"",Table9[[#This Row],[Actual]]-Table9[[#This Row],[Forecast]]))</f>
        <v>0</v>
      </c>
      <c r="H54" s="87">
        <f>IF(NOT(ISNUMBER(Table9[[#This Row],[Actual]])),"",IF(NOT(ISNUMBER(Table9[[#This Row],[Previous]])),"",Table9[[#This Row],[Actual]]-Table9[[#This Row],[Previous]]))</f>
        <v>0</v>
      </c>
      <c r="I54" s="87" t="str">
        <f t="shared" si="0"/>
        <v>Stable</v>
      </c>
      <c r="J54">
        <f t="shared" si="1"/>
        <v>1</v>
      </c>
      <c r="K54">
        <f t="shared" si="2"/>
        <v>0</v>
      </c>
      <c r="L54">
        <f t="shared" si="3"/>
        <v>0</v>
      </c>
    </row>
    <row r="55" spans="1:12">
      <c r="A55" s="99">
        <v>46006</v>
      </c>
      <c r="B55" s="92" t="s">
        <v>551</v>
      </c>
      <c r="C55" s="100" t="s">
        <v>623</v>
      </c>
      <c r="D55" s="109">
        <v>0.003</v>
      </c>
      <c r="E55" s="109">
        <v>0.002</v>
      </c>
      <c r="F55" s="109">
        <v>0.003</v>
      </c>
      <c r="G55" s="87">
        <f>IF(NOT(ISNUMBER(Table9[[#This Row],[Actual]])),"",IF(NOT(ISNUMBER(Table9[[#This Row],[Forecast]])),"",Table9[[#This Row],[Actual]]-Table9[[#This Row],[Forecast]]))</f>
        <v>0.001</v>
      </c>
      <c r="H55" s="87">
        <f>IF(NOT(ISNUMBER(Table9[[#This Row],[Actual]])),"",IF(NOT(ISNUMBER(Table9[[#This Row],[Previous]])),"",Table9[[#This Row],[Actual]]-Table9[[#This Row],[Previous]]))</f>
        <v>0</v>
      </c>
      <c r="I55" s="87" t="str">
        <f t="shared" si="0"/>
        <v>Accelerating</v>
      </c>
      <c r="J55">
        <f t="shared" si="1"/>
        <v>1</v>
      </c>
      <c r="K55">
        <f t="shared" si="2"/>
        <v>0.001</v>
      </c>
      <c r="L55">
        <f t="shared" si="3"/>
        <v>0</v>
      </c>
    </row>
    <row r="56" spans="1:12">
      <c r="A56" s="99">
        <v>46006</v>
      </c>
      <c r="B56" s="92" t="s">
        <v>551</v>
      </c>
      <c r="C56" s="100" t="s">
        <v>624</v>
      </c>
      <c r="D56" s="109">
        <v>0.008</v>
      </c>
      <c r="E56" s="109">
        <v>0.007</v>
      </c>
      <c r="F56" s="109">
        <v>0.002</v>
      </c>
      <c r="G56" s="87">
        <f>IF(NOT(ISNUMBER(Table9[[#This Row],[Actual]])),"",IF(NOT(ISNUMBER(Table9[[#This Row],[Forecast]])),"",Table9[[#This Row],[Actual]]-Table9[[#This Row],[Forecast]]))</f>
        <v>0.001</v>
      </c>
      <c r="H56" s="87">
        <f>IF(NOT(ISNUMBER(Table9[[#This Row],[Actual]])),"",IF(NOT(ISNUMBER(Table9[[#This Row],[Previous]])),"",Table9[[#This Row],[Actual]]-Table9[[#This Row],[Previous]]))</f>
        <v>0.006</v>
      </c>
      <c r="I56" s="87" t="str">
        <f t="shared" si="0"/>
        <v>Accelerating</v>
      </c>
      <c r="J56">
        <f t="shared" si="1"/>
        <v>1</v>
      </c>
      <c r="K56">
        <f t="shared" si="2"/>
        <v>0.001</v>
      </c>
      <c r="L56">
        <f t="shared" si="3"/>
        <v>0.006</v>
      </c>
    </row>
    <row r="57" spans="1:12">
      <c r="A57" s="99">
        <v>46006</v>
      </c>
      <c r="B57" s="92" t="s">
        <v>554</v>
      </c>
      <c r="C57" s="100" t="s">
        <v>625</v>
      </c>
      <c r="D57" s="109">
        <v>-0.039</v>
      </c>
      <c r="E57" s="109">
        <v>0.098</v>
      </c>
      <c r="F57" s="109">
        <v>0.187</v>
      </c>
      <c r="G57" s="87">
        <f>IF(NOT(ISNUMBER(Table9[[#This Row],[Actual]])),"",IF(NOT(ISNUMBER(Table9[[#This Row],[Forecast]])),"",Table9[[#This Row],[Actual]]-Table9[[#This Row],[Forecast]]))</f>
        <v>-0.137</v>
      </c>
      <c r="H57" s="87">
        <f>IF(NOT(ISNUMBER(Table9[[#This Row],[Actual]])),"",IF(NOT(ISNUMBER(Table9[[#This Row],[Previous]])),"",Table9[[#This Row],[Actual]]-Table9[[#This Row],[Previous]]))</f>
        <v>-0.226</v>
      </c>
      <c r="I57" s="87" t="str">
        <f t="shared" si="0"/>
        <v>Slowing</v>
      </c>
      <c r="J57">
        <f t="shared" si="1"/>
        <v>1</v>
      </c>
      <c r="K57">
        <f t="shared" si="2"/>
        <v>-0.137</v>
      </c>
      <c r="L57">
        <f t="shared" si="3"/>
        <v>-0.226</v>
      </c>
    </row>
    <row r="58" spans="1:12">
      <c r="A58" s="99">
        <v>46006</v>
      </c>
      <c r="B58" s="92" t="s">
        <v>554</v>
      </c>
      <c r="C58" s="100" t="s">
        <v>626</v>
      </c>
      <c r="D58" s="109">
        <v>0</v>
      </c>
      <c r="E58" s="109">
        <v>0.39</v>
      </c>
      <c r="F58" s="109">
        <v>0.38</v>
      </c>
      <c r="G58" s="87">
        <f>IF(NOT(ISNUMBER(Table9[[#This Row],[Actual]])),"",IF(NOT(ISNUMBER(Table9[[#This Row],[Forecast]])),"",Table9[[#This Row],[Actual]]-Table9[[#This Row],[Forecast]]))</f>
        <v>-0.39</v>
      </c>
      <c r="H58" s="87">
        <f>IF(NOT(ISNUMBER(Table9[[#This Row],[Actual]])),"",IF(NOT(ISNUMBER(Table9[[#This Row],[Previous]])),"",Table9[[#This Row],[Actual]]-Table9[[#This Row],[Previous]]))</f>
        <v>-0.38</v>
      </c>
      <c r="I58" s="87" t="str">
        <f t="shared" si="0"/>
        <v>Slowing</v>
      </c>
      <c r="J58">
        <f t="shared" si="1"/>
        <v>1</v>
      </c>
      <c r="K58">
        <f t="shared" si="2"/>
        <v>-0.39</v>
      </c>
      <c r="L58">
        <f t="shared" si="3"/>
        <v>-0.38</v>
      </c>
    </row>
    <row r="59" spans="1:12">
      <c r="A59" s="99">
        <v>46007</v>
      </c>
      <c r="B59" s="92" t="s">
        <v>551</v>
      </c>
      <c r="C59" s="100" t="s">
        <v>627</v>
      </c>
      <c r="D59" s="110">
        <v>50.6</v>
      </c>
      <c r="E59" s="110">
        <v>48.1</v>
      </c>
      <c r="F59" s="110">
        <v>47.8</v>
      </c>
      <c r="G59" s="87">
        <f>IF(NOT(ISNUMBER(Table9[[#This Row],[Actual]])),"",IF(NOT(ISNUMBER(Table9[[#This Row],[Forecast]])),"",Table9[[#This Row],[Actual]]-Table9[[#This Row],[Forecast]]))</f>
        <v>2.5</v>
      </c>
      <c r="H59" s="87">
        <f>IF(NOT(ISNUMBER(Table9[[#This Row],[Actual]])),"",IF(NOT(ISNUMBER(Table9[[#This Row],[Previous]])),"",Table9[[#This Row],[Actual]]-Table9[[#This Row],[Previous]]))</f>
        <v>2.8</v>
      </c>
      <c r="I59" s="87" t="str">
        <f t="shared" si="0"/>
        <v>Accelerating</v>
      </c>
      <c r="J59">
        <f t="shared" si="1"/>
        <v>1</v>
      </c>
      <c r="K59">
        <f t="shared" si="2"/>
        <v>2.5</v>
      </c>
      <c r="L59">
        <f t="shared" si="3"/>
        <v>2.8</v>
      </c>
    </row>
    <row r="60" spans="1:12">
      <c r="A60" s="99">
        <v>46007</v>
      </c>
      <c r="B60" s="92" t="s">
        <v>551</v>
      </c>
      <c r="C60" s="100" t="s">
        <v>628</v>
      </c>
      <c r="D60" s="110">
        <v>50.2</v>
      </c>
      <c r="E60" s="110">
        <v>51.1</v>
      </c>
      <c r="F60" s="110">
        <v>51.4</v>
      </c>
      <c r="G60" s="87">
        <f>IF(NOT(ISNUMBER(Table9[[#This Row],[Actual]])),"",IF(NOT(ISNUMBER(Table9[[#This Row],[Forecast]])),"",Table9[[#This Row],[Actual]]-Table9[[#This Row],[Forecast]]))</f>
        <v>-0.899999999999999</v>
      </c>
      <c r="H60" s="87">
        <f>IF(NOT(ISNUMBER(Table9[[#This Row],[Actual]])),"",IF(NOT(ISNUMBER(Table9[[#This Row],[Previous]])),"",Table9[[#This Row],[Actual]]-Table9[[#This Row],[Previous]]))</f>
        <v>-1.2</v>
      </c>
      <c r="I60" s="87" t="str">
        <f t="shared" si="0"/>
        <v>Slowing</v>
      </c>
      <c r="J60">
        <f t="shared" si="1"/>
        <v>1</v>
      </c>
      <c r="K60">
        <f t="shared" si="2"/>
        <v>-0.899999999999999</v>
      </c>
      <c r="L60">
        <f t="shared" si="3"/>
        <v>-1.2</v>
      </c>
    </row>
    <row r="61" spans="1:12">
      <c r="A61" s="99">
        <v>46007</v>
      </c>
      <c r="B61" s="92" t="s">
        <v>551</v>
      </c>
      <c r="C61" s="100" t="s">
        <v>629</v>
      </c>
      <c r="D61" s="110">
        <v>47.7</v>
      </c>
      <c r="E61" s="110">
        <v>48.6</v>
      </c>
      <c r="F61" s="110">
        <v>48.2</v>
      </c>
      <c r="G61" s="87">
        <f>IF(NOT(ISNUMBER(Table9[[#This Row],[Actual]])),"",IF(NOT(ISNUMBER(Table9[[#This Row],[Forecast]])),"",Table9[[#This Row],[Actual]]-Table9[[#This Row],[Forecast]]))</f>
        <v>-0.899999999999999</v>
      </c>
      <c r="H61" s="87">
        <f>IF(NOT(ISNUMBER(Table9[[#This Row],[Actual]])),"",IF(NOT(ISNUMBER(Table9[[#This Row],[Previous]])),"",Table9[[#This Row],[Actual]]-Table9[[#This Row],[Previous]]))</f>
        <v>-0.5</v>
      </c>
      <c r="I61" s="87" t="str">
        <f t="shared" si="0"/>
        <v>Slowing</v>
      </c>
      <c r="J61">
        <f t="shared" si="1"/>
        <v>1</v>
      </c>
      <c r="K61">
        <f t="shared" si="2"/>
        <v>-0.899999999999999</v>
      </c>
      <c r="L61">
        <f t="shared" si="3"/>
        <v>-0.5</v>
      </c>
    </row>
    <row r="62" spans="1:12">
      <c r="A62" s="99">
        <v>46007</v>
      </c>
      <c r="B62" s="92" t="s">
        <v>551</v>
      </c>
      <c r="C62" s="100" t="s">
        <v>630</v>
      </c>
      <c r="D62" s="110">
        <v>52.6</v>
      </c>
      <c r="E62" s="110">
        <v>53</v>
      </c>
      <c r="F62" s="110">
        <v>53.1</v>
      </c>
      <c r="G62" s="87">
        <f>IF(NOT(ISNUMBER(Table9[[#This Row],[Actual]])),"",IF(NOT(ISNUMBER(Table9[[#This Row],[Forecast]])),"",Table9[[#This Row],[Actual]]-Table9[[#This Row],[Forecast]]))</f>
        <v>-0.399999999999999</v>
      </c>
      <c r="H62" s="87">
        <f>IF(NOT(ISNUMBER(Table9[[#This Row],[Actual]])),"",IF(NOT(ISNUMBER(Table9[[#This Row],[Previous]])),"",Table9[[#This Row],[Actual]]-Table9[[#This Row],[Previous]]))</f>
        <v>-0.5</v>
      </c>
      <c r="I62" s="87" t="str">
        <f t="shared" si="0"/>
        <v>Slowing</v>
      </c>
      <c r="J62">
        <f t="shared" si="1"/>
        <v>1</v>
      </c>
      <c r="K62">
        <f t="shared" si="2"/>
        <v>-0.399999999999999</v>
      </c>
      <c r="L62">
        <f t="shared" si="3"/>
        <v>-0.5</v>
      </c>
    </row>
    <row r="63" spans="1:12">
      <c r="A63" s="99">
        <v>46007</v>
      </c>
      <c r="B63" s="92" t="s">
        <v>551</v>
      </c>
      <c r="C63" s="100" t="s">
        <v>631</v>
      </c>
      <c r="D63" s="110">
        <v>49.2</v>
      </c>
      <c r="E63" s="110">
        <v>49.9</v>
      </c>
      <c r="F63" s="110">
        <v>49.6</v>
      </c>
      <c r="G63" s="87">
        <f>IF(NOT(ISNUMBER(Table9[[#This Row],[Actual]])),"",IF(NOT(ISNUMBER(Table9[[#This Row],[Forecast]])),"",Table9[[#This Row],[Actual]]-Table9[[#This Row],[Forecast]]))</f>
        <v>-0.699999999999996</v>
      </c>
      <c r="H63" s="87">
        <f>IF(NOT(ISNUMBER(Table9[[#This Row],[Actual]])),"",IF(NOT(ISNUMBER(Table9[[#This Row],[Previous]])),"",Table9[[#This Row],[Actual]]-Table9[[#This Row],[Previous]]))</f>
        <v>-0.399999999999999</v>
      </c>
      <c r="I63" s="87" t="str">
        <f t="shared" si="0"/>
        <v>Slowing</v>
      </c>
      <c r="J63">
        <f t="shared" si="1"/>
        <v>1</v>
      </c>
      <c r="K63">
        <f t="shared" si="2"/>
        <v>-0.699999999999996</v>
      </c>
      <c r="L63">
        <f t="shared" si="3"/>
        <v>-0.399999999999999</v>
      </c>
    </row>
    <row r="64" spans="1:12">
      <c r="A64" s="99">
        <v>46007</v>
      </c>
      <c r="B64" s="92" t="s">
        <v>551</v>
      </c>
      <c r="C64" s="100" t="s">
        <v>632</v>
      </c>
      <c r="D64" s="110">
        <v>52.6</v>
      </c>
      <c r="E64" s="110">
        <v>53.3</v>
      </c>
      <c r="F64" s="110">
        <v>53.6</v>
      </c>
      <c r="G64" s="87">
        <f>IF(NOT(ISNUMBER(Table9[[#This Row],[Actual]])),"",IF(NOT(ISNUMBER(Table9[[#This Row],[Forecast]])),"",Table9[[#This Row],[Actual]]-Table9[[#This Row],[Forecast]]))</f>
        <v>-0.699999999999996</v>
      </c>
      <c r="H64" s="87">
        <f>IF(NOT(ISNUMBER(Table9[[#This Row],[Actual]])),"",IF(NOT(ISNUMBER(Table9[[#This Row],[Previous]])),"",Table9[[#This Row],[Actual]]-Table9[[#This Row],[Previous]]))</f>
        <v>-1</v>
      </c>
      <c r="I64" s="87" t="str">
        <f t="shared" si="0"/>
        <v>Slowing</v>
      </c>
      <c r="J64">
        <f t="shared" si="1"/>
        <v>1</v>
      </c>
      <c r="K64">
        <f t="shared" si="2"/>
        <v>-0.699999999999996</v>
      </c>
      <c r="L64">
        <f t="shared" si="3"/>
        <v>-1</v>
      </c>
    </row>
    <row r="65" spans="1:12">
      <c r="A65" s="99">
        <v>46007</v>
      </c>
      <c r="B65" s="92" t="s">
        <v>551</v>
      </c>
      <c r="C65" s="100" t="s">
        <v>633</v>
      </c>
      <c r="D65" s="110">
        <v>4.16</v>
      </c>
      <c r="E65" s="110">
        <v>3.21</v>
      </c>
      <c r="F65" s="110">
        <v>2.85</v>
      </c>
      <c r="G65" s="87">
        <f>IF(NOT(ISNUMBER(Table9[[#This Row],[Actual]])),"",IF(NOT(ISNUMBER(Table9[[#This Row],[Forecast]])),"",Table9[[#This Row],[Actual]]-Table9[[#This Row],[Forecast]]))</f>
        <v>0.95</v>
      </c>
      <c r="H65" s="87">
        <f>IF(NOT(ISNUMBER(Table9[[#This Row],[Actual]])),"",IF(NOT(ISNUMBER(Table9[[#This Row],[Previous]])),"",Table9[[#This Row],[Actual]]-Table9[[#This Row],[Previous]]))</f>
        <v>1.31</v>
      </c>
      <c r="I65" s="87" t="str">
        <f t="shared" si="0"/>
        <v>Accelerating</v>
      </c>
      <c r="J65">
        <f t="shared" si="1"/>
        <v>1</v>
      </c>
      <c r="K65">
        <f t="shared" si="2"/>
        <v>0.95</v>
      </c>
      <c r="L65">
        <f t="shared" si="3"/>
        <v>1.31</v>
      </c>
    </row>
    <row r="66" spans="1:12">
      <c r="A66" s="99">
        <v>46007</v>
      </c>
      <c r="B66" s="92" t="s">
        <v>551</v>
      </c>
      <c r="C66" s="100" t="s">
        <v>618</v>
      </c>
      <c r="D66" s="110">
        <v>14</v>
      </c>
      <c r="E66" s="110">
        <v>18.3</v>
      </c>
      <c r="F66" s="110">
        <v>18.7</v>
      </c>
      <c r="G66" s="87">
        <f>IF(NOT(ISNUMBER(Table9[[#This Row],[Actual]])),"",IF(NOT(ISNUMBER(Table9[[#This Row],[Forecast]])),"",Table9[[#This Row],[Actual]]-Table9[[#This Row],[Forecast]]))</f>
        <v>-4.3</v>
      </c>
      <c r="H66" s="87">
        <f>IF(NOT(ISNUMBER(Table9[[#This Row],[Actual]])),"",IF(NOT(ISNUMBER(Table9[[#This Row],[Previous]])),"",Table9[[#This Row],[Actual]]-Table9[[#This Row],[Previous]]))</f>
        <v>-4.7</v>
      </c>
      <c r="I66" s="87" t="str">
        <f t="shared" ref="I66:I90" si="4">IF(AND(K66="",L66=""),"N/A",IF(AND(ABS(N(K66))&lt;0.0005,ABS(N(L66))&lt;0.0005),"Stable",IF(AND(L66="",ABS(N(K66))&gt;=0.0005),IF(N(K66)&gt;0,"Accelerating","Slowing"),IF(AND(K66="",ABS(N(L66))&gt;=0.0005),IF(N(L66)&gt;0,"Accelerating","Slowing"),IF(AND(N(K66)&gt;0,N(L66)&gt;=0),"Accelerating",IF(AND(N(K66)&lt;0,N(L66)&lt;=0),"Slowing","Mixed"))))))</f>
        <v>Slowing</v>
      </c>
      <c r="J66">
        <f t="shared" ref="J66:J90" si="5">IF(OR(ISNUMBER(SEARCH("Unemployment",C66)),ISNUMBER(SEARCH("Claims",C66)),ISNUMBER(SEARCH("Jobless",C66)),ISNUMBER(SEARCH("Inventories",C66)),ISNUMBER(SEARCH("Wholesale Inventories",C66)),ISNUMBER(SEARCH("JOLTS Job Openings",C66)),ISNUMBER(SEARCH("Inflation Expectations",C66))),-1,1)</f>
        <v>1</v>
      </c>
      <c r="K66">
        <f t="shared" ref="K66:K90" si="6">IF(OR(G66="",G66="(NA)"),"",J66*G66)</f>
        <v>-4.3</v>
      </c>
      <c r="L66">
        <f t="shared" ref="L66:L90" si="7">IF(OR(H66="",H66="(NA)"),"",J66*H66)</f>
        <v>-4.7</v>
      </c>
    </row>
    <row r="67" spans="1:12">
      <c r="A67" s="99">
        <v>46007</v>
      </c>
      <c r="B67" s="92" t="s">
        <v>551</v>
      </c>
      <c r="C67" s="100" t="s">
        <v>634</v>
      </c>
      <c r="D67" s="110">
        <v>45.8</v>
      </c>
      <c r="E67" s="110">
        <v>38.4</v>
      </c>
      <c r="F67" s="110" t="s">
        <v>635</v>
      </c>
      <c r="G67" s="87">
        <f>IF(NOT(ISNUMBER(Table9[[#This Row],[Actual]])),"",IF(NOT(ISNUMBER(Table9[[#This Row],[Forecast]])),"",Table9[[#This Row],[Actual]]-Table9[[#This Row],[Forecast]]))</f>
        <v>7.4</v>
      </c>
      <c r="H67" s="87" t="str">
        <f>IF(NOT(ISNUMBER(Table9[[#This Row],[Actual]])),"",IF(NOT(ISNUMBER(Table9[[#This Row],[Previous]])),"",Table9[[#This Row],[Actual]]-Table9[[#This Row],[Previous]]))</f>
        <v/>
      </c>
      <c r="I67" s="87" t="str">
        <f t="shared" si="4"/>
        <v>Accelerating</v>
      </c>
      <c r="J67">
        <f t="shared" si="5"/>
        <v>1</v>
      </c>
      <c r="K67">
        <f t="shared" si="6"/>
        <v>7.4</v>
      </c>
      <c r="L67" t="str">
        <f t="shared" si="7"/>
        <v/>
      </c>
    </row>
    <row r="68" spans="1:12">
      <c r="A68" s="99">
        <v>46007</v>
      </c>
      <c r="B68" s="92" t="s">
        <v>551</v>
      </c>
      <c r="C68" s="100" t="s">
        <v>636</v>
      </c>
      <c r="D68" s="110">
        <v>33.7</v>
      </c>
      <c r="E68" s="110">
        <v>26.3</v>
      </c>
      <c r="F68" s="110">
        <v>25</v>
      </c>
      <c r="G68" s="87">
        <f>IF(NOT(ISNUMBER(Table9[[#This Row],[Actual]])),"",IF(NOT(ISNUMBER(Table9[[#This Row],[Forecast]])),"",Table9[[#This Row],[Actual]]-Table9[[#This Row],[Forecast]]))</f>
        <v>7.4</v>
      </c>
      <c r="H68" s="87">
        <f>IF(NOT(ISNUMBER(Table9[[#This Row],[Actual]])),"",IF(NOT(ISNUMBER(Table9[[#This Row],[Previous]])),"",Table9[[#This Row],[Actual]]-Table9[[#This Row],[Previous]]))</f>
        <v>8.7</v>
      </c>
      <c r="I68" s="87" t="str">
        <f t="shared" si="4"/>
        <v>Accelerating</v>
      </c>
      <c r="J68">
        <f t="shared" si="5"/>
        <v>1</v>
      </c>
      <c r="K68">
        <f t="shared" si="6"/>
        <v>7.4</v>
      </c>
      <c r="L68">
        <f t="shared" si="7"/>
        <v>8.7</v>
      </c>
    </row>
    <row r="69" spans="1:12">
      <c r="A69" s="99">
        <v>46007</v>
      </c>
      <c r="B69" s="92" t="s">
        <v>565</v>
      </c>
      <c r="C69" s="100" t="s">
        <v>609</v>
      </c>
      <c r="D69" s="110">
        <v>16.3</v>
      </c>
      <c r="E69" s="110"/>
      <c r="F69" s="110">
        <v>4.8</v>
      </c>
      <c r="G69" s="87" t="str">
        <f>IF(NOT(ISNUMBER(Table9[[#This Row],[Actual]])),"",IF(NOT(ISNUMBER(Table9[[#This Row],[Forecast]])),"",Table9[[#This Row],[Actual]]-Table9[[#This Row],[Forecast]]))</f>
        <v/>
      </c>
      <c r="H69" s="87">
        <f>IF(NOT(ISNUMBER(Table9[[#This Row],[Actual]])),"",IF(NOT(ISNUMBER(Table9[[#This Row],[Previous]])),"",Table9[[#This Row],[Actual]]-Table9[[#This Row],[Previous]]))</f>
        <v>11.5</v>
      </c>
      <c r="I69" s="87" t="str">
        <f t="shared" si="4"/>
        <v>Accelerating</v>
      </c>
      <c r="J69">
        <f t="shared" si="5"/>
        <v>1</v>
      </c>
      <c r="K69" t="str">
        <f t="shared" si="6"/>
        <v/>
      </c>
      <c r="L69">
        <f t="shared" si="7"/>
        <v>11.5</v>
      </c>
    </row>
    <row r="70" spans="1:12">
      <c r="A70" s="99">
        <v>46007</v>
      </c>
      <c r="B70" s="92" t="s">
        <v>565</v>
      </c>
      <c r="C70" s="100" t="s">
        <v>637</v>
      </c>
      <c r="D70" s="109">
        <v>0.001</v>
      </c>
      <c r="E70" s="109">
        <v>0.003</v>
      </c>
      <c r="F70" s="109">
        <v>0.002</v>
      </c>
      <c r="G70" s="87">
        <f>IF(NOT(ISNUMBER(Table9[[#This Row],[Actual]])),"",IF(NOT(ISNUMBER(Table9[[#This Row],[Forecast]])),"",Table9[[#This Row],[Actual]]-Table9[[#This Row],[Forecast]]))</f>
        <v>-0.002</v>
      </c>
      <c r="H70" s="87">
        <f>IF(NOT(ISNUMBER(Table9[[#This Row],[Actual]])),"",IF(NOT(ISNUMBER(Table9[[#This Row],[Previous]])),"",Table9[[#This Row],[Actual]]-Table9[[#This Row],[Previous]]))</f>
        <v>-0.001</v>
      </c>
      <c r="I70" s="87" t="str">
        <f t="shared" si="4"/>
        <v>Slowing</v>
      </c>
      <c r="J70">
        <f t="shared" si="5"/>
        <v>1</v>
      </c>
      <c r="K70">
        <f t="shared" si="6"/>
        <v>-0.002</v>
      </c>
      <c r="L70">
        <f t="shared" si="7"/>
        <v>-0.001</v>
      </c>
    </row>
    <row r="71" spans="1:12">
      <c r="A71" s="99">
        <v>46007</v>
      </c>
      <c r="B71" s="92" t="s">
        <v>554</v>
      </c>
      <c r="C71" s="100" t="s">
        <v>638</v>
      </c>
      <c r="D71" s="109">
        <v>0.004</v>
      </c>
      <c r="E71" s="109">
        <v>0.002</v>
      </c>
      <c r="F71" s="109">
        <v>0.003</v>
      </c>
      <c r="G71" s="87">
        <f>IF(NOT(ISNUMBER(Table9[[#This Row],[Actual]])),"",IF(NOT(ISNUMBER(Table9[[#This Row],[Forecast]])),"",Table9[[#This Row],[Actual]]-Table9[[#This Row],[Forecast]]))</f>
        <v>0.002</v>
      </c>
      <c r="H71" s="87">
        <f>IF(NOT(ISNUMBER(Table9[[#This Row],[Actual]])),"",IF(NOT(ISNUMBER(Table9[[#This Row],[Previous]])),"",Table9[[#This Row],[Actual]]-Table9[[#This Row],[Previous]]))</f>
        <v>0.001</v>
      </c>
      <c r="I71" s="87" t="str">
        <f t="shared" si="4"/>
        <v>Accelerating</v>
      </c>
      <c r="J71">
        <f t="shared" si="5"/>
        <v>1</v>
      </c>
      <c r="K71">
        <f t="shared" si="6"/>
        <v>0.002</v>
      </c>
      <c r="L71">
        <f t="shared" si="7"/>
        <v>0.001</v>
      </c>
    </row>
    <row r="72" spans="1:12">
      <c r="A72" s="99">
        <v>46007</v>
      </c>
      <c r="B72" s="92" t="s">
        <v>565</v>
      </c>
      <c r="C72" s="100" t="s">
        <v>639</v>
      </c>
      <c r="D72" s="110">
        <v>-105</v>
      </c>
      <c r="E72" s="110">
        <v>51</v>
      </c>
      <c r="F72" s="110">
        <v>119</v>
      </c>
      <c r="G72" s="87">
        <f>IF(NOT(ISNUMBER(Table9[[#This Row],[Actual]])),"",IF(NOT(ISNUMBER(Table9[[#This Row],[Forecast]])),"",Table9[[#This Row],[Actual]]-Table9[[#This Row],[Forecast]]))</f>
        <v>-156</v>
      </c>
      <c r="H72" s="87">
        <f>IF(NOT(ISNUMBER(Table9[[#This Row],[Actual]])),"",IF(NOT(ISNUMBER(Table9[[#This Row],[Previous]])),"",Table9[[#This Row],[Actual]]-Table9[[#This Row],[Previous]]))</f>
        <v>-224</v>
      </c>
      <c r="I72" s="87" t="str">
        <f t="shared" si="4"/>
        <v>Slowing</v>
      </c>
      <c r="J72">
        <f t="shared" si="5"/>
        <v>1</v>
      </c>
      <c r="K72">
        <f t="shared" si="6"/>
        <v>-156</v>
      </c>
      <c r="L72">
        <f t="shared" si="7"/>
        <v>-224</v>
      </c>
    </row>
    <row r="73" spans="1:12">
      <c r="A73" s="99">
        <v>46007</v>
      </c>
      <c r="B73" s="92" t="s">
        <v>554</v>
      </c>
      <c r="C73" s="100" t="s">
        <v>640</v>
      </c>
      <c r="D73" s="109">
        <v>0</v>
      </c>
      <c r="E73" s="109">
        <v>0.001</v>
      </c>
      <c r="F73" s="109">
        <v>0.002</v>
      </c>
      <c r="G73" s="87">
        <f>IF(NOT(ISNUMBER(Table9[[#This Row],[Actual]])),"",IF(NOT(ISNUMBER(Table9[[#This Row],[Forecast]])),"",Table9[[#This Row],[Actual]]-Table9[[#This Row],[Forecast]]))</f>
        <v>-0.001</v>
      </c>
      <c r="H73" s="87">
        <f>IF(NOT(ISNUMBER(Table9[[#This Row],[Actual]])),"",IF(NOT(ISNUMBER(Table9[[#This Row],[Previous]])),"",Table9[[#This Row],[Actual]]-Table9[[#This Row],[Previous]]))</f>
        <v>-0.002</v>
      </c>
      <c r="I73" s="87" t="str">
        <f t="shared" si="4"/>
        <v>Slowing</v>
      </c>
      <c r="J73">
        <f t="shared" si="5"/>
        <v>1</v>
      </c>
      <c r="K73">
        <f t="shared" si="6"/>
        <v>-0.001</v>
      </c>
      <c r="L73">
        <f t="shared" si="7"/>
        <v>-0.002</v>
      </c>
    </row>
    <row r="74" spans="1:12">
      <c r="A74" s="99">
        <v>46007</v>
      </c>
      <c r="B74" s="92" t="s">
        <v>565</v>
      </c>
      <c r="C74" s="100" t="s">
        <v>641</v>
      </c>
      <c r="D74" s="109">
        <v>0.046</v>
      </c>
      <c r="E74" s="109">
        <v>0.045</v>
      </c>
      <c r="F74" s="109">
        <v>0.044</v>
      </c>
      <c r="G74" s="87">
        <f>IF(NOT(ISNUMBER(Table9[[#This Row],[Actual]])),"",IF(NOT(ISNUMBER(Table9[[#This Row],[Forecast]])),"",Table9[[#This Row],[Actual]]-Table9[[#This Row],[Forecast]]))</f>
        <v>0.001</v>
      </c>
      <c r="H74" s="87">
        <f>IF(NOT(ISNUMBER(Table9[[#This Row],[Actual]])),"",IF(NOT(ISNUMBER(Table9[[#This Row],[Previous]])),"",Table9[[#This Row],[Actual]]-Table9[[#This Row],[Previous]]))</f>
        <v>0.002</v>
      </c>
      <c r="I74" s="87" t="str">
        <f t="shared" si="4"/>
        <v>Slowing</v>
      </c>
      <c r="J74">
        <f t="shared" si="5"/>
        <v>-1</v>
      </c>
      <c r="K74">
        <f t="shared" si="6"/>
        <v>-0.001</v>
      </c>
      <c r="L74">
        <f t="shared" si="7"/>
        <v>-0.002</v>
      </c>
    </row>
    <row r="75" spans="1:12">
      <c r="A75" s="99">
        <v>46007</v>
      </c>
      <c r="B75" s="92" t="s">
        <v>554</v>
      </c>
      <c r="C75" s="100" t="s">
        <v>631</v>
      </c>
      <c r="D75" s="110">
        <v>51.8</v>
      </c>
      <c r="E75" s="110">
        <v>52</v>
      </c>
      <c r="F75" s="110">
        <v>52.2</v>
      </c>
      <c r="G75" s="87">
        <f>IF(NOT(ISNUMBER(Table9[[#This Row],[Actual]])),"",IF(NOT(ISNUMBER(Table9[[#This Row],[Forecast]])),"",Table9[[#This Row],[Actual]]-Table9[[#This Row],[Forecast]]))</f>
        <v>-0.200000000000003</v>
      </c>
      <c r="H75" s="87">
        <f>IF(NOT(ISNUMBER(Table9[[#This Row],[Actual]])),"",IF(NOT(ISNUMBER(Table9[[#This Row],[Previous]])),"",Table9[[#This Row],[Actual]]-Table9[[#This Row],[Previous]]))</f>
        <v>-0.400000000000006</v>
      </c>
      <c r="I75" s="87" t="str">
        <f t="shared" si="4"/>
        <v>Slowing</v>
      </c>
      <c r="J75">
        <f t="shared" si="5"/>
        <v>1</v>
      </c>
      <c r="K75">
        <f t="shared" si="6"/>
        <v>-0.200000000000003</v>
      </c>
      <c r="L75">
        <f t="shared" si="7"/>
        <v>-0.400000000000006</v>
      </c>
    </row>
    <row r="76" spans="1:12">
      <c r="A76" s="99">
        <v>46007</v>
      </c>
      <c r="B76" s="92" t="s">
        <v>554</v>
      </c>
      <c r="C76" s="100" t="s">
        <v>632</v>
      </c>
      <c r="D76" s="110">
        <v>52.9</v>
      </c>
      <c r="E76" s="110">
        <v>54</v>
      </c>
      <c r="F76" s="110">
        <v>54.1</v>
      </c>
      <c r="G76" s="87">
        <f>IF(NOT(ISNUMBER(Table9[[#This Row],[Actual]])),"",IF(NOT(ISNUMBER(Table9[[#This Row],[Forecast]])),"",Table9[[#This Row],[Actual]]-Table9[[#This Row],[Forecast]]))</f>
        <v>-1.1</v>
      </c>
      <c r="H76" s="87">
        <f>IF(NOT(ISNUMBER(Table9[[#This Row],[Actual]])),"",IF(NOT(ISNUMBER(Table9[[#This Row],[Previous]])),"",Table9[[#This Row],[Actual]]-Table9[[#This Row],[Previous]]))</f>
        <v>-1.2</v>
      </c>
      <c r="I76" s="87" t="str">
        <f t="shared" si="4"/>
        <v>Slowing</v>
      </c>
      <c r="J76">
        <f t="shared" si="5"/>
        <v>1</v>
      </c>
      <c r="K76">
        <f t="shared" si="6"/>
        <v>-1.1</v>
      </c>
      <c r="L76">
        <f t="shared" si="7"/>
        <v>-1.2</v>
      </c>
    </row>
    <row r="77" spans="1:12">
      <c r="A77" s="99">
        <v>46007</v>
      </c>
      <c r="B77" s="92" t="s">
        <v>554</v>
      </c>
      <c r="C77" s="100" t="s">
        <v>642</v>
      </c>
      <c r="D77" s="109">
        <v>0.002</v>
      </c>
      <c r="E77" s="109">
        <v>0.001</v>
      </c>
      <c r="F77" s="109">
        <v>0</v>
      </c>
      <c r="G77" s="87">
        <f>IF(NOT(ISNUMBER(Table9[[#This Row],[Actual]])),"",IF(NOT(ISNUMBER(Table9[[#This Row],[Forecast]])),"",Table9[[#This Row],[Actual]]-Table9[[#This Row],[Forecast]]))</f>
        <v>0.001</v>
      </c>
      <c r="H77" s="87">
        <f>IF(NOT(ISNUMBER(Table9[[#This Row],[Actual]])),"",IF(NOT(ISNUMBER(Table9[[#This Row],[Previous]])),"",Table9[[#This Row],[Actual]]-Table9[[#This Row],[Previous]]))</f>
        <v>0.002</v>
      </c>
      <c r="I77" s="87" t="str">
        <f t="shared" si="4"/>
        <v>Slowing</v>
      </c>
      <c r="J77">
        <f t="shared" si="5"/>
        <v>-1</v>
      </c>
      <c r="K77">
        <f t="shared" si="6"/>
        <v>-0.001</v>
      </c>
      <c r="L77">
        <f t="shared" si="7"/>
        <v>-0.002</v>
      </c>
    </row>
    <row r="78" spans="1:12">
      <c r="A78" s="99">
        <v>46008</v>
      </c>
      <c r="B78" s="92" t="s">
        <v>551</v>
      </c>
      <c r="C78" s="100" t="s">
        <v>643</v>
      </c>
      <c r="D78" s="110">
        <v>87.6</v>
      </c>
      <c r="E78" s="110">
        <v>88.2</v>
      </c>
      <c r="F78" s="110">
        <v>88</v>
      </c>
      <c r="G78" s="87">
        <f>IF(NOT(ISNUMBER(Table9[[#This Row],[Actual]])),"",IF(NOT(ISNUMBER(Table9[[#This Row],[Forecast]])),"",Table9[[#This Row],[Actual]]-Table9[[#This Row],[Forecast]]))</f>
        <v>-0.600000000000009</v>
      </c>
      <c r="H78" s="87">
        <f>IF(NOT(ISNUMBER(Table9[[#This Row],[Actual]])),"",IF(NOT(ISNUMBER(Table9[[#This Row],[Previous]])),"",Table9[[#This Row],[Actual]]-Table9[[#This Row],[Previous]]))</f>
        <v>-0.400000000000006</v>
      </c>
      <c r="I78" s="87" t="str">
        <f t="shared" si="4"/>
        <v>Slowing</v>
      </c>
      <c r="J78">
        <f t="shared" si="5"/>
        <v>1</v>
      </c>
      <c r="K78">
        <f t="shared" si="6"/>
        <v>-0.600000000000009</v>
      </c>
      <c r="L78">
        <f t="shared" si="7"/>
        <v>-0.400000000000006</v>
      </c>
    </row>
    <row r="79" spans="1:12">
      <c r="A79" s="99">
        <v>46008</v>
      </c>
      <c r="B79" s="92" t="s">
        <v>569</v>
      </c>
      <c r="C79" s="100" t="s">
        <v>644</v>
      </c>
      <c r="D79" s="109">
        <v>0.024</v>
      </c>
      <c r="E79" s="109">
        <v>0.024</v>
      </c>
      <c r="F79" s="109">
        <v>0.026</v>
      </c>
      <c r="G79" s="87">
        <f>IF(NOT(ISNUMBER(Table9[[#This Row],[Actual]])),"",IF(NOT(ISNUMBER(Table9[[#This Row],[Forecast]])),"",Table9[[#This Row],[Actual]]-Table9[[#This Row],[Forecast]]))</f>
        <v>0</v>
      </c>
      <c r="H79" s="87">
        <f>IF(NOT(ISNUMBER(Table9[[#This Row],[Actual]])),"",IF(NOT(ISNUMBER(Table9[[#This Row],[Previous]])),"",Table9[[#This Row],[Actual]]-Table9[[#This Row],[Previous]]))</f>
        <v>-0.002</v>
      </c>
      <c r="I79" s="87" t="str">
        <f t="shared" si="4"/>
        <v>Mixed</v>
      </c>
      <c r="J79">
        <f t="shared" si="5"/>
        <v>1</v>
      </c>
      <c r="K79">
        <f t="shared" si="6"/>
        <v>0</v>
      </c>
      <c r="L79">
        <f t="shared" si="7"/>
        <v>-0.002</v>
      </c>
    </row>
    <row r="80" spans="1:12">
      <c r="A80" s="99">
        <v>46008</v>
      </c>
      <c r="B80" s="92" t="s">
        <v>569</v>
      </c>
      <c r="C80" s="100" t="s">
        <v>645</v>
      </c>
      <c r="D80" s="109">
        <v>0.021</v>
      </c>
      <c r="E80" s="109">
        <v>0.024</v>
      </c>
      <c r="F80" s="109">
        <v>0.024</v>
      </c>
      <c r="G80" s="87">
        <f>IF(NOT(ISNUMBER(Table9[[#This Row],[Actual]])),"",IF(NOT(ISNUMBER(Table9[[#This Row],[Forecast]])),"",Table9[[#This Row],[Actual]]-Table9[[#This Row],[Forecast]]))</f>
        <v>-0.003</v>
      </c>
      <c r="H80" s="87">
        <f>IF(NOT(ISNUMBER(Table9[[#This Row],[Actual]])),"",IF(NOT(ISNUMBER(Table9[[#This Row],[Previous]])),"",Table9[[#This Row],[Actual]]-Table9[[#This Row],[Previous]]))</f>
        <v>-0.003</v>
      </c>
      <c r="I80" s="87" t="str">
        <f t="shared" si="4"/>
        <v>Slowing</v>
      </c>
      <c r="J80">
        <f t="shared" si="5"/>
        <v>1</v>
      </c>
      <c r="K80">
        <f t="shared" si="6"/>
        <v>-0.003</v>
      </c>
      <c r="L80">
        <f t="shared" si="7"/>
        <v>-0.003</v>
      </c>
    </row>
    <row r="81" spans="1:12">
      <c r="A81" s="99">
        <v>46009</v>
      </c>
      <c r="B81" s="92" t="s">
        <v>551</v>
      </c>
      <c r="C81" s="100" t="s">
        <v>646</v>
      </c>
      <c r="D81" s="109">
        <v>0.0215</v>
      </c>
      <c r="E81" s="109">
        <v>0.0215</v>
      </c>
      <c r="F81" s="109">
        <v>0.0215</v>
      </c>
      <c r="G81" s="87">
        <f>IF(NOT(ISNUMBER(Table9[[#This Row],[Actual]])),"",IF(NOT(ISNUMBER(Table9[[#This Row],[Forecast]])),"",Table9[[#This Row],[Actual]]-Table9[[#This Row],[Forecast]]))</f>
        <v>0</v>
      </c>
      <c r="H81" s="87">
        <f>IF(NOT(ISNUMBER(Table9[[#This Row],[Actual]])),"",IF(NOT(ISNUMBER(Table9[[#This Row],[Previous]])),"",Table9[[#This Row],[Actual]]-Table9[[#This Row],[Previous]]))</f>
        <v>0</v>
      </c>
      <c r="I81" s="87" t="str">
        <f t="shared" si="4"/>
        <v>Stable</v>
      </c>
      <c r="J81">
        <f t="shared" si="5"/>
        <v>1</v>
      </c>
      <c r="K81">
        <f t="shared" si="6"/>
        <v>0</v>
      </c>
      <c r="L81">
        <f t="shared" si="7"/>
        <v>0</v>
      </c>
    </row>
    <row r="82" spans="1:12">
      <c r="A82" s="99">
        <v>46009</v>
      </c>
      <c r="B82" s="92" t="s">
        <v>561</v>
      </c>
      <c r="C82" s="100" t="s">
        <v>647</v>
      </c>
      <c r="D82" s="109">
        <v>0.027</v>
      </c>
      <c r="E82" s="109">
        <v>0.031</v>
      </c>
      <c r="F82" s="109">
        <v>0.03</v>
      </c>
      <c r="G82" s="87">
        <f>IF(NOT(ISNUMBER(Table9[[#This Row],[Actual]])),"",IF(NOT(ISNUMBER(Table9[[#This Row],[Forecast]])),"",Table9[[#This Row],[Actual]]-Table9[[#This Row],[Forecast]]))</f>
        <v>-0.004</v>
      </c>
      <c r="H82" s="87">
        <f>IF(NOT(ISNUMBER(Table9[[#This Row],[Actual]])),"",IF(NOT(ISNUMBER(Table9[[#This Row],[Previous]])),"",Table9[[#This Row],[Actual]]-Table9[[#This Row],[Previous]]))</f>
        <v>-0.003</v>
      </c>
      <c r="I82" s="87" t="str">
        <f t="shared" si="4"/>
        <v>Slowing</v>
      </c>
      <c r="J82">
        <f t="shared" si="5"/>
        <v>1</v>
      </c>
      <c r="K82">
        <f t="shared" si="6"/>
        <v>-0.004</v>
      </c>
      <c r="L82">
        <f t="shared" si="7"/>
        <v>-0.003</v>
      </c>
    </row>
    <row r="83" spans="1:12">
      <c r="A83" s="99">
        <v>46009</v>
      </c>
      <c r="B83" s="92" t="s">
        <v>565</v>
      </c>
      <c r="C83" s="100" t="s">
        <v>617</v>
      </c>
      <c r="D83" s="110">
        <v>224</v>
      </c>
      <c r="E83" s="110">
        <v>224</v>
      </c>
      <c r="F83" s="110">
        <v>236</v>
      </c>
      <c r="G83" s="87">
        <f>IF(NOT(ISNUMBER(Table9[[#This Row],[Actual]])),"",IF(NOT(ISNUMBER(Table9[[#This Row],[Forecast]])),"",Table9[[#This Row],[Actual]]-Table9[[#This Row],[Forecast]]))</f>
        <v>0</v>
      </c>
      <c r="H83" s="87">
        <f>IF(NOT(ISNUMBER(Table9[[#This Row],[Actual]])),"",IF(NOT(ISNUMBER(Table9[[#This Row],[Previous]])),"",Table9[[#This Row],[Actual]]-Table9[[#This Row],[Previous]]))</f>
        <v>-12</v>
      </c>
      <c r="I83" s="87" t="str">
        <f t="shared" si="4"/>
        <v>Mixed</v>
      </c>
      <c r="J83">
        <f t="shared" si="5"/>
        <v>-1</v>
      </c>
      <c r="K83">
        <f t="shared" si="6"/>
        <v>0</v>
      </c>
      <c r="L83">
        <f t="shared" si="7"/>
        <v>12</v>
      </c>
    </row>
    <row r="84" spans="1:12">
      <c r="A84" s="99">
        <v>46009</v>
      </c>
      <c r="B84" s="92" t="s">
        <v>554</v>
      </c>
      <c r="C84" s="100" t="s">
        <v>648</v>
      </c>
      <c r="D84" s="110">
        <v>-10.2</v>
      </c>
      <c r="E84" s="110">
        <v>2.5</v>
      </c>
      <c r="F84" s="110">
        <v>-1.7</v>
      </c>
      <c r="G84" s="87">
        <f>IF(NOT(ISNUMBER(Table9[[#This Row],[Actual]])),"",IF(NOT(ISNUMBER(Table9[[#This Row],[Forecast]])),"",Table9[[#This Row],[Actual]]-Table9[[#This Row],[Forecast]]))</f>
        <v>-12.7</v>
      </c>
      <c r="H84" s="87">
        <f>IF(NOT(ISNUMBER(Table9[[#This Row],[Actual]])),"",IF(NOT(ISNUMBER(Table9[[#This Row],[Previous]])),"",Table9[[#This Row],[Actual]]-Table9[[#This Row],[Previous]]))</f>
        <v>-8.5</v>
      </c>
      <c r="I84" s="87" t="str">
        <f t="shared" si="4"/>
        <v>Slowing</v>
      </c>
      <c r="J84">
        <f t="shared" si="5"/>
        <v>1</v>
      </c>
      <c r="K84">
        <f t="shared" si="6"/>
        <v>-12.7</v>
      </c>
      <c r="L84">
        <f t="shared" si="7"/>
        <v>-8.5</v>
      </c>
    </row>
    <row r="85" spans="1:12">
      <c r="A85" s="99">
        <v>46009</v>
      </c>
      <c r="B85" s="92" t="s">
        <v>554</v>
      </c>
      <c r="C85" s="100" t="s">
        <v>649</v>
      </c>
      <c r="D85" s="110">
        <v>17.5</v>
      </c>
      <c r="E85" s="110">
        <v>122.7</v>
      </c>
      <c r="F85" s="110">
        <v>173.28</v>
      </c>
      <c r="G85" s="87">
        <f>IF(NOT(ISNUMBER(Table9[[#This Row],[Actual]])),"",IF(NOT(ISNUMBER(Table9[[#This Row],[Forecast]])),"",Table9[[#This Row],[Actual]]-Table9[[#This Row],[Forecast]]))</f>
        <v>-105.2</v>
      </c>
      <c r="H85" s="87">
        <f>IF(NOT(ISNUMBER(Table9[[#This Row],[Actual]])),"",IF(NOT(ISNUMBER(Table9[[#This Row],[Previous]])),"",Table9[[#This Row],[Actual]]-Table9[[#This Row],[Previous]]))</f>
        <v>-155.78</v>
      </c>
      <c r="I85" s="87" t="str">
        <f t="shared" si="4"/>
        <v>Slowing</v>
      </c>
      <c r="J85">
        <f t="shared" si="5"/>
        <v>1</v>
      </c>
      <c r="K85">
        <f t="shared" si="6"/>
        <v>-105.2</v>
      </c>
      <c r="L85">
        <f t="shared" si="7"/>
        <v>-155.78</v>
      </c>
    </row>
    <row r="86" spans="1:12">
      <c r="A86" s="99">
        <v>46009</v>
      </c>
      <c r="B86" s="92" t="s">
        <v>650</v>
      </c>
      <c r="C86" s="100" t="s">
        <v>651</v>
      </c>
      <c r="D86" s="109">
        <v>0.03</v>
      </c>
      <c r="E86" s="109">
        <v>0.03</v>
      </c>
      <c r="F86" s="109">
        <v>0.03</v>
      </c>
      <c r="G86" s="87">
        <f>IF(NOT(ISNUMBER(Table9[[#This Row],[Actual]])),"",IF(NOT(ISNUMBER(Table9[[#This Row],[Forecast]])),"",Table9[[#This Row],[Actual]]-Table9[[#This Row],[Forecast]]))</f>
        <v>0</v>
      </c>
      <c r="H86" s="87">
        <f>IF(NOT(ISNUMBER(Table9[[#This Row],[Actual]])),"",IF(NOT(ISNUMBER(Table9[[#This Row],[Previous]])),"",Table9[[#This Row],[Actual]]-Table9[[#This Row],[Previous]]))</f>
        <v>0</v>
      </c>
      <c r="I86" s="87" t="str">
        <f t="shared" si="4"/>
        <v>Stable</v>
      </c>
      <c r="J86">
        <f t="shared" si="5"/>
        <v>1</v>
      </c>
      <c r="K86">
        <f t="shared" si="6"/>
        <v>0</v>
      </c>
      <c r="L86">
        <f t="shared" si="7"/>
        <v>0</v>
      </c>
    </row>
    <row r="87" spans="1:12">
      <c r="A87" s="99">
        <v>46009</v>
      </c>
      <c r="B87" s="92" t="s">
        <v>652</v>
      </c>
      <c r="C87" s="100" t="s">
        <v>653</v>
      </c>
      <c r="D87" s="109">
        <v>0.0075</v>
      </c>
      <c r="E87" s="109">
        <v>0.0075</v>
      </c>
      <c r="F87" s="109">
        <v>0.005</v>
      </c>
      <c r="G87" s="87">
        <f>IF(NOT(ISNUMBER(Table9[[#This Row],[Actual]])),"",IF(NOT(ISNUMBER(Table9[[#This Row],[Forecast]])),"",Table9[[#This Row],[Actual]]-Table9[[#This Row],[Forecast]]))</f>
        <v>0</v>
      </c>
      <c r="H87" s="87">
        <f>IF(NOT(ISNUMBER(Table9[[#This Row],[Actual]])),"",IF(NOT(ISNUMBER(Table9[[#This Row],[Previous]])),"",Table9[[#This Row],[Actual]]-Table9[[#This Row],[Previous]]))</f>
        <v>0.0025</v>
      </c>
      <c r="I87" s="87" t="str">
        <f t="shared" si="4"/>
        <v>Mixed</v>
      </c>
      <c r="J87">
        <f t="shared" si="5"/>
        <v>1</v>
      </c>
      <c r="K87">
        <f t="shared" si="6"/>
        <v>0</v>
      </c>
      <c r="L87">
        <f t="shared" si="7"/>
        <v>0.0025</v>
      </c>
    </row>
    <row r="88" spans="1:12">
      <c r="A88" s="99">
        <v>46010</v>
      </c>
      <c r="B88" s="92" t="s">
        <v>652</v>
      </c>
      <c r="C88" s="100" t="s">
        <v>654</v>
      </c>
      <c r="D88" s="110">
        <v>-26.9</v>
      </c>
      <c r="E88" s="110">
        <v>-23</v>
      </c>
      <c r="F88" s="110">
        <v>-23.2</v>
      </c>
      <c r="G88" s="87">
        <f>IF(NOT(ISNUMBER(Table9[[#This Row],[Actual]])),"",IF(NOT(ISNUMBER(Table9[[#This Row],[Forecast]])),"",Table9[[#This Row],[Actual]]-Table9[[#This Row],[Forecast]]))</f>
        <v>-3.9</v>
      </c>
      <c r="H88" s="87">
        <f>IF(NOT(ISNUMBER(Table9[[#This Row],[Actual]])),"",IF(NOT(ISNUMBER(Table9[[#This Row],[Previous]])),"",Table9[[#This Row],[Actual]]-Table9[[#This Row],[Previous]]))</f>
        <v>-3.7</v>
      </c>
      <c r="I88" s="87" t="str">
        <f t="shared" si="4"/>
        <v>Slowing</v>
      </c>
      <c r="J88">
        <f t="shared" si="5"/>
        <v>1</v>
      </c>
      <c r="K88">
        <f t="shared" si="6"/>
        <v>-3.9</v>
      </c>
      <c r="L88">
        <f t="shared" si="7"/>
        <v>-3.7</v>
      </c>
    </row>
    <row r="89" spans="1:12">
      <c r="A89" s="99">
        <v>46010</v>
      </c>
      <c r="B89" s="92" t="s">
        <v>652</v>
      </c>
      <c r="C89" s="100" t="s">
        <v>655</v>
      </c>
      <c r="D89" s="109">
        <v>0</v>
      </c>
      <c r="E89" s="109">
        <v>0.001</v>
      </c>
      <c r="F89" s="109">
        <v>0.001</v>
      </c>
      <c r="G89" s="87">
        <f>IF(NOT(ISNUMBER(Table9[[#This Row],[Actual]])),"",IF(NOT(ISNUMBER(Table9[[#This Row],[Forecast]])),"",Table9[[#This Row],[Actual]]-Table9[[#This Row],[Forecast]]))</f>
        <v>-0.001</v>
      </c>
      <c r="H89" s="87">
        <f>IF(NOT(ISNUMBER(Table9[[#This Row],[Actual]])),"",IF(NOT(ISNUMBER(Table9[[#This Row],[Previous]])),"",Table9[[#This Row],[Actual]]-Table9[[#This Row],[Previous]]))</f>
        <v>-0.001</v>
      </c>
      <c r="I89" s="87" t="str">
        <f t="shared" si="4"/>
        <v>Slowing</v>
      </c>
      <c r="J89">
        <f t="shared" si="5"/>
        <v>1</v>
      </c>
      <c r="K89">
        <f t="shared" si="6"/>
        <v>-0.001</v>
      </c>
      <c r="L89">
        <f t="shared" si="7"/>
        <v>-0.001</v>
      </c>
    </row>
    <row r="90" spans="1:12">
      <c r="A90" s="99">
        <v>45996</v>
      </c>
      <c r="B90" s="104" t="s">
        <v>572</v>
      </c>
      <c r="C90" s="100" t="s">
        <v>656</v>
      </c>
      <c r="D90" s="101">
        <v>0.002</v>
      </c>
      <c r="E90" s="101">
        <v>0.001</v>
      </c>
      <c r="F90" s="101">
        <v>0.001</v>
      </c>
      <c r="G90" s="87">
        <f>IF(NOT(ISNUMBER(Table9[[#This Row],[Actual]])),"",IF(NOT(ISNUMBER(Table9[[#This Row],[Forecast]])),"",Table9[[#This Row],[Actual]]-Table9[[#This Row],[Forecast]]))</f>
        <v>0.001</v>
      </c>
      <c r="H90" s="87">
        <f>IF(NOT(ISNUMBER(Table9[[#This Row],[Actual]])),"",IF(NOT(ISNUMBER(Table9[[#This Row],[Previous]])),"",Table9[[#This Row],[Actual]]-Table9[[#This Row],[Previous]]))</f>
        <v>0.001</v>
      </c>
      <c r="I90" s="87" t="str">
        <f t="shared" si="4"/>
        <v>Accelerating</v>
      </c>
      <c r="J90">
        <f t="shared" si="5"/>
        <v>1</v>
      </c>
      <c r="K90">
        <f t="shared" si="6"/>
        <v>0.001</v>
      </c>
      <c r="L90">
        <f t="shared" si="7"/>
        <v>0.001</v>
      </c>
    </row>
  </sheetData>
  <pageMargins left="0.7" right="0.7" top="0.75" bottom="0.75" header="0.3" footer="0.3"/>
  <pageSetup paperSize="1" orientation="portrait"/>
  <headerFooter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zoomScale="10" zoomScaleNormal="10" workbookViewId="0">
      <selection activeCell="AS44" sqref="AS44"/>
    </sheetView>
  </sheetViews>
  <sheetFormatPr defaultColWidth="9" defaultRowHeight="14.5"/>
  <cols>
    <col min="1" max="1" width="11.8545454545455" customWidth="1"/>
    <col min="2" max="2" width="10.2818181818182" customWidth="1"/>
    <col min="3" max="3" width="20.2818181818182" customWidth="1"/>
    <col min="4" max="4" width="7.57272727272727" customWidth="1"/>
    <col min="5" max="5" width="20.8545454545455" customWidth="1"/>
    <col min="6" max="6" width="8.42727272727273" customWidth="1"/>
    <col min="7" max="7" width="20.8545454545455" customWidth="1"/>
    <col min="8" max="8" width="7.57272727272727" customWidth="1"/>
    <col min="9" max="9" width="10.4272727272727" customWidth="1"/>
    <col min="10" max="10" width="13.5727272727273" customWidth="1"/>
    <col min="12" max="13" width="10.1363636363636" customWidth="1"/>
  </cols>
  <sheetData>
    <row r="1" spans="1:15">
      <c r="A1" t="s">
        <v>32</v>
      </c>
      <c r="B1" t="s">
        <v>657</v>
      </c>
      <c r="C1" t="s">
        <v>658</v>
      </c>
      <c r="D1" t="s">
        <v>659</v>
      </c>
      <c r="E1" t="s">
        <v>660</v>
      </c>
      <c r="F1" t="s">
        <v>661</v>
      </c>
      <c r="G1" t="s">
        <v>662</v>
      </c>
      <c r="H1" t="s">
        <v>663</v>
      </c>
      <c r="I1" t="s">
        <v>664</v>
      </c>
      <c r="J1" t="s">
        <v>665</v>
      </c>
      <c r="O1" s="83"/>
    </row>
    <row r="2" spans="1:15">
      <c r="A2" s="84">
        <v>46050</v>
      </c>
      <c r="B2" t="s">
        <v>666</v>
      </c>
      <c r="C2">
        <v>3.625</v>
      </c>
      <c r="D2" s="12">
        <v>0.756</v>
      </c>
      <c r="E2" s="85">
        <v>3.875</v>
      </c>
      <c r="F2" s="12">
        <v>0</v>
      </c>
      <c r="G2">
        <v>3.375</v>
      </c>
      <c r="H2" s="12">
        <v>0.244</v>
      </c>
      <c r="I2" s="85">
        <f t="shared" ref="I2:I12" si="0">IF(B2="","",IF(SUM(D2,F2,H2)=0,"",(C2*D2+E2*F2+G2*H2)/SUM(D2,F2,H2)))</f>
        <v>3.564</v>
      </c>
      <c r="J2" s="86">
        <f>IF(I2="","",ROUND((IF(B2="US",Macro_Data!$Z$2,IF(B2="ECB",Macro_Data!$Z$3,""))-I2)/0.25,0))</f>
        <v>3</v>
      </c>
      <c r="L2" s="12"/>
      <c r="M2" s="12"/>
    </row>
    <row r="3" spans="1:15">
      <c r="A3" s="84">
        <v>46082</v>
      </c>
      <c r="B3" t="s">
        <v>666</v>
      </c>
      <c r="C3">
        <v>3.625</v>
      </c>
      <c r="D3" s="12">
        <v>0.505</v>
      </c>
      <c r="E3" s="85">
        <v>3.875</v>
      </c>
      <c r="F3" s="12">
        <v>0</v>
      </c>
      <c r="G3">
        <v>3.375</v>
      </c>
      <c r="H3" s="12">
        <v>0.414</v>
      </c>
      <c r="I3" s="85">
        <f t="shared" si="0"/>
        <v>3.51237758433079</v>
      </c>
      <c r="J3" s="86">
        <f>IF(I3="","",ROUND((IF(B3="US",Macro_Data!$Z$2,IF(B3="ECB",Macro_Data!$Z$3,""))-I3)/0.25,0))</f>
        <v>3</v>
      </c>
      <c r="L3" s="12"/>
      <c r="M3" s="12"/>
    </row>
    <row r="4" spans="1:15">
      <c r="A4" s="84">
        <v>46141</v>
      </c>
      <c r="B4" t="s">
        <v>666</v>
      </c>
      <c r="C4">
        <v>3.625</v>
      </c>
      <c r="D4" s="12">
        <v>0.39</v>
      </c>
      <c r="E4" s="85">
        <v>3.875</v>
      </c>
      <c r="F4" s="12">
        <v>0</v>
      </c>
      <c r="G4">
        <v>3.375</v>
      </c>
      <c r="H4" s="12">
        <v>0.157</v>
      </c>
      <c r="I4" s="85">
        <f t="shared" si="0"/>
        <v>3.5532449725777</v>
      </c>
      <c r="J4" s="86">
        <f>IF(I4="","",ROUND((IF(B4="US",Macro_Data!$Z$2,IF(B4="ECB",Macro_Data!$Z$3,""))-I4)/0.25,0))</f>
        <v>3</v>
      </c>
    </row>
    <row r="5" spans="1:15">
      <c r="A5" s="84">
        <v>46190</v>
      </c>
      <c r="B5" t="s">
        <v>666</v>
      </c>
      <c r="C5">
        <v>3.625</v>
      </c>
      <c r="D5" s="12">
        <v>0.186</v>
      </c>
      <c r="E5" s="85">
        <v>3.875</v>
      </c>
      <c r="F5" s="12">
        <v>0</v>
      </c>
      <c r="G5">
        <v>3.375</v>
      </c>
      <c r="H5" s="12">
        <v>0.39</v>
      </c>
      <c r="I5" s="85">
        <f t="shared" si="0"/>
        <v>3.45572916666667</v>
      </c>
      <c r="J5" s="86">
        <f>IF(I5="","",ROUND((IF(B5="US",Macro_Data!$Z$2,IF(B5="ECB",Macro_Data!$Z$3,""))-I5)/0.25,0))</f>
        <v>4</v>
      </c>
    </row>
    <row r="6" spans="1:15">
      <c r="A6" s="84">
        <v>46232</v>
      </c>
      <c r="B6" t="s">
        <v>666</v>
      </c>
      <c r="C6">
        <v>3.625</v>
      </c>
      <c r="D6" s="12">
        <v>0.135</v>
      </c>
      <c r="E6" s="85">
        <v>3.875</v>
      </c>
      <c r="F6" s="12">
        <v>0</v>
      </c>
      <c r="G6">
        <v>3.375</v>
      </c>
      <c r="H6" s="12">
        <v>0.355</v>
      </c>
      <c r="I6" s="85">
        <f t="shared" si="0"/>
        <v>3.44387755102041</v>
      </c>
      <c r="J6" s="86">
        <f>IF(I6="","",ROUND((IF(B6="US",Macro_Data!$Z$2,IF(B6="ECB",Macro_Data!$Z$3,""))-I6)/0.25,0))</f>
        <v>4</v>
      </c>
    </row>
    <row r="7" spans="1:15">
      <c r="A7" s="84">
        <v>46056</v>
      </c>
      <c r="B7" t="s">
        <v>667</v>
      </c>
      <c r="C7">
        <v>1.75</v>
      </c>
      <c r="D7" s="12">
        <v>0</v>
      </c>
      <c r="E7" s="85">
        <v>2</v>
      </c>
      <c r="F7" s="12">
        <v>0.847</v>
      </c>
      <c r="G7">
        <v>2.25</v>
      </c>
      <c r="H7" s="12">
        <v>0.018</v>
      </c>
      <c r="I7" s="85">
        <f t="shared" si="0"/>
        <v>2.00520231213873</v>
      </c>
      <c r="J7" s="86">
        <f>IF(I7="","",ROUND((IF(B7="US",Macro_Data!$Z$2,IF(B7="ECB",Macro_Data!$Z$3,""))-I7)/0.25,0))</f>
        <v>0</v>
      </c>
    </row>
    <row r="8" spans="1:15">
      <c r="A8" s="84">
        <v>46098</v>
      </c>
      <c r="B8" t="s">
        <v>667</v>
      </c>
      <c r="C8">
        <v>1.75</v>
      </c>
      <c r="D8" s="12">
        <v>0.243</v>
      </c>
      <c r="E8" s="85">
        <v>2</v>
      </c>
      <c r="F8" s="12">
        <v>0.721</v>
      </c>
      <c r="G8">
        <v>2.25</v>
      </c>
      <c r="H8" s="12">
        <v>0.016</v>
      </c>
      <c r="I8" s="85">
        <f t="shared" si="0"/>
        <v>1.94209183673469</v>
      </c>
      <c r="J8" s="86">
        <f>IF(I8="","",ROUND((IF(B8="US",Macro_Data!$Z$2,IF(B8="ECB",Macro_Data!$Z$3,""))-I8)/0.25,0))</f>
        <v>0</v>
      </c>
    </row>
    <row r="9" spans="1:15">
      <c r="A9" s="84">
        <v>46140</v>
      </c>
      <c r="B9" t="s">
        <v>667</v>
      </c>
      <c r="C9">
        <v>1.75</v>
      </c>
      <c r="D9" s="12">
        <v>0.288</v>
      </c>
      <c r="E9" s="85">
        <v>2</v>
      </c>
      <c r="F9" s="12">
        <v>0.655</v>
      </c>
      <c r="G9">
        <v>2.25</v>
      </c>
      <c r="H9" s="12">
        <v>0.014</v>
      </c>
      <c r="I9" s="85">
        <f t="shared" si="0"/>
        <v>1.92842215256008</v>
      </c>
      <c r="J9" s="86">
        <f>IF(I9="","",ROUND((IF(B9="US",Macro_Data!$Z$2,IF(B9="ECB",Macro_Data!$Z$3,""))-I9)/0.25,0))</f>
        <v>0</v>
      </c>
    </row>
    <row r="10" spans="1:15">
      <c r="A10" s="84">
        <v>46182</v>
      </c>
      <c r="B10" t="s">
        <v>667</v>
      </c>
      <c r="C10">
        <v>1.75</v>
      </c>
      <c r="D10" s="12">
        <v>0.304</v>
      </c>
      <c r="E10" s="85">
        <v>2</v>
      </c>
      <c r="F10" s="12">
        <v>0.627</v>
      </c>
      <c r="G10">
        <v>2.25</v>
      </c>
      <c r="H10" s="12">
        <v>0.014</v>
      </c>
      <c r="I10" s="85">
        <f t="shared" si="0"/>
        <v>1.92328042328042</v>
      </c>
      <c r="J10" s="86">
        <f>IF(I10="","",ROUND((IF(B10="US",Macro_Data!$Z$2,IF(B10="ECB",Macro_Data!$Z$3,""))-I10)/0.25,0))</f>
        <v>0</v>
      </c>
    </row>
    <row r="11" spans="1:15">
      <c r="A11" s="84">
        <v>46224</v>
      </c>
      <c r="B11" t="s">
        <v>667</v>
      </c>
      <c r="C11">
        <v>1.75</v>
      </c>
      <c r="D11" s="12">
        <v>0.31</v>
      </c>
      <c r="E11" s="85">
        <v>2</v>
      </c>
      <c r="F11" s="12">
        <v>0.614</v>
      </c>
      <c r="G11">
        <v>2.25</v>
      </c>
      <c r="H11" s="12">
        <v>0.013</v>
      </c>
      <c r="I11" s="85">
        <f t="shared" si="0"/>
        <v>1.92075773745998</v>
      </c>
      <c r="J11" s="86">
        <f>IF(I11="","",ROUND((IF(B11="US",Macro_Data!$Z$2,IF(B11="ECB",Macro_Data!$Z$3,""))-I11)/0.25,0))</f>
        <v>0</v>
      </c>
    </row>
    <row r="12" spans="1:15">
      <c r="A12" s="84">
        <v>46274</v>
      </c>
      <c r="B12" t="s">
        <v>667</v>
      </c>
      <c r="C12">
        <v>1.75</v>
      </c>
      <c r="D12" s="12">
        <v>0.312</v>
      </c>
      <c r="E12" s="85">
        <v>2</v>
      </c>
      <c r="F12" s="12">
        <v>0.612</v>
      </c>
      <c r="G12">
        <v>2.25</v>
      </c>
      <c r="H12" s="12">
        <v>0.013</v>
      </c>
      <c r="I12" s="85">
        <f t="shared" si="0"/>
        <v>1.92022411953042</v>
      </c>
      <c r="J12" s="86">
        <f>IF(I12="","",ROUND((IF(B12="US",Macro_Data!$Z$2,IF(B12="ECB",Macro_Data!$Z$3,""))-I12)/0.25,0))</f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zoomScale="10" zoomScaleNormal="10" workbookViewId="0">
      <selection activeCell="BM137" sqref="BM137"/>
    </sheetView>
  </sheetViews>
  <sheetFormatPr defaultColWidth="9" defaultRowHeight="14.5"/>
  <cols>
    <col min="1" max="1" width="7.42727272727273" customWidth="1"/>
    <col min="2" max="2" width="14" customWidth="1"/>
    <col min="3" max="3" width="9.28181818181818" customWidth="1"/>
    <col min="7" max="7" width="8.42727272727273" customWidth="1"/>
    <col min="8" max="8" width="13.4272727272727" customWidth="1"/>
    <col min="10" max="10" width="13.5727272727273" customWidth="1"/>
    <col min="11" max="11" width="13" customWidth="1"/>
    <col min="12" max="13" width="9.13636363636364" customWidth="1"/>
    <col min="14" max="14" width="13" customWidth="1"/>
    <col min="16" max="16" width="13" customWidth="1"/>
  </cols>
  <sheetData>
    <row r="1" spans="1:16">
      <c r="A1" t="s">
        <v>32</v>
      </c>
      <c r="B1" t="s">
        <v>668</v>
      </c>
      <c r="C1" t="s">
        <v>669</v>
      </c>
      <c r="D1" t="s">
        <v>258</v>
      </c>
      <c r="E1" t="s">
        <v>533</v>
      </c>
      <c r="F1" t="s">
        <v>670</v>
      </c>
      <c r="G1" t="s">
        <v>671</v>
      </c>
      <c r="H1" t="s">
        <v>672</v>
      </c>
      <c r="I1" t="s">
        <v>42</v>
      </c>
      <c r="J1" t="s">
        <v>673</v>
      </c>
      <c r="L1" t="s">
        <v>674</v>
      </c>
      <c r="M1">
        <v>1</v>
      </c>
      <c r="P1" t="s">
        <v>675</v>
      </c>
    </row>
    <row r="2" spans="1:16">
      <c r="A2" s="82">
        <v>45959</v>
      </c>
      <c r="B2" t="s">
        <v>675</v>
      </c>
      <c r="C2" t="s">
        <v>676</v>
      </c>
      <c r="G2" t="s">
        <v>474</v>
      </c>
      <c r="H2">
        <f t="shared" ref="H2:H34" si="0">IF(G2="","",VLOOKUP(G2,$L$1:$M$3,2,FALSE))</f>
        <v>0</v>
      </c>
      <c r="L2" t="s">
        <v>474</v>
      </c>
      <c r="M2">
        <v>0</v>
      </c>
      <c r="P2" t="s">
        <v>677</v>
      </c>
    </row>
    <row r="3" spans="1:16">
      <c r="A3" s="82">
        <v>45967</v>
      </c>
      <c r="B3" t="s">
        <v>675</v>
      </c>
      <c r="C3" t="s">
        <v>678</v>
      </c>
      <c r="G3" t="s">
        <v>674</v>
      </c>
      <c r="H3">
        <f t="shared" si="0"/>
        <v>1</v>
      </c>
      <c r="L3" t="s">
        <v>679</v>
      </c>
      <c r="M3">
        <v>-1</v>
      </c>
      <c r="P3" t="s">
        <v>667</v>
      </c>
    </row>
    <row r="4" spans="1:16">
      <c r="A4" s="82">
        <v>45967</v>
      </c>
      <c r="B4" t="s">
        <v>675</v>
      </c>
      <c r="C4" t="s">
        <v>680</v>
      </c>
      <c r="G4" t="s">
        <v>674</v>
      </c>
      <c r="H4">
        <f t="shared" si="0"/>
        <v>1</v>
      </c>
    </row>
    <row r="5" spans="1:16">
      <c r="A5" s="82">
        <v>45971</v>
      </c>
      <c r="B5" t="s">
        <v>675</v>
      </c>
      <c r="C5" t="s">
        <v>681</v>
      </c>
      <c r="G5" t="s">
        <v>674</v>
      </c>
      <c r="H5">
        <f t="shared" si="0"/>
        <v>1</v>
      </c>
    </row>
    <row r="6" spans="1:16">
      <c r="A6" s="82">
        <v>45971</v>
      </c>
      <c r="B6" t="s">
        <v>675</v>
      </c>
      <c r="C6" t="s">
        <v>682</v>
      </c>
      <c r="G6" t="s">
        <v>679</v>
      </c>
      <c r="H6">
        <f t="shared" si="0"/>
        <v>-1</v>
      </c>
    </row>
    <row r="7" spans="1:16">
      <c r="A7" s="82">
        <v>45974</v>
      </c>
      <c r="B7" t="s">
        <v>675</v>
      </c>
      <c r="C7" t="s">
        <v>683</v>
      </c>
      <c r="G7" t="s">
        <v>474</v>
      </c>
      <c r="H7">
        <f t="shared" si="0"/>
        <v>0</v>
      </c>
    </row>
    <row r="8" spans="1:16">
      <c r="A8" s="82">
        <v>45979</v>
      </c>
      <c r="B8" t="s">
        <v>675</v>
      </c>
      <c r="C8" t="s">
        <v>684</v>
      </c>
      <c r="G8" t="s">
        <v>474</v>
      </c>
      <c r="H8">
        <f t="shared" si="0"/>
        <v>0</v>
      </c>
    </row>
    <row r="9" spans="1:16">
      <c r="A9" s="82">
        <v>45982</v>
      </c>
      <c r="B9" t="s">
        <v>675</v>
      </c>
      <c r="C9" t="s">
        <v>685</v>
      </c>
      <c r="G9" t="s">
        <v>674</v>
      </c>
      <c r="H9">
        <f t="shared" si="0"/>
        <v>1</v>
      </c>
    </row>
    <row r="10" spans="1:16">
      <c r="A10" s="82">
        <v>45982</v>
      </c>
      <c r="B10" t="s">
        <v>675</v>
      </c>
      <c r="C10" t="s">
        <v>686</v>
      </c>
      <c r="G10" t="s">
        <v>674</v>
      </c>
      <c r="H10">
        <f t="shared" si="0"/>
        <v>1</v>
      </c>
    </row>
    <row r="11" spans="1:16">
      <c r="A11" s="82">
        <v>45982</v>
      </c>
      <c r="B11" t="s">
        <v>675</v>
      </c>
      <c r="C11" t="s">
        <v>687</v>
      </c>
      <c r="G11" t="s">
        <v>679</v>
      </c>
      <c r="H11">
        <f t="shared" si="0"/>
        <v>-1</v>
      </c>
    </row>
    <row r="12" spans="1:16">
      <c r="A12" s="82">
        <v>45982</v>
      </c>
      <c r="B12" t="s">
        <v>675</v>
      </c>
      <c r="C12" t="s">
        <v>688</v>
      </c>
      <c r="G12" t="s">
        <v>679</v>
      </c>
      <c r="H12">
        <f t="shared" si="0"/>
        <v>-1</v>
      </c>
    </row>
    <row r="13" spans="1:16">
      <c r="A13" s="82">
        <v>45985</v>
      </c>
      <c r="B13" t="s">
        <v>675</v>
      </c>
      <c r="C13" t="s">
        <v>689</v>
      </c>
      <c r="G13" t="s">
        <v>679</v>
      </c>
      <c r="H13">
        <f t="shared" si="0"/>
        <v>-1</v>
      </c>
    </row>
    <row r="14" spans="1:16">
      <c r="A14" s="82">
        <v>45999</v>
      </c>
      <c r="B14" t="s">
        <v>667</v>
      </c>
      <c r="C14" t="s">
        <v>690</v>
      </c>
      <c r="G14" t="s">
        <v>674</v>
      </c>
      <c r="H14">
        <f t="shared" si="0"/>
        <v>1</v>
      </c>
    </row>
    <row r="15" spans="1:16">
      <c r="A15" s="82">
        <v>45999</v>
      </c>
      <c r="B15" t="s">
        <v>667</v>
      </c>
      <c r="C15" t="s">
        <v>691</v>
      </c>
      <c r="G15" t="s">
        <v>679</v>
      </c>
      <c r="H15">
        <f t="shared" si="0"/>
        <v>-1</v>
      </c>
    </row>
    <row r="16" spans="1:16">
      <c r="A16" s="82">
        <v>45999</v>
      </c>
      <c r="B16" t="s">
        <v>667</v>
      </c>
      <c r="C16" t="s">
        <v>692</v>
      </c>
      <c r="G16" t="s">
        <v>674</v>
      </c>
      <c r="H16">
        <f t="shared" si="0"/>
        <v>1</v>
      </c>
    </row>
    <row r="17" spans="1:8">
      <c r="A17" s="82">
        <v>46000</v>
      </c>
      <c r="B17" t="s">
        <v>667</v>
      </c>
      <c r="C17" t="s">
        <v>693</v>
      </c>
      <c r="G17" t="s">
        <v>674</v>
      </c>
      <c r="H17">
        <f t="shared" si="0"/>
        <v>1</v>
      </c>
    </row>
    <row r="18" spans="1:8">
      <c r="A18" s="82">
        <v>46001</v>
      </c>
      <c r="B18" t="s">
        <v>667</v>
      </c>
      <c r="C18" t="s">
        <v>694</v>
      </c>
      <c r="G18" t="s">
        <v>674</v>
      </c>
      <c r="H18">
        <f t="shared" si="0"/>
        <v>1</v>
      </c>
    </row>
    <row r="19" spans="1:8">
      <c r="A19" s="82">
        <v>46001</v>
      </c>
      <c r="B19" t="s">
        <v>667</v>
      </c>
      <c r="C19" t="s">
        <v>695</v>
      </c>
      <c r="G19" t="s">
        <v>474</v>
      </c>
      <c r="H19">
        <f t="shared" si="0"/>
        <v>0</v>
      </c>
    </row>
    <row r="20" spans="1:8">
      <c r="A20" s="82">
        <v>46001</v>
      </c>
      <c r="B20" t="s">
        <v>667</v>
      </c>
      <c r="C20" t="s">
        <v>696</v>
      </c>
      <c r="G20" t="s">
        <v>474</v>
      </c>
      <c r="H20">
        <f t="shared" si="0"/>
        <v>0</v>
      </c>
    </row>
    <row r="21" spans="1:8">
      <c r="A21" s="82">
        <v>46001</v>
      </c>
      <c r="B21" t="s">
        <v>667</v>
      </c>
      <c r="C21" t="s">
        <v>697</v>
      </c>
      <c r="G21" t="s">
        <v>474</v>
      </c>
      <c r="H21">
        <f t="shared" si="0"/>
        <v>0</v>
      </c>
    </row>
    <row r="22" spans="1:8">
      <c r="A22" s="82">
        <v>46003</v>
      </c>
      <c r="B22" t="s">
        <v>675</v>
      </c>
      <c r="C22" t="s">
        <v>698</v>
      </c>
      <c r="G22" t="s">
        <v>679</v>
      </c>
      <c r="H22">
        <f t="shared" si="0"/>
        <v>-1</v>
      </c>
    </row>
    <row r="23" spans="1:8">
      <c r="A23" s="82">
        <v>46003</v>
      </c>
      <c r="B23" t="s">
        <v>675</v>
      </c>
      <c r="C23" t="s">
        <v>680</v>
      </c>
      <c r="G23" t="s">
        <v>674</v>
      </c>
      <c r="H23">
        <f t="shared" si="0"/>
        <v>1</v>
      </c>
    </row>
    <row r="24" spans="1:8">
      <c r="A24" s="82">
        <v>46003</v>
      </c>
      <c r="B24" t="s">
        <v>675</v>
      </c>
      <c r="C24" t="s">
        <v>687</v>
      </c>
      <c r="G24" t="s">
        <v>679</v>
      </c>
      <c r="H24">
        <f t="shared" si="0"/>
        <v>-1</v>
      </c>
    </row>
    <row r="25" spans="1:8">
      <c r="A25" s="82">
        <v>46003</v>
      </c>
      <c r="B25" t="s">
        <v>675</v>
      </c>
      <c r="C25" t="s">
        <v>678</v>
      </c>
      <c r="G25" t="s">
        <v>474</v>
      </c>
      <c r="H25">
        <f t="shared" si="0"/>
        <v>0</v>
      </c>
    </row>
    <row r="26" spans="1:8">
      <c r="A26" s="82">
        <v>46006</v>
      </c>
      <c r="B26" t="s">
        <v>675</v>
      </c>
      <c r="C26" t="s">
        <v>682</v>
      </c>
      <c r="G26" t="s">
        <v>679</v>
      </c>
      <c r="H26">
        <f t="shared" si="0"/>
        <v>-1</v>
      </c>
    </row>
    <row r="27" spans="1:8">
      <c r="A27" s="82">
        <v>46006</v>
      </c>
      <c r="B27" t="s">
        <v>675</v>
      </c>
      <c r="C27" t="s">
        <v>688</v>
      </c>
      <c r="G27" t="s">
        <v>474</v>
      </c>
      <c r="H27">
        <f t="shared" si="0"/>
        <v>0</v>
      </c>
    </row>
    <row r="28" spans="1:8">
      <c r="A28" s="82">
        <v>46006</v>
      </c>
      <c r="B28" t="s">
        <v>675</v>
      </c>
      <c r="C28" t="s">
        <v>686</v>
      </c>
      <c r="G28" t="s">
        <v>474</v>
      </c>
      <c r="H28">
        <f t="shared" si="0"/>
        <v>0</v>
      </c>
    </row>
    <row r="29" spans="1:8">
      <c r="A29" s="82">
        <v>46007</v>
      </c>
      <c r="B29" t="s">
        <v>675</v>
      </c>
      <c r="C29" t="s">
        <v>699</v>
      </c>
      <c r="G29" t="s">
        <v>674</v>
      </c>
      <c r="H29">
        <f t="shared" si="0"/>
        <v>1</v>
      </c>
    </row>
    <row r="30" spans="1:8">
      <c r="A30" s="82">
        <v>46007</v>
      </c>
      <c r="B30" t="s">
        <v>675</v>
      </c>
      <c r="C30" t="s">
        <v>678</v>
      </c>
      <c r="G30" t="s">
        <v>474</v>
      </c>
      <c r="H30">
        <f t="shared" si="0"/>
        <v>0</v>
      </c>
    </row>
    <row r="31" spans="1:8">
      <c r="A31" s="82">
        <v>46008</v>
      </c>
      <c r="B31" t="s">
        <v>675</v>
      </c>
      <c r="C31" t="s">
        <v>689</v>
      </c>
      <c r="G31" t="s">
        <v>679</v>
      </c>
      <c r="H31">
        <f t="shared" si="0"/>
        <v>-1</v>
      </c>
    </row>
    <row r="32" spans="1:8">
      <c r="A32" s="82">
        <v>46008</v>
      </c>
      <c r="B32" t="s">
        <v>675</v>
      </c>
      <c r="C32" t="s">
        <v>688</v>
      </c>
      <c r="G32" t="s">
        <v>474</v>
      </c>
      <c r="H32">
        <f t="shared" si="0"/>
        <v>0</v>
      </c>
    </row>
    <row r="33" spans="1:8">
      <c r="A33" s="82">
        <v>46008</v>
      </c>
      <c r="B33" t="s">
        <v>675</v>
      </c>
      <c r="C33" t="s">
        <v>699</v>
      </c>
      <c r="G33" t="s">
        <v>674</v>
      </c>
      <c r="H33">
        <f t="shared" si="0"/>
        <v>1</v>
      </c>
    </row>
    <row r="34" spans="1:8">
      <c r="A34" s="82">
        <v>46008</v>
      </c>
      <c r="B34" t="s">
        <v>677</v>
      </c>
      <c r="C34" t="s">
        <v>700</v>
      </c>
      <c r="G34" t="s">
        <v>674</v>
      </c>
      <c r="H34">
        <f t="shared" si="0"/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5"/>
  <sheetViews>
    <sheetView workbookViewId="0">
      <selection activeCell="J15" sqref="J15"/>
    </sheetView>
  </sheetViews>
  <sheetFormatPr defaultColWidth="9" defaultRowHeight="14.5"/>
  <cols>
    <col min="1" max="1" width="14.5727272727273" customWidth="1"/>
  </cols>
  <sheetData>
    <row r="1" spans="1:1">
      <c r="A1" s="2" t="s">
        <v>701</v>
      </c>
    </row>
    <row r="2" spans="1:1">
      <c r="A2" s="2" t="s">
        <v>99</v>
      </c>
    </row>
    <row r="3" spans="1:1">
      <c r="A3" s="2" t="s">
        <v>116</v>
      </c>
    </row>
    <row r="4" spans="1:1">
      <c r="A4" s="2" t="s">
        <v>702</v>
      </c>
    </row>
    <row r="5" spans="1:1">
      <c r="A5" s="2" t="s">
        <v>101</v>
      </c>
    </row>
    <row r="6" spans="1:1">
      <c r="A6" s="2" t="s">
        <v>100</v>
      </c>
    </row>
    <row r="7" spans="1:1">
      <c r="A7" s="2" t="s">
        <v>703</v>
      </c>
    </row>
    <row r="8" spans="1:1">
      <c r="A8" s="2">
        <v>1</v>
      </c>
    </row>
    <row r="9" spans="1:1">
      <c r="A9" s="2">
        <v>2</v>
      </c>
    </row>
    <row r="10" spans="1:1">
      <c r="A10" s="2">
        <v>3</v>
      </c>
    </row>
    <row r="11" spans="1:1">
      <c r="A11" s="2" t="s">
        <v>465</v>
      </c>
    </row>
    <row r="12" spans="1:1">
      <c r="A12" s="2" t="s">
        <v>474</v>
      </c>
    </row>
    <row r="13" spans="1:1">
      <c r="A13" s="2" t="s">
        <v>478</v>
      </c>
    </row>
    <row r="14" spans="1:1">
      <c r="A14" s="2" t="s">
        <v>482</v>
      </c>
    </row>
    <row r="15" spans="1:1">
      <c r="A15" s="2" t="s">
        <v>486</v>
      </c>
    </row>
    <row r="16" spans="1:1">
      <c r="A16" s="2" t="s">
        <v>490</v>
      </c>
    </row>
    <row r="17" spans="1:1">
      <c r="A17" s="2" t="s">
        <v>495</v>
      </c>
    </row>
    <row r="18" spans="1:1">
      <c r="A18" s="2" t="s">
        <v>498</v>
      </c>
    </row>
    <row r="19" spans="1:1">
      <c r="A19" s="2" t="s">
        <v>501</v>
      </c>
    </row>
    <row r="20" spans="1:1">
      <c r="A20" s="2" t="s">
        <v>504</v>
      </c>
    </row>
    <row r="21" spans="1:1">
      <c r="A21" s="2" t="s">
        <v>704</v>
      </c>
    </row>
    <row r="22" spans="1:1">
      <c r="A22" s="2" t="s">
        <v>705</v>
      </c>
    </row>
    <row r="23" spans="1:1">
      <c r="A23" s="2" t="s">
        <v>510</v>
      </c>
    </row>
    <row r="24" spans="1:1">
      <c r="A24" s="2" t="s">
        <v>486</v>
      </c>
    </row>
    <row r="25" spans="1:1">
      <c r="A25" s="2" t="s">
        <v>511</v>
      </c>
    </row>
    <row r="26" spans="1:1">
      <c r="A26" s="2" t="s">
        <v>561</v>
      </c>
    </row>
    <row r="27" spans="1:1">
      <c r="A27" s="2" t="s">
        <v>565</v>
      </c>
    </row>
    <row r="28" spans="1:1">
      <c r="A28" s="2" t="s">
        <v>554</v>
      </c>
    </row>
    <row r="29" spans="1:1">
      <c r="A29" s="2" t="s">
        <v>569</v>
      </c>
    </row>
    <row r="30" spans="1:1">
      <c r="A30" s="2" t="s">
        <v>572</v>
      </c>
    </row>
    <row r="31" spans="1:1">
      <c r="A31" s="2" t="s">
        <v>551</v>
      </c>
    </row>
    <row r="32" spans="1:1">
      <c r="A32" s="2" t="s">
        <v>650</v>
      </c>
    </row>
    <row r="33" spans="1:1">
      <c r="A33" s="2" t="s">
        <v>706</v>
      </c>
    </row>
    <row r="34" spans="1:1">
      <c r="A34" s="2" t="s">
        <v>652</v>
      </c>
    </row>
    <row r="35" spans="1:1">
      <c r="A35" s="2" t="s">
        <v>690</v>
      </c>
    </row>
    <row r="36" spans="1:1">
      <c r="A36" s="2" t="s">
        <v>691</v>
      </c>
    </row>
    <row r="37" spans="1:1">
      <c r="A37" s="2" t="s">
        <v>693</v>
      </c>
    </row>
    <row r="38" spans="1:1">
      <c r="A38" s="2" t="s">
        <v>694</v>
      </c>
    </row>
    <row r="39" spans="1:1">
      <c r="A39" s="2" t="s">
        <v>695</v>
      </c>
    </row>
    <row r="40" spans="1:1">
      <c r="A40" s="2" t="s">
        <v>697</v>
      </c>
    </row>
    <row r="41" spans="1:1">
      <c r="A41" s="2" t="s">
        <v>696</v>
      </c>
    </row>
    <row r="42" ht="14.25" customHeight="1" spans="1:1">
      <c r="A42" s="2" t="s">
        <v>692</v>
      </c>
    </row>
    <row r="43" spans="1:1">
      <c r="A43" s="2" t="s">
        <v>681</v>
      </c>
    </row>
    <row r="44" spans="1:1">
      <c r="A44" s="2" t="s">
        <v>685</v>
      </c>
    </row>
    <row r="45" spans="1:1">
      <c r="A45" s="2" t="s">
        <v>678</v>
      </c>
    </row>
    <row r="46" spans="1:1">
      <c r="A46" s="2" t="s">
        <v>680</v>
      </c>
    </row>
    <row r="47" spans="1:1">
      <c r="A47" s="2" t="s">
        <v>683</v>
      </c>
    </row>
    <row r="48" spans="1:1">
      <c r="A48" s="2" t="s">
        <v>698</v>
      </c>
    </row>
    <row r="49" spans="1:1">
      <c r="A49" s="2" t="s">
        <v>684</v>
      </c>
    </row>
    <row r="50" spans="1:1">
      <c r="A50" s="2" t="s">
        <v>686</v>
      </c>
    </row>
    <row r="51" spans="1:1">
      <c r="A51" s="2" t="s">
        <v>682</v>
      </c>
    </row>
    <row r="52" spans="1:1">
      <c r="A52" s="2" t="s">
        <v>689</v>
      </c>
    </row>
    <row r="53" spans="1:1">
      <c r="A53" s="2" t="s">
        <v>687</v>
      </c>
    </row>
    <row r="54" spans="1:1">
      <c r="A54" s="2" t="s">
        <v>688</v>
      </c>
    </row>
    <row r="55" spans="1:1">
      <c r="A55" s="2" t="s">
        <v>676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A1" sqref="A1"/>
    </sheetView>
  </sheetViews>
  <sheetFormatPr defaultColWidth="9" defaultRowHeight="14.5" outlineLevelCol="3"/>
  <sheetData>
    <row r="1" spans="1:2">
      <c r="A1" t="s">
        <v>707</v>
      </c>
    </row>
    <row r="3" spans="1:2">
      <c r="A3" t="s">
        <v>708</v>
      </c>
      <c r="B3">
        <f ca="1">Planner_v2!AC18</f>
        <v>0.133333333333333</v>
      </c>
    </row>
    <row r="4" spans="1:2">
      <c r="A4" t="s">
        <v>709</v>
      </c>
      <c r="B4" t="str">
        <f ca="1">IF(B3="","",IF(B3&gt;=0.8,"A",IF(B3&gt;=0.65,"B",IF(B3&gt;=0.5,"C","D"))))</f>
        <v>D</v>
      </c>
    </row>
    <row r="5" spans="1:2">
      <c r="A5" t="s">
        <v>710</v>
      </c>
      <c r="B5" t="str">
        <f ca="1">IF(B4="","",IF(B4="A","High quality: ok to execute if plan rules are met.",IF(B4="B","Tradable but selective: wait for confirmation / smaller size.",IF(B4="C","Weak: wait for better location or stronger confirmation.","Avoid: observation only."))))</f>
        <v>Avoid: observation only.</v>
      </c>
    </row>
    <row r="7" spans="1:2">
      <c r="A7" t="s">
        <v>711</v>
      </c>
      <c r="B7">
        <f>IF(OR(Macro_Data!Z2="",Macro_Data!Z3=""),"",Macro_Data!Z2-Macro_Data!Z3)</f>
        <v>2.37</v>
      </c>
    </row>
    <row r="8" spans="1:2">
      <c r="A8" t="s">
        <v>712</v>
      </c>
      <c r="B8" t="str">
        <f ca="1">IF(Macro_Dashboard!B27="","",Macro_Dashboard!B27)</f>
        <v/>
      </c>
    </row>
    <row r="9" spans="1:2">
      <c r="A9" t="s">
        <v>713</v>
      </c>
      <c r="B9" t="str">
        <f ca="1">IF(Macro_Dashboard!B28="","",Macro_Dashboard!B28)</f>
        <v/>
      </c>
    </row>
    <row r="10" spans="1:2">
      <c r="A10" t="s">
        <v>714</v>
      </c>
      <c r="B10" t="str">
        <f ca="1">IF(B9="","",B9*25)</f>
        <v/>
      </c>
    </row>
    <row r="11" spans="1:2">
      <c r="A11" t="s">
        <v>715</v>
      </c>
      <c r="B11" t="str">
        <f>IF(B7="","",IF(B7&gt;0,"USD advantage now","EUR advantage now"))</f>
        <v>USD advantage now</v>
      </c>
    </row>
    <row r="12" spans="1:2">
      <c r="A12" t="s">
        <v>716</v>
      </c>
      <c r="B12" t="str">
        <f ca="1">IF(B9="","",IF(B9&lt;0,"USD advantage shrinking over ~6M","USD advantage widening over ~6M"))</f>
        <v/>
      </c>
    </row>
    <row r="14" spans="1:2">
      <c r="A14" t="s">
        <v>717</v>
      </c>
      <c r="B14" t="str">
        <f>IF(Macro_Dashboard!B30="","",IF(Macro_Dashboard!B30&gt;=0.25,"hawkish",IF(Macro_Dashboard!B30&lt;=-0.25,"dovish","neutral"))&amp;" (daily "&amp;TEXT(Macro_Dashboard!B30,"0.00")&amp;")")</f>
        <v>neutral (daily -0.08)</v>
      </c>
    </row>
    <row r="15" spans="1:2">
      <c r="A15" t="s">
        <v>718</v>
      </c>
      <c r="B15" t="str">
        <f>IF(Macro_Dashboard!B32="","",IF(Macro_Dashboard!B32&gt;=0.25,"hawkish",IF(Macro_Dashboard!B32&lt;=-0.25,"dovish","neutral"))&amp;" (daily "&amp;TEXT(Macro_Dashboard!B32,"0.00")&amp;")")</f>
        <v>hawkish (daily 0.25)</v>
      </c>
    </row>
    <row r="16" spans="1:2">
      <c r="B16" t="str">
        <f ca="1">IF(Macro_Dashboard!B31="","",IF(Macro_Dashboard!B31&gt;=0.25,"hawkish",IF(Macro_Dashboard!B31&lt;=-0.25,"dovish","neutral"))&amp;" (30d "&amp;TEXT(Macro_Dashboard!B31,"0.00")&amp;")")</f>
        <v/>
      </c>
    </row>
    <row r="17" spans="1:4">
      <c r="B17" t="str">
        <f ca="1">IF(Macro_Dashboard!B33="","",IF(Macro_Dashboard!B33&gt;=0.25,"hawkish",IF(Macro_Dashboard!B33&lt;=-0.25,"dovish","neutral"))&amp;" (30d "&amp;TEXT(Macro_Dashboard!B33,"0.00")&amp;")")</f>
        <v/>
      </c>
    </row>
    <row r="18" spans="1:4">
      <c r="B18" t="str">
        <f ca="1">IF(Macro_Dashboard!B19="Buy dips","LONG",IF(Macro_Dashboard!B19="Sell rallies","SHORT","NEUTRAL"))</f>
        <v>NEUTRAL</v>
      </c>
    </row>
    <row r="19" spans="1:4">
      <c r="A19" t="s">
        <v>61</v>
      </c>
      <c r="B19" t="str">
        <f>IF(Planner_v2!L1="","",Planner_v2!L1)</f>
        <v/>
      </c>
    </row>
    <row r="20" spans="1:4">
      <c r="B20" t="str">
        <f ca="1">IF(OR(B18="NEUTRAL",B19=""),"",IF(B18=B19,"Aligned: macro "&amp;Macro_Dashboard!B19&amp;" matches technical "&amp;B19,"Misaligned: macro "&amp;Macro_Dashboard!B19&amp;" vs technical "&amp;B19))</f>
        <v/>
      </c>
    </row>
    <row r="21" spans="1:4">
      <c r="A21" t="s">
        <v>719</v>
      </c>
      <c r="B21">
        <f>IF(Planner_HUD!K5="","",Planner_HUD!K5)</f>
        <v>1.13</v>
      </c>
      <c r="C21" t="e">
        <f>IF(B21="",1E+99,ABS(B21-B19))</f>
        <v>#VALUE!</v>
      </c>
      <c r="D21">
        <f>IF(Planner_HUD!K6="","",Planner_HUD!K6)</f>
        <v>1.46</v>
      </c>
    </row>
    <row r="22" spans="1:4">
      <c r="A22" t="s">
        <v>720</v>
      </c>
      <c r="B22">
        <f>IF(Planner_HUD!K7="","",Planner_HUD!K7)</f>
        <v>1.18</v>
      </c>
      <c r="C22" t="e">
        <f>IF(B22="",1E+99,ABS(B22-B19))</f>
        <v>#VALUE!</v>
      </c>
      <c r="D22">
        <f>IF(Planner_HUD!K8="","",Planner_HUD!K8)</f>
        <v>1.136</v>
      </c>
    </row>
    <row r="23" spans="1:4">
      <c r="A23" t="s">
        <v>721</v>
      </c>
      <c r="B23">
        <f>IF(Planner_HUD!K9="","",Planner_HUD!K9)</f>
        <v>1.165</v>
      </c>
      <c r="C23" t="e">
        <f>IF(B23="",1E+99,ABS(B23-B19))</f>
        <v>#VALUE!</v>
      </c>
      <c r="D23">
        <f>IF(Planner_HUD!K10="","",Planner_HUD!K10)</f>
        <v>1.12</v>
      </c>
    </row>
    <row r="24" spans="1:4">
      <c r="A24" t="s">
        <v>722</v>
      </c>
      <c r="B24" t="str">
        <f>IF(Planner_HUD!K11="","",Planner_HUD!K11)</f>
        <v/>
      </c>
      <c r="C24">
        <f>IF(B24="",1E+99,ABS(B24-B19))</f>
        <v>1e+99</v>
      </c>
      <c r="D24" t="str">
        <f>IF(Planner_HUD!K12="","",Planner_HUD!K12)</f>
        <v/>
      </c>
    </row>
    <row r="26" spans="1:4">
      <c r="A26" t="s">
        <v>723</v>
      </c>
      <c r="B26" t="str">
        <f>IFERROR(INDEX(B21:B24,MATCH(MIN(C21:C24),C21:C24,0)),"")</f>
        <v/>
      </c>
    </row>
    <row r="27" spans="1:4">
      <c r="A27" t="s">
        <v>724</v>
      </c>
      <c r="B27" t="str">
        <f>IF(B26="","",INDEX(D21:D24,MATCH(B26,B21:B24,0)))</f>
        <v/>
      </c>
    </row>
    <row r="28" spans="1:4">
      <c r="A28" t="s">
        <v>725</v>
      </c>
      <c r="B28" t="str">
        <f>IF(B26="","",ABS(B26-B19)*10000)</f>
        <v/>
      </c>
    </row>
    <row r="29" spans="1:4">
      <c r="A29" t="s">
        <v>726</v>
      </c>
      <c r="B29" t="str">
        <f>IF(B26="","",IF(B28&lt;=15,"Options magnet nearby: strike "&amp;TEXT(B26,"0.0000")&amp;" (~"&amp;TEXT(B28,"0")&amp;" pips, size "&amp;TEXT(B27,"0.00")&amp;"bn).","Options strikes not near price (nearest "&amp;TEXT(B26,"0.0000")&amp;", ~"&amp;TEXT(B28,"0")&amp;" pips)."))</f>
        <v/>
      </c>
    </row>
    <row r="31" spans="1:4">
      <c r="A31" t="s">
        <v>727</v>
      </c>
      <c r="B31" t="str">
        <f ca="1">IF(Planner_HUD!B5="","","1) Macro bias: "&amp;Macro_Dashboard!B19&amp;". "&amp;IF(B7="","","Rate gap NOW "&amp;TEXT(B7,"0.00")&amp;" ("&amp;B11&amp;"). ")&amp;IF(B9="","","Expected 6M change "&amp;TEXT(B9,"0")&amp;" steps ("&amp;TEXT(B10,"0")&amp;"bp) — "&amp;B12&amp;". ")&amp;"2) Yields: "&amp;Macro_Dashboard!B37&amp;". "&amp;"3) Speakers: Fed "&amp;IF(B14&lt;&gt;"",B14&amp;", ","")&amp;IF(B16&lt;&gt;"",B16,"")&amp;"; ECB "&amp;IF(B15&lt;&gt;"",B15&amp;", ","")&amp;IF(B17&lt;&gt;"",B17,"")&amp;". "&amp;IF(B29="","",B29))</f>
        <v>1) Macro bias: Neutral. Rate gap NOW 2.37 (USD advantage now). 2) Yields: US yields: 2Y 3.50% (-2bp 1d) — 2Y falling → easier Fed priced → USD headwind. Curve (2s10s): 1bp — Curve normal → growth ok. 3) Speakers: Fed neutral (daily -0.08), ; ECB hawkish (daily 0.25), . </v>
      </c>
    </row>
    <row r="33" spans="1:2">
      <c r="A33" t="s">
        <v>728</v>
      </c>
      <c r="B33" t="str">
        <f ca="1">IF(Planner_HUD!B5="","",IF(B20="","",B20&amp;" — ")&amp;IF(Macro_Dashboard!B19="Buy dips","Action: prefer LONG pullbacks into support (Primary/Value). Avoid chasing highs. ",IF(Macro_Dashboard!B19="Sell rallies","Action: prefer SHORT rallies into resistance (CT/Primary-short). Avoid selling lows. ","Action: macro neutral — lean on structure/levels, trade smaller."))&amp;IF(OR(B18="NEUTRAL",B19=""),"",IF(B18&lt;&gt;B19," Reduce size; demand stronger confirmation (e.g., BOS/CHOCH + rejection/acceptance).","")))</f>
        <v>Action: macro neutral — lean on structure/levels, trade smaller.</v>
      </c>
    </row>
    <row r="35" spans="1:2">
      <c r="A35" t="s">
        <v>729</v>
      </c>
      <c r="B35" t="str">
        <f>"Steps = 25bp moves (quarter‑point). Example: -4 steps ≈ -100bp of USD-vs-EUR advantage compressing over ~6 months."</f>
        <v>Steps = 25bp moves (quarter‑point). Example: -4 steps ≈ -100bp of USD-vs-EUR advantage compressing over ~6 months.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2"/>
  <sheetViews>
    <sheetView topLeftCell="J1" workbookViewId="0">
      <selection activeCell="A1" sqref="A1"/>
    </sheetView>
  </sheetViews>
  <sheetFormatPr defaultColWidth="9" defaultRowHeight="14.5"/>
  <cols>
    <col min="1" max="1" width="38.4272727272727" customWidth="1"/>
    <col min="2" max="2" width="9" customWidth="1"/>
    <col min="4" max="4" width="11" customWidth="1"/>
    <col min="6" max="6" width="33.1363636363636" customWidth="1"/>
    <col min="7" max="7" width="17.7090909090909" customWidth="1"/>
    <col min="8" max="8" width="10.1363636363636" customWidth="1"/>
    <col min="9" max="9" width="11.1363636363636" customWidth="1"/>
    <col min="10" max="10" width="15.8545454545455" customWidth="1"/>
    <col min="11" max="11" width="29.4272727272727" customWidth="1"/>
    <col min="12" max="12" width="12.2818181818182" customWidth="1"/>
    <col min="16" max="16" width="19.1363636363636" customWidth="1"/>
    <col min="17" max="17" width="13.2818181818182" customWidth="1"/>
    <col min="20" max="20" width="12.7090909090909" customWidth="1"/>
    <col min="21" max="21" width="18.4272727272727" customWidth="1"/>
    <col min="22" max="22" width="13.8545454545455" customWidth="1"/>
    <col min="23" max="23" width="14.4272727272727" customWidth="1"/>
    <col min="24" max="24" width="20" customWidth="1"/>
    <col min="25" max="25" width="18" customWidth="1"/>
    <col min="26" max="26" width="14.5727272727273" customWidth="1"/>
    <col min="27" max="27" width="25" customWidth="1"/>
    <col min="28" max="28" width="35.1363636363636" customWidth="1"/>
    <col min="29" max="29" width="185.709090909091" style="16" customWidth="1"/>
    <col min="30" max="30" width="18.8545454545455" customWidth="1"/>
    <col min="31" max="31" width="14.4272727272727" customWidth="1"/>
    <col min="32" max="32" width="49.2818181818182" customWidth="1"/>
    <col min="33" max="33" width="143.709090909091" customWidth="1"/>
    <col min="35" max="35" width="15.4272727272727" customWidth="1"/>
    <col min="36" max="36" width="12" customWidth="1"/>
    <col min="37" max="37" width="13.2818181818182" customWidth="1"/>
  </cols>
  <sheetData>
    <row r="1" spans="1:37">
      <c r="F1" t="s">
        <v>281</v>
      </c>
      <c r="K1" t="s">
        <v>59</v>
      </c>
      <c r="L1" s="17" t="str">
        <f>IF(AND($G$8,NOT($G$9)),"LONG",IF(AND($G$9,NOT($G$8)),"SHORT",""))</f>
        <v>LONG</v>
      </c>
      <c r="P1" s="18" t="s">
        <v>282</v>
      </c>
      <c r="Q1" s="19" t="s">
        <v>78</v>
      </c>
      <c r="R1" s="19" t="s">
        <v>79</v>
      </c>
      <c r="S1" s="19" t="s">
        <v>80</v>
      </c>
      <c r="T1" s="19" t="s">
        <v>81</v>
      </c>
      <c r="U1" s="19" t="s">
        <v>283</v>
      </c>
      <c r="V1" s="19" t="s">
        <v>255</v>
      </c>
      <c r="W1" s="19" t="s">
        <v>256</v>
      </c>
      <c r="X1" s="19" t="s">
        <v>257</v>
      </c>
      <c r="Y1" s="19" t="s">
        <v>86</v>
      </c>
      <c r="Z1" s="20" t="s">
        <v>284</v>
      </c>
      <c r="AI1" t="s">
        <v>285</v>
      </c>
      <c r="AJ1" s="21">
        <f>IF(SUM($V$28:$V$30)=0,"",SUMPRODUCT($Q$28:$Q$30,$V$28:$V$30)/SUM($V$28:$V$30))</f>
        <v>1.176875</v>
      </c>
    </row>
    <row r="2" ht="29" spans="1:37">
      <c r="A2" t="s">
        <v>286</v>
      </c>
      <c r="F2" s="4" t="s">
        <v>87</v>
      </c>
      <c r="G2" s="4" t="s">
        <v>88</v>
      </c>
      <c r="H2" s="4" t="s">
        <v>89</v>
      </c>
      <c r="I2" s="4" t="s">
        <v>90</v>
      </c>
      <c r="K2" t="s">
        <v>36</v>
      </c>
      <c r="L2" s="22">
        <f>Summary!B10*Summary!B8</f>
        <v>502.2766</v>
      </c>
      <c r="P2" s="23" t="s">
        <v>97</v>
      </c>
      <c r="Q2" s="24">
        <f>IF($L$1="LONG",IF($AE$58,$G$19,$B$7),IF($L$1="SHORT",$D$23,""))</f>
        <v>1.17505</v>
      </c>
      <c r="R2" s="24">
        <f>IF(Q2="","",$L$3)</f>
        <v>1.17628</v>
      </c>
      <c r="S2" s="24">
        <f>IF($L$1="LONG",IF(OR($AE$58,$B$3&gt;=$G$19),$AE$27,$G$20-0.0002),IF($L$1="SHORT",IF($AE$58,MAX($B$39,$B$7)+0.0002,$G$19+0.0002),""))</f>
        <v>1.17176</v>
      </c>
      <c r="T2" s="25">
        <f>IF(OR(Q2="",R2=""),"",ABS((R2-Q2)*10000))</f>
        <v>12.3000000000006</v>
      </c>
      <c r="U2" s="25">
        <f>IF(OR(Q2="",S2=""),"",MAX(ABS((Q2-S2)*10000),$AE$19))</f>
        <v>32.9000000000001</v>
      </c>
      <c r="V2" s="26">
        <f>$L$7</f>
        <v>0.2</v>
      </c>
      <c r="W2" s="27">
        <f>IF(OR(V2=0,$AE$11=0),"",$L$2*$AE$8*V2/$AE$11)</f>
        <v>100.45532</v>
      </c>
      <c r="X2" s="27">
        <f>IF(OR(W2="",W2=0,T2=""),"",W2*T2/MAX(U2,$AE$19))</f>
        <v>37.5562442553209</v>
      </c>
      <c r="Y2" s="28">
        <f>IF(OR(Q2="",U2="",W2=""),"",W2/(MAX(U2,$AE$19)*$AE$3))</f>
        <v>30533.5319148935</v>
      </c>
      <c r="Z2" s="29">
        <f>IF(OR(T2="",U2=""),"",T2/MAX(U2,$AE$19))</f>
        <v>0.373860182370839</v>
      </c>
      <c r="AA2">
        <f>IF(U2="","",MAX(U2,$AE$7))</f>
        <v>32.9000000000001</v>
      </c>
      <c r="AB2" t="s">
        <v>287</v>
      </c>
      <c r="AD2" t="s">
        <v>288</v>
      </c>
      <c r="AF2" t="s">
        <v>289</v>
      </c>
      <c r="AG2" s="14" t="str">
        <f ca="1">IF($AC$25,"Avoid trading this leg – system rules (R, room, macro) are not met.",IF($AC$56=1,"HTF up, shallow pullback in Tier 1 (15m 0.382–0.618). Long bias but less room; prefer buying dips closer to Tier 2/3.",IF($AC$56=2,"HTF up, intraday pullback trading in Tier 2 (4H FVG + HTF 0.382 + EMA50D). Macro bias: buy dips; this is a B-grade but tradable zone when ladder and R/room are valid.",IF($AC$56=3,"HTF up, deep discount near structural support (Tier 3). If trend remains intact, this is a high-value region.","Price is above all discount tiers (premium) near PMH/PDH/EQH. This is not a location for fresh longs; either manage existing longs or wait for a pullback into Tier 2/3 or a clearly defined CT short setup."))))</f>
        <v>Price is above all discount tiers (premium) near PMH/PDH/EQH. This is not a location for fresh longs; either manage existing longs or wait for a pullback into Tier 2/3 or a clearly defined CT short setup.</v>
      </c>
      <c r="AI2" t="s">
        <v>290</v>
      </c>
      <c r="AJ2" s="21">
        <f>$AC$48+0.0008</f>
        <v>1.1779</v>
      </c>
    </row>
    <row r="3" spans="1:37">
      <c r="A3" t="s">
        <v>91</v>
      </c>
      <c r="B3" s="30">
        <v>1.1755</v>
      </c>
      <c r="F3" s="4" t="s">
        <v>98</v>
      </c>
      <c r="G3" s="31" t="str">
        <f>IF($B$12="","",IF(AND($B$12&gt;$B$13,$B$13&gt;$B$14,$B$3&gt;$B$12+0.0002),"Bull",IF(AND($B$12&lt;$B$13,$B$13&lt;$B$14,$B$3&lt;$B$12-0.0002),"Bear","Range")))</f>
        <v>Bull</v>
      </c>
      <c r="H3" s="32" t="s">
        <v>101</v>
      </c>
      <c r="I3" s="32" t="s">
        <v>101</v>
      </c>
      <c r="K3" t="s">
        <v>126</v>
      </c>
      <c r="L3">
        <f>IF($L$1="LONG",MIN(IF($G$15&gt;$B$3,$G$15,10^6),IF($G$17&gt;$B$3,$G$17,10^6),IF($G$19&gt;$B$3,$G$19,10^6),IF($G$21&gt;$B$3,$G$21,10^6)),IF($L$1="SHORT",MAX(IF($G$16&lt;$B$3,$G$16,-10^6),IF($G$18&lt;$B$3,$G$18,-10^6),IF($G$20&lt;$B$3,$G$20,-10^6),IF($G$22&lt;$B$3,$G$22,-10^6)),""))</f>
        <v>1.17628</v>
      </c>
      <c r="P3" s="33" t="s">
        <v>108</v>
      </c>
      <c r="Q3" s="34">
        <f>IF($L$1="LONG",IF($AE$58,AVERAGE($B$39,$B$40),$B$8),IF($L$1="SHORT",$D$24,""))</f>
        <v>1.17409</v>
      </c>
      <c r="R3" s="24">
        <f>IF(Q3="","",$L$3)</f>
        <v>1.17628</v>
      </c>
      <c r="S3" s="24">
        <f>IF($L$1="LONG",IF(OR($AE$58,$B$3&gt;=$G$19),$AE$27,$G$20-0.0002),IF($L$1="SHORT",IF($AE$58,MAX($B$39,$B$7)+0.0002,$G$19+0.0002),""))</f>
        <v>1.17176</v>
      </c>
      <c r="T3" s="25">
        <f>IF(OR(Q3="",R3=""),"",ABS((R3-Q3)*10000))</f>
        <v>21.8999999999991</v>
      </c>
      <c r="U3" s="25">
        <f>IF(OR(Q3="",S3=""),"",MAX(ABS((Q3-S3)*10000),$AE$19))</f>
        <v>23.3000000000017</v>
      </c>
      <c r="V3" s="26">
        <f>$L$8</f>
        <v>0.35</v>
      </c>
      <c r="W3" s="27">
        <f>IF(OR(V3=0,$AE$11=0),"",$L$2*$AE$8*V3/$AE$11)</f>
        <v>175.79681</v>
      </c>
      <c r="X3" s="27">
        <f>IF(OR(W3="",W3=0,T3=""),"",W3*T3/MAX(U3,$AE$19))</f>
        <v>165.233911545046</v>
      </c>
      <c r="Y3" s="28">
        <f>IF(OR(Q3="",U3="",W3=""),"",W3/(MAX(U3,$AE$19)*$AE$3))</f>
        <v>75449.2746781062</v>
      </c>
      <c r="Z3" s="29">
        <f>IF(OR(T3="",U3=""),"",T3/MAX(U3,$AE$19))</f>
        <v>0.939914163090025</v>
      </c>
      <c r="AA3">
        <f>IF(U3="","",MAX(U3,$AE$7))</f>
        <v>23.3000000000017</v>
      </c>
      <c r="AD3" t="s">
        <v>291</v>
      </c>
      <c r="AE3" s="35">
        <v>0.0001</v>
      </c>
      <c r="AG3" t="str">
        <f ca="1">IF(AC23&lt;&gt;"CoreLong","",IF($AC$55=1,"Shallow long zone (Tier 1): "&amp;TEXT(AC51,"0.00000")&amp;" → "&amp;TEXT(AD51,"0.00000")&amp;" (15m fib 0.382–0.618, less room).",IF($AC$55=2,"Main long zone (Tier 2): "&amp;TEXT(AC52,"0.00000")&amp;" → "&amp;TEXT(AD52,"0.00000")&amp;" (4H FVG + HTF 0.382 + EMA50D).",IF($AC$55=3,"Deep long zone (Tier 3): "&amp;TEXT(AC53,"0.00000")&amp;" → "&amp;TEXT(AD53,"0.00000")&amp;" (EMA100D + PWL + HTF fib).",""))))</f>
        <v/>
      </c>
      <c r="AI3" t="s">
        <v>292</v>
      </c>
      <c r="AJ3" s="21" t="str">
        <f>$AC$32</f>
        <v/>
      </c>
    </row>
    <row r="4" spans="1:37">
      <c r="B4" s="30"/>
      <c r="F4" s="4" t="s">
        <v>109</v>
      </c>
      <c r="G4" s="31" t="str">
        <f>IF($B$11="","",IF($B$3&gt;$B$11+0.0002,"Bull",IF($B$3&lt;$B$11-0.0002,"Bear","Range")))</f>
        <v>Bull</v>
      </c>
      <c r="H4" s="32" t="s">
        <v>101</v>
      </c>
      <c r="I4" s="32" t="s">
        <v>101</v>
      </c>
      <c r="K4" t="s">
        <v>293</v>
      </c>
      <c r="L4" s="36">
        <f>IF($L$5&lt;&gt;"",$L$5,IF($L$1="LONG",IF($L$22="","",$L$22-0.0003),IF($L$1="SHORT",IF($L$23="","",$L$23+0.0003),"")))</f>
        <v>1.17354708</v>
      </c>
      <c r="P4" s="37" t="s">
        <v>114</v>
      </c>
      <c r="Q4" s="38">
        <f>IF($L$1="LONG",IF($AE$58,MIN($B$40,$B$7),$B$10),IF($L$1="SHORT",$D$25,""))</f>
        <v>1.17379</v>
      </c>
      <c r="R4" s="38">
        <f>IF(Q4="","",$L$3)</f>
        <v>1.17628</v>
      </c>
      <c r="S4" s="38">
        <f>IF($L$1="LONG",IF(OR($AE$58,$B$3&gt;=$G$19),$AE$27,$G$20-0.0002),IF($L$1="SHORT",IF($AE$58,MAX($B$39,$B$7)+0.0002,$G$19+0.0002),""))</f>
        <v>1.17176</v>
      </c>
      <c r="T4" s="39">
        <f>IF(OR(Q4="",R4=""),"",ABS((R4-Q4)*10000))</f>
        <v>24.900000000001</v>
      </c>
      <c r="U4" s="39">
        <f>IF(OR(Q4="",S4=""),"",MAX(ABS((Q4-S4)*10000),$AE$19))</f>
        <v>20.2999999999998</v>
      </c>
      <c r="V4" s="40">
        <f>$L$9</f>
        <v>0.45</v>
      </c>
      <c r="W4" s="41">
        <f>IF(OR(V4=0,$AE$11=0),"",$L$2*$AE$8*V4/$AE$11)</f>
        <v>226.02447</v>
      </c>
      <c r="X4" s="41">
        <f>IF(OR(W4="",W4=0,T4=""),"",W4*T4/MAX(U4,$AE$19))</f>
        <v>277.241837586222</v>
      </c>
      <c r="Y4" s="42">
        <f>IF(OR(Q4="",U4="",W4=""),"",W4/(MAX(U4,$AE$19)*$AE$3))</f>
        <v>111342.103448277</v>
      </c>
      <c r="Z4" s="43">
        <f>IF(OR(T4="",U4=""),"",T4/MAX(U4,$AE$19))</f>
        <v>1.22660098522174</v>
      </c>
      <c r="AA4">
        <f>IF(U4="","",MAX(U4,$AE$7))</f>
        <v>20.2999999999998</v>
      </c>
      <c r="AB4" t="s">
        <v>294</v>
      </c>
      <c r="AC4" s="16">
        <f>ROUND($B$18*10000*0.8,0)</f>
        <v>3</v>
      </c>
      <c r="AD4" t="s">
        <v>295</v>
      </c>
      <c r="AE4" s="44">
        <v>8</v>
      </c>
      <c r="AF4" t="s">
        <v>296</v>
      </c>
      <c r="AG4" t="str">
        <f>"Deep A+ long pocket candidate (Tier 3): "&amp;TEXT($AC$53,"0.00000")&amp;" → "&amp;TEXT($AD$53,"0.00000")&amp;". Ladder (upper/mid/deep): "&amp;TEXT($Q$15,"0.00000")&amp;"/"&amp;TEXT($Q$16,"0.00000")&amp;"/"&amp;TEXT($Q$17,"0.00000")&amp;", SL "&amp;TEXT($S$15,"0.00000")&amp;", TP1 "&amp;TEXT($R$15,"0.00000")&amp;". Use this only if price flushes into Tier 3 with HTF trend intact and R/room are satisfied."</f>
        <v>Deep A+ long pocket candidate (Tier 3): 1.15976 → 1.16295. Ladder (upper/mid/deep): 1.17190/1.17064/1.17000, SL 1.16971, TP1 1.17628. Use this only if price flushes into Tier 3 with HTF trend intact and R/room are satisfied.</v>
      </c>
      <c r="AI4" t="s">
        <v>297</v>
      </c>
      <c r="AJ4" t="str">
        <f>IF($L$1="SHORT",$L$3,"")</f>
        <v/>
      </c>
    </row>
    <row r="5" spans="1:37">
      <c r="A5" t="s">
        <v>102</v>
      </c>
      <c r="B5" s="45">
        <v>1.17528</v>
      </c>
      <c r="F5" s="4" t="s">
        <v>115</v>
      </c>
      <c r="G5" s="31" t="str">
        <f>IF($B$10="","",IF($B$3&gt;$B$10+0.0002,"Bull",IF($B$3&lt;$B$10-0.0002,"Bear","Range")))</f>
        <v>Bull</v>
      </c>
      <c r="H5" s="32" t="s">
        <v>101</v>
      </c>
      <c r="I5" s="32" t="s">
        <v>101</v>
      </c>
      <c r="K5" t="s">
        <v>298</v>
      </c>
      <c r="AB5" t="s">
        <v>299</v>
      </c>
      <c r="AC5" s="16">
        <f>ROUND($B$18*10000*0.5,0)</f>
        <v>2</v>
      </c>
      <c r="AD5" t="s">
        <v>300</v>
      </c>
      <c r="AE5" s="46">
        <v>1.5</v>
      </c>
      <c r="AF5" t="s">
        <v>301</v>
      </c>
      <c r="AG5" t="str">
        <f ca="1">IF(AND($AC$23="CoreLong",NOT($AC$25)),"Trend long plan (current tier "&amp;$AC$56&amp;"): ladder at "&amp;TEXT($Q$2,"0.00000")&amp;"/"&amp;TEXT($Q$3,"0.00000")&amp;"/"&amp;TEXT($Q$4,"0.00000")&amp;", SL "&amp;TEXT($S$2,"0.00000")&amp;", TP1 "&amp;TEXT($R$2,"0.00000")&amp;". Confirm 15m/1H CHOCH up in this tier, then manage toward TP1 (and potentially PDH/PWH) using the ladder.","")</f>
        <v/>
      </c>
      <c r="AI5" t="s">
        <v>302</v>
      </c>
      <c r="AJ5" s="47">
        <f>$L$2*0.5</f>
        <v>251.1383</v>
      </c>
      <c r="AK5" s="47" t="e">
        <f>IF(AJ9=0,"",(AJ1-AJ3)*AJ9)</f>
        <v>#VALUE!</v>
      </c>
    </row>
    <row r="6" spans="1:37">
      <c r="A6" t="s">
        <v>110</v>
      </c>
      <c r="B6" s="30">
        <v>1.17522</v>
      </c>
      <c r="F6" s="4" t="s">
        <v>122</v>
      </c>
      <c r="G6" s="31" t="str">
        <f>IF($B$5="","",IF(AND($B$5&gt;$B$6,$B$6&gt;$B$7,$B$7&gt;$B$8),"Bull",IF(AND($B$5&lt;$B$6,$B$6&lt;$B$7,$B$7&lt;$B$8),"Bear","Range")))</f>
        <v>Bull</v>
      </c>
      <c r="H6" s="32" t="s">
        <v>101</v>
      </c>
      <c r="I6" s="32" t="s">
        <v>101</v>
      </c>
      <c r="P6" t="s">
        <v>161</v>
      </c>
      <c r="Q6" s="6">
        <f>IF(SUM(Y2:Y4)=0,0,SUMPRODUCT(AA2:AA4,Y2:Y4)/SUM(Y2:Y4))</f>
        <v>23.1117822574781</v>
      </c>
      <c r="AB6" t="s">
        <v>303</v>
      </c>
      <c r="AC6" s="16">
        <f>ROUND($B$18*10000*1,0)</f>
        <v>4</v>
      </c>
      <c r="AD6" t="s">
        <v>304</v>
      </c>
      <c r="AE6" s="46">
        <f>ROUND($B$18*10000,1)</f>
        <v>3.7</v>
      </c>
      <c r="AI6" t="s">
        <v>305</v>
      </c>
      <c r="AJ6" s="6">
        <f>IF(OR(AJ1="",AJ2=""),"",ABS((AJ1-AJ2)*10000))</f>
        <v>10.2499999999983</v>
      </c>
    </row>
    <row r="7" spans="1:37">
      <c r="A7" t="s">
        <v>117</v>
      </c>
      <c r="B7" s="45">
        <v>1.17505</v>
      </c>
      <c r="F7" s="4"/>
      <c r="K7" t="s">
        <v>138</v>
      </c>
      <c r="L7" s="45">
        <v>0.2</v>
      </c>
      <c r="P7" t="s">
        <v>166</v>
      </c>
      <c r="Q7" s="48">
        <f>SUM(Y2:Y4)</f>
        <v>217324.910041277</v>
      </c>
      <c r="AB7" t="s">
        <v>133</v>
      </c>
      <c r="AC7" s="16">
        <f>0.25*COUNTIF($B$10:$B$16,"&lt;"&amp;$B$3)</f>
        <v>1.75</v>
      </c>
      <c r="AD7" t="s">
        <v>306</v>
      </c>
      <c r="AE7" s="44">
        <f>MAX(AE4,ROUNDUP(AE6*AE5,0))</f>
        <v>8</v>
      </c>
      <c r="AF7" t="s">
        <v>307</v>
      </c>
      <c r="AG7" t="str">
        <f ca="1">IF(AND($AC$23="CTshort",NOT($AC$25)),"CT short zone: "&amp;TEXT($AC$47,"0.00000")&amp;" → "&amp;TEXT($AC$48,"0.00000")&amp;" (premium liquidity cluster: PMH/PDH/EQH/PWH).","")</f>
        <v/>
      </c>
      <c r="AI7" t="s">
        <v>308</v>
      </c>
      <c r="AJ7" s="6" t="str">
        <f>IF(OR(AJ3="",AJ1=""),"",ABS((AJ3-AJ1)*10000))</f>
        <v/>
      </c>
    </row>
    <row r="8" spans="1:37">
      <c r="A8" t="s">
        <v>123</v>
      </c>
      <c r="B8" s="30">
        <v>1.17409</v>
      </c>
      <c r="F8" t="s">
        <v>129</v>
      </c>
      <c r="G8" t="b">
        <f>AND(G3="Bull",G4="Bull")</f>
        <v>1</v>
      </c>
      <c r="K8" t="s">
        <v>146</v>
      </c>
      <c r="L8" s="45">
        <v>0.35</v>
      </c>
      <c r="P8" t="s">
        <v>195</v>
      </c>
      <c r="Q8" s="21">
        <f>IF(Q7=0,"",SUMPRODUCT(Q2:Q4,Y2:Y4)/Q7)</f>
        <v>1.17407117822575</v>
      </c>
      <c r="AB8" t="s">
        <v>139</v>
      </c>
      <c r="AC8" s="16">
        <f>0.25*COUNTIF($B$10:$B$16,"&gt;"&amp;$B$3)</f>
        <v>0</v>
      </c>
      <c r="AD8" t="s">
        <v>309</v>
      </c>
      <c r="AE8" s="46">
        <v>1</v>
      </c>
      <c r="AF8" t="s">
        <v>310</v>
      </c>
      <c r="AG8" t="str">
        <f ca="1">IF(AND($AC$23="CTshort",NOT($AC$25)),"CT short plan: ladder shorts at "&amp;TEXT($AC$48,"0.00000")&amp;"/"&amp;TEXT($AC$49,"0.00000")&amp;"/"&amp;TEXT($AC$47,"0.00000")&amp;", SL "&amp;TEXT($AC$48+0.0008,"0.00000")&amp;", TP1 "&amp;TEXT($AC$35,"0.00000")&amp;IF($AC$32&lt;&gt;""," (golden mid)."," (Tier1 top; no golden overlap).")&amp;" Size small; countertrend — only take on clear exhaustion near PDH/EQH.","")</f>
        <v/>
      </c>
      <c r="AI8" t="s">
        <v>311</v>
      </c>
      <c r="AJ8" s="49" t="str">
        <f>IF(OR(AJ6="",AJ7="",AJ6=0),"",AJ7/AJ6)</f>
        <v/>
      </c>
    </row>
    <row r="9" spans="1:37">
      <c r="F9" t="s">
        <v>135</v>
      </c>
      <c r="G9" t="b">
        <f>AND(G3="Bear",G4="Bear")</f>
        <v>0</v>
      </c>
      <c r="K9" t="s">
        <v>153</v>
      </c>
      <c r="L9" s="45">
        <v>0.45</v>
      </c>
      <c r="P9" t="s">
        <v>81</v>
      </c>
      <c r="Q9" s="6">
        <f>IF(OR(Q8="",$L$3=""),"",ABS(($L$3-Q8)*10000))</f>
        <v>22.0882177425241</v>
      </c>
      <c r="AB9" t="s">
        <v>170</v>
      </c>
      <c r="AC9" s="16">
        <f>IF($B$20&lt;45,0.5,0)+IF($B$21&lt;45,0.25,0)+IF($B$17&lt;45,0.25,0)</f>
        <v>0</v>
      </c>
      <c r="AD9" t="s">
        <v>312</v>
      </c>
      <c r="AE9" s="46">
        <v>1</v>
      </c>
      <c r="AI9" t="s">
        <v>313</v>
      </c>
      <c r="AJ9" s="50">
        <f>IF(OR(AJ5="",AJ6="",AJ6=0),"",AJ5/(AJ6*0.0001))</f>
        <v>245012.975609796</v>
      </c>
    </row>
    <row r="10" spans="1:37">
      <c r="A10" t="s">
        <v>136</v>
      </c>
      <c r="B10" s="30">
        <v>1.17379</v>
      </c>
      <c r="F10" t="s">
        <v>142</v>
      </c>
      <c r="G10" t="b">
        <f>AND(OR(G5="Bull",G5="Range"),NOT(G6="Bear"))</f>
        <v>1</v>
      </c>
      <c r="P10" t="s">
        <v>314</v>
      </c>
      <c r="Q10" s="22">
        <f>IF(OR(Q7=0,Q8="",$L$3=""),"",ABS(($L$3-Q8)*Q7))</f>
        <v>480.031993386619</v>
      </c>
      <c r="AB10" t="s">
        <v>174</v>
      </c>
      <c r="AC10" s="16">
        <f>IF($B$20&gt;55,0.5,0)+IF($B$21&gt;55,0.25,0)+IF($B$17&gt;55,0.25,0)</f>
        <v>0.5</v>
      </c>
      <c r="AD10" t="s">
        <v>315</v>
      </c>
      <c r="AE10" s="46">
        <v>0.6</v>
      </c>
      <c r="AF10" t="s">
        <v>316</v>
      </c>
      <c r="AG10" t="str">
        <f ca="1">IF($AC$25,"Avoid new trades – R multiple, room, or macro gate not satisfied. Wait for conditions to improve and reassess.","")</f>
        <v/>
      </c>
      <c r="AI10" t="s">
        <v>317</v>
      </c>
      <c r="AJ10" s="51" t="b">
        <f>NOT($G$11)</f>
        <v>1</v>
      </c>
    </row>
    <row r="11" spans="1:37">
      <c r="A11" t="s">
        <v>143</v>
      </c>
      <c r="B11" s="45">
        <v>1.16889</v>
      </c>
      <c r="F11" t="s">
        <v>149</v>
      </c>
      <c r="G11" t="b">
        <f>AND(OR(G5="Bear",G5="Range"),NOT(G6="Bull"))</f>
        <v>0</v>
      </c>
      <c r="K11" t="s">
        <v>318</v>
      </c>
      <c r="L11" s="45">
        <v>0</v>
      </c>
      <c r="P11" t="s">
        <v>85</v>
      </c>
      <c r="Q11" s="6">
        <f>IF(SUM($W$2:$W$4)=0,"",SUM($X$2:$X$4)/SUM($W$2:$W$4))</f>
        <v>0.95571243690546</v>
      </c>
      <c r="AB11" t="s">
        <v>239</v>
      </c>
      <c r="AC11" s="16">
        <f>0.25*COUNTIF($G$3:$G$6,"Bull")</f>
        <v>1</v>
      </c>
      <c r="AD11" t="s">
        <v>319</v>
      </c>
      <c r="AE11" s="52">
        <f>SUM($V$2:$V$4)</f>
        <v>1</v>
      </c>
    </row>
    <row r="12" spans="1:37">
      <c r="A12" t="s">
        <v>150</v>
      </c>
      <c r="B12" s="45">
        <v>1.16295</v>
      </c>
      <c r="K12" t="s">
        <v>320</v>
      </c>
      <c r="L12" s="45">
        <v>3</v>
      </c>
      <c r="P12" t="s">
        <v>321</v>
      </c>
      <c r="Q12" s="6">
        <f>IF(SUM(Y2:Y4)=0,"",(Y2*MAX(U2,$AE$19)+Y3*MAX(U3,$AE$19)+Y4*MAX(U4,$AE$19))/SUM(Y2:Y4))</f>
        <v>23.1117822574781</v>
      </c>
      <c r="AB12" t="s">
        <v>243</v>
      </c>
      <c r="AC12" s="16">
        <f>0.25*COUNTIF($G$3:$G$6,"Bear")</f>
        <v>0</v>
      </c>
      <c r="AD12" t="s">
        <v>322</v>
      </c>
      <c r="AE12" s="52">
        <f>SUM($V$15:$V$17)</f>
        <v>1.5</v>
      </c>
    </row>
    <row r="13" spans="1:37">
      <c r="A13" t="s">
        <v>156</v>
      </c>
      <c r="B13" s="45">
        <v>1.15976</v>
      </c>
      <c r="Q13" s="49"/>
      <c r="AB13" t="s">
        <v>180</v>
      </c>
      <c r="AC13" s="16">
        <f>MIN(1,IF(ABS(($B$3-$B$36)*10000)&lt;=AC4,1,0)+IF(ABS(($B$3-$B$38)*10000)&lt;=AC4,1,0)+IF(ABS(($B$3-$B$40)*10000)&lt;=AC4,1,0))</f>
        <v>0</v>
      </c>
      <c r="AD13" t="s">
        <v>323</v>
      </c>
      <c r="AE13" s="52">
        <f>SUM($V$28:$V$30)</f>
        <v>1</v>
      </c>
    </row>
    <row r="14" spans="1:37">
      <c r="A14" t="s">
        <v>162</v>
      </c>
      <c r="B14" s="45">
        <v>1.14534</v>
      </c>
      <c r="F14" t="s">
        <v>324</v>
      </c>
      <c r="K14" t="s">
        <v>325</v>
      </c>
      <c r="L14" t="str">
        <f>IF(AND($B$3&gt;=M17-$K$20,$B$3&lt;=N17+$K$20),1,IF(AND($B$3&gt;=M18-$K$20,$B$3&lt;=N18+$K$20),2,IF(AND($B$3&gt;=M19-$K$20,$B$3&lt;=N19+$K$20),3,"")))</f>
        <v/>
      </c>
      <c r="P14" s="53" t="s">
        <v>326</v>
      </c>
      <c r="Q14" s="19" t="s">
        <v>78</v>
      </c>
      <c r="R14" s="19" t="s">
        <v>79</v>
      </c>
      <c r="S14" s="19" t="s">
        <v>80</v>
      </c>
      <c r="T14" s="19" t="s">
        <v>81</v>
      </c>
      <c r="U14" s="19" t="s">
        <v>283</v>
      </c>
      <c r="V14" s="19" t="s">
        <v>255</v>
      </c>
      <c r="W14" s="19" t="s">
        <v>256</v>
      </c>
      <c r="X14" s="19" t="s">
        <v>257</v>
      </c>
      <c r="Y14" s="19" t="s">
        <v>86</v>
      </c>
      <c r="Z14" s="20" t="s">
        <v>284</v>
      </c>
      <c r="AA14">
        <f>IF(U15="","",MAX(U15,$AE$7))</f>
        <v>21.8999999999991</v>
      </c>
      <c r="AB14" t="s">
        <v>185</v>
      </c>
      <c r="AC14" s="16">
        <f>MIN(1,IF(ABS(($B$3-$B$35)*10000)&lt;=AC4,1,0)+IF(ABS(($B$3-$B$37)*10000)&lt;=AC4,1,0)+IF(ABS(($B$3-$B$39)*10000)&lt;=AC4,1,0))</f>
        <v>0</v>
      </c>
      <c r="AD14" t="s">
        <v>327</v>
      </c>
      <c r="AE14">
        <v>12</v>
      </c>
    </row>
    <row r="15" spans="1:37">
      <c r="A15" t="s">
        <v>167</v>
      </c>
      <c r="B15" s="45">
        <v>1.13924</v>
      </c>
      <c r="F15" t="s">
        <v>182</v>
      </c>
      <c r="G15" s="45">
        <v>1.16563</v>
      </c>
      <c r="K15" s="2">
        <f>IF(AND($B$3&gt;=M17-$K$20,$B$3&lt;=N17+$K$20),1,IF(AND($B$3&gt;=M18-$K$20,$B$3&lt;=N18+$K$20),2,IF(AND($B$3&gt;=M19-$K$20,$B$3&lt;=N19+$K$20),3,0)))</f>
        <v>0</v>
      </c>
      <c r="P15" s="54" t="s">
        <v>328</v>
      </c>
      <c r="Q15" s="55">
        <f>IF($L$1&lt;&gt;"LONG","",$B$35)</f>
        <v>1.1719</v>
      </c>
      <c r="R15" s="56">
        <f>IF(Q15="","",$L$3)</f>
        <v>1.17628</v>
      </c>
      <c r="S15" s="56">
        <f>IF(Q15="","",$AE$30)</f>
        <v>1.16971</v>
      </c>
      <c r="T15" s="57">
        <f>IF(OR(Q15="",R15=""),"",ABS((R15-Q15)*10000))</f>
        <v>43.8000000000005</v>
      </c>
      <c r="U15" s="58">
        <f>IF(OR(Q15="",S15=""),"",MAX(ABS((Q15-S15)*10000),$AE$20))</f>
        <v>21.8999999999991</v>
      </c>
      <c r="V15" s="59">
        <v>0.4</v>
      </c>
      <c r="W15" s="60">
        <f>IF(OR(V15=0,$AE$12=0),"",$L$2*$AE$9*V15/$AE$12)</f>
        <v>133.940426666667</v>
      </c>
      <c r="X15" s="60">
        <f>IF(OR(W15="",W15=0,T15=""),"",W15*T15/MAX(U15,$AE$20))</f>
        <v>267.880853333347</v>
      </c>
      <c r="Y15" s="57">
        <f>IF(OR(Q15="",U15="",W15=""),"",W15/(MAX(U15,$AE$20)*$AE$3))</f>
        <v>61160.0121765625</v>
      </c>
      <c r="Z15" s="61">
        <f>IF(OR(T15="",U15=""),"",T15/MAX(U15,$AE$20))</f>
        <v>2.0000000000001</v>
      </c>
      <c r="AA15">
        <f>IF(U16="","",MAX(U16,$AE$7))</f>
        <v>9.29999999999875</v>
      </c>
      <c r="AB15" t="s">
        <v>96</v>
      </c>
      <c r="AC15" s="16">
        <f ca="1">(1-$G$37*$G$36)*(AC7+AC9+AC11+AC13+AC42)</f>
        <v>2.25</v>
      </c>
      <c r="AD15" t="s">
        <v>329</v>
      </c>
      <c r="AE15">
        <v>8</v>
      </c>
    </row>
    <row r="16" spans="1:37">
      <c r="A16" t="s">
        <v>171</v>
      </c>
      <c r="B16" s="45">
        <v>1.11879</v>
      </c>
      <c r="F16" t="s">
        <v>187</v>
      </c>
      <c r="G16" s="45">
        <v>1.14685</v>
      </c>
      <c r="K16" s="1" t="s">
        <v>251</v>
      </c>
      <c r="L16" s="1" t="s">
        <v>258</v>
      </c>
      <c r="M16" s="1" t="s">
        <v>259</v>
      </c>
      <c r="N16" s="1" t="s">
        <v>260</v>
      </c>
      <c r="P16" s="54" t="s">
        <v>330</v>
      </c>
      <c r="Q16" s="55">
        <f>IF($L$1&lt;&gt;"LONG","",$B$36)</f>
        <v>1.17064</v>
      </c>
      <c r="R16" s="56">
        <f>IF(Q16="","",$L$3)</f>
        <v>1.17628</v>
      </c>
      <c r="S16" s="56">
        <f>IF(Q16="","",$AE$30)</f>
        <v>1.16971</v>
      </c>
      <c r="T16" s="57">
        <f>IF(OR(Q16="",R16=""),"",ABS((R16-Q16)*10000))</f>
        <v>56.4000000000009</v>
      </c>
      <c r="U16" s="58">
        <f>IF(OR(Q16="",S16=""),"",MAX(ABS((Q16-S16)*10000),$AE$20))</f>
        <v>9.29999999999875</v>
      </c>
      <c r="V16" s="59">
        <v>0.5</v>
      </c>
      <c r="W16" s="60">
        <f>IF(OR(V16=0,$AE$12=0),"",$L$2*$AE$9*V16/$AE$12)</f>
        <v>167.425533333333</v>
      </c>
      <c r="X16" s="60">
        <f>IF(OR(W16="",W16=0,T16=""),"",W16*T16/MAX(U16,$AE$20))</f>
        <v>1015.35484731198</v>
      </c>
      <c r="Y16" s="57">
        <f>IF(OR(Q16="",U16="",W16=""),"",W16/(MAX(U16,$AE$20)*$AE$3))</f>
        <v>180027.455197157</v>
      </c>
      <c r="Z16" s="61">
        <f>IF(OR(T16="",U16=""),"",T16/MAX(U16,$AE$20))</f>
        <v>6.06451612903317</v>
      </c>
      <c r="AA16">
        <f>IF(U17="","",MAX(U17,$AE$7))</f>
        <v>8</v>
      </c>
      <c r="AB16" t="s">
        <v>107</v>
      </c>
      <c r="AC16" s="16">
        <f ca="1">(1-$G$37*$G$36)*(AC8+AC10+AC12+AC14+AC42)</f>
        <v>0</v>
      </c>
      <c r="AD16" t="s">
        <v>331</v>
      </c>
      <c r="AE16">
        <v>8</v>
      </c>
    </row>
    <row r="17" spans="1:32">
      <c r="A17" t="s">
        <v>332</v>
      </c>
      <c r="B17" s="62">
        <v>67.11</v>
      </c>
      <c r="F17" t="s">
        <v>191</v>
      </c>
      <c r="G17" s="45">
        <v>1.17628</v>
      </c>
      <c r="K17" s="1">
        <v>1</v>
      </c>
      <c r="L17" s="1" t="s">
        <v>263</v>
      </c>
      <c r="M17" s="63">
        <f>MIN($D$24,$D$23)</f>
        <v>1.17443</v>
      </c>
      <c r="N17" s="63">
        <f>MAX($D$24,$D$23)</f>
        <v>1.17501292</v>
      </c>
      <c r="P17" s="64" t="s">
        <v>333</v>
      </c>
      <c r="Q17" s="65">
        <f>IF($L$1&lt;&gt;"LONG","",$G$30)</f>
        <v>1.17</v>
      </c>
      <c r="R17" s="66">
        <f>IF(Q17="","",$L$3)</f>
        <v>1.17628</v>
      </c>
      <c r="S17" s="66">
        <f>IF(Q17="","",$AE$30)</f>
        <v>1.16971</v>
      </c>
      <c r="T17" s="67">
        <f>IF(OR(Q16="",R16=""),"",ABS((R16-Q16)*10000))</f>
        <v>56.4000000000009</v>
      </c>
      <c r="U17" s="68">
        <f>IF(OR(Q17="",S17=""),"",MAX(ABS((Q17-S17)*10000),$AE$20))</f>
        <v>8</v>
      </c>
      <c r="V17" s="69">
        <v>0.6</v>
      </c>
      <c r="W17" s="70">
        <f>IF(OR(V17=0,$AE$12=0),"",$L$2*$AE$9*V17/$AE$12)</f>
        <v>200.91064</v>
      </c>
      <c r="X17" s="70">
        <f>IF(OR(W17="",W17=0,T17=""),"",W17*T17/MAX(U17,$AE$20))</f>
        <v>1416.42001200002</v>
      </c>
      <c r="Y17" s="67">
        <f>IF(OR(Q17="",U17="",W17=""),"",W17/(MAX(U17,$AE$20)*$AE$3))</f>
        <v>251138.3</v>
      </c>
      <c r="Z17" s="71">
        <f>IF(OR(T17="",U17=""),"",T17/MAX(U17,$AE$20))</f>
        <v>7.05000000000011</v>
      </c>
      <c r="AB17" t="s">
        <v>334</v>
      </c>
      <c r="AC17" s="16">
        <f>0.25*COUNTA($B$10:$B$16)+3.5</f>
        <v>5.25</v>
      </c>
      <c r="AD17" s="2" t="s">
        <v>335</v>
      </c>
      <c r="AE17" s="2" t="s">
        <v>336</v>
      </c>
      <c r="AF17" s="2" t="s">
        <v>337</v>
      </c>
    </row>
    <row r="18" spans="1:32">
      <c r="A18" t="s">
        <v>178</v>
      </c>
      <c r="B18" s="45">
        <v>0.00037</v>
      </c>
      <c r="F18" t="s">
        <v>196</v>
      </c>
      <c r="G18" s="45">
        <v>1.16154</v>
      </c>
      <c r="K18" s="1">
        <v>2</v>
      </c>
      <c r="L18" s="1" t="s">
        <v>338</v>
      </c>
      <c r="M18" s="63">
        <f>MIN(D25,D24)</f>
        <v>1.17384708</v>
      </c>
      <c r="N18" s="63">
        <f>MAX(D25,D24)</f>
        <v>1.17443</v>
      </c>
      <c r="P18" s="2"/>
      <c r="Q18" s="72"/>
      <c r="R18" s="2"/>
      <c r="S18" s="2"/>
      <c r="T18" s="3"/>
      <c r="U18" s="73"/>
      <c r="V18" s="74"/>
      <c r="W18" s="75"/>
      <c r="X18" s="75"/>
      <c r="Y18" s="3"/>
      <c r="Z18" s="76"/>
      <c r="AB18" t="s">
        <v>339</v>
      </c>
      <c r="AC18" s="77">
        <f ca="1">IF(AC17=0,"",AC15/AC17)</f>
        <v>0.428571428571429</v>
      </c>
      <c r="AD18" s="78">
        <f ca="1">IF($L$1&lt;&gt;"LONG","",MIN(0.8,0.4+0.4*IFERROR(AC18,0)+0.1*IFERROR(AC42,0)))</f>
        <v>0.521428571428571</v>
      </c>
      <c r="AE18" s="76" t="str">
        <f ca="1">IF($L$1="","",IF($L$1="LONG",IF(OR(AD18="",AC20=""),"",AD18*AC20-(1-AD18)*1),IF(OR(AD19="",AC20=""),"",AD19*AC20-(1-AD19)*1)))</f>
        <v/>
      </c>
      <c r="AF18" s="75" t="str">
        <f ca="1">IF(AE18="","",AE18*$L$2)</f>
        <v/>
      </c>
    </row>
    <row r="19" spans="1:32">
      <c r="A19" t="s">
        <v>221</v>
      </c>
      <c r="B19" s="45">
        <v>0.00016</v>
      </c>
      <c r="F19" t="s">
        <v>199</v>
      </c>
      <c r="G19" s="30">
        <v>1.1769</v>
      </c>
      <c r="K19" s="1">
        <v>3</v>
      </c>
      <c r="L19" s="1" t="s">
        <v>340</v>
      </c>
      <c r="M19" s="63">
        <f>MIN(D31,D29)</f>
        <v>1.15984938</v>
      </c>
      <c r="N19" s="63">
        <f>MAX(D31,D29)</f>
        <v>1.16636062</v>
      </c>
      <c r="P19" t="s">
        <v>161</v>
      </c>
      <c r="Q19" s="6">
        <f>IF(SUM(Y15:Y17)=0,0,SUMPRODUCT(AA14:AA16,Y15:Y17)/SUM(Y15:Y17))</f>
        <v>10.2021188669316</v>
      </c>
      <c r="AB19" t="s">
        <v>341</v>
      </c>
      <c r="AC19" s="77">
        <f ca="1">IF(AC17=0,"",AC16/AC17)</f>
        <v>0</v>
      </c>
      <c r="AD19" s="79" t="s">
        <v>342</v>
      </c>
      <c r="AE19">
        <f>MAX(AE14,ROUNDUP(AE6*AE5,0))</f>
        <v>12</v>
      </c>
    </row>
    <row r="20" spans="1:32">
      <c r="A20" t="s">
        <v>343</v>
      </c>
      <c r="B20" s="62">
        <v>53.62</v>
      </c>
      <c r="F20" t="s">
        <v>204</v>
      </c>
      <c r="G20" s="30">
        <v>1.17196</v>
      </c>
      <c r="J20" t="s">
        <v>344</v>
      </c>
      <c r="K20" s="1">
        <v>0.0002</v>
      </c>
      <c r="P20" t="s">
        <v>166</v>
      </c>
      <c r="Q20" s="6">
        <f>SUM(Y15:Y17)</f>
        <v>492325.767373719</v>
      </c>
      <c r="AC20" s="46" t="str">
        <f>IF(OR($AC$55=0,$Q$7&lt;=0,$Q$12=""),"",$Q$12)</f>
        <v/>
      </c>
      <c r="AD20" t="s">
        <v>345</v>
      </c>
      <c r="AE20">
        <f>MAX(AE15,ROUNDUP(AE6*AE5,0))</f>
        <v>8</v>
      </c>
    </row>
    <row r="21" spans="1:32">
      <c r="A21" t="s">
        <v>105</v>
      </c>
      <c r="B21" s="62">
        <v>57.76</v>
      </c>
      <c r="F21" t="s">
        <v>209</v>
      </c>
      <c r="G21" s="30">
        <v>1.18189</v>
      </c>
      <c r="K21" t="s">
        <v>346</v>
      </c>
      <c r="P21" t="s">
        <v>195</v>
      </c>
      <c r="Q21" s="6">
        <f>IF(Q20=0,"",SUMPRODUCT(Q15:Q17,Y15:Y17)/Q20)</f>
        <v>1.17047005785559</v>
      </c>
      <c r="AB21" t="s">
        <v>160</v>
      </c>
      <c r="AC21" s="16" t="str">
        <f>IF($L$1="","No bias",IF($L$1="LONG",IF($G$8,"Trend-aligned","Counter-trend"),IF($L$1="SHORT",IF($G$9,"Trend-aligned","Counter-trend"),"No bias")))</f>
        <v>Trend-aligned</v>
      </c>
      <c r="AD21" t="s">
        <v>347</v>
      </c>
      <c r="AE21">
        <f>MAX(AE16,ROUNDUP(AE6*AE5,0))</f>
        <v>8</v>
      </c>
    </row>
    <row r="22" spans="1:32">
      <c r="A22" t="s">
        <v>348</v>
      </c>
      <c r="D22" t="s">
        <v>349</v>
      </c>
      <c r="F22" t="s">
        <v>216</v>
      </c>
      <c r="G22" s="30">
        <v>1.1732</v>
      </c>
      <c r="K22" t="s">
        <v>350</v>
      </c>
      <c r="L22" s="21">
        <f>IF($L$1="LONG",$AC$30,"")</f>
        <v>1.17384708</v>
      </c>
      <c r="P22" t="s">
        <v>81</v>
      </c>
      <c r="Q22" s="6">
        <f>IF(OR(Q21="",$L$3=""),"",ABS(($L$3-Q21)*10000))</f>
        <v>58.0994214441355</v>
      </c>
      <c r="AB22" t="s">
        <v>155</v>
      </c>
      <c r="AC22" s="16" t="str">
        <f>IF(AND(G3="Bull",G4="Bull",G5="Bear",G6="Bear"),"Trend Pullback","Mixed")</f>
        <v>Mixed</v>
      </c>
      <c r="AD22" t="s">
        <v>351</v>
      </c>
      <c r="AE22">
        <f>SUMPRODUCT(($Q$28:$Q$30&lt;&gt;"")*($V$28:$V$30))</f>
        <v>1</v>
      </c>
    </row>
    <row r="23" spans="1:32">
      <c r="A23" t="s">
        <v>145</v>
      </c>
      <c r="B23" s="30">
        <v>1.17196</v>
      </c>
      <c r="C23" t="s">
        <v>352</v>
      </c>
      <c r="D23" s="21">
        <f>IF($L$1="SHORT",$B$23+($B$24-$B$23)*0.382,$B$24-($B$24-$B$23)*0.382)</f>
        <v>1.17501292</v>
      </c>
      <c r="F23" t="s">
        <v>353</v>
      </c>
      <c r="K23" t="s">
        <v>354</v>
      </c>
      <c r="L23" s="21" t="str">
        <f>IF($L$1="SHORT",$AC$31,"")</f>
        <v/>
      </c>
      <c r="P23" t="s">
        <v>314</v>
      </c>
      <c r="Q23" s="22">
        <f>IF(OR(Q20=0,Q21="",$L$3=""),"",ABS(($L$3-Q21)*Q20))</f>
        <v>2860.38422464531</v>
      </c>
      <c r="AB23" t="s">
        <v>355</v>
      </c>
      <c r="AC23" s="16" t="str">
        <f ca="1">IF(AF52,"CoreLong",IF(AF53,"CTshort","Avoid"))</f>
        <v>Avoid</v>
      </c>
      <c r="AD23" t="s">
        <v>356</v>
      </c>
      <c r="AE23">
        <v>1.5</v>
      </c>
    </row>
    <row r="24" spans="1:32">
      <c r="A24" t="s">
        <v>152</v>
      </c>
      <c r="B24" s="30">
        <v>1.1769</v>
      </c>
      <c r="C24" t="s">
        <v>357</v>
      </c>
      <c r="D24" s="21">
        <f>IF($L$1="SHORT",$B$23+($B$24-$B$23)*0.5,$B$24-($B$24-$B$23)*0.5)</f>
        <v>1.17443</v>
      </c>
      <c r="F24" t="s">
        <v>358</v>
      </c>
      <c r="G24">
        <f>MIN(IF(G15&gt;$B$3,ABS((G15-$B$3)*10000),1000000000),IF(G17&gt;$B$3,ABS((G17-$B$3)*10000),1000000000),IF(G19&gt;$B$3,ABS((G19-$B$3)*10000),1000000000),IF(G21&gt;$B$3,ABS((G21-$B$3)*10000),1000000000))</f>
        <v>7.80000000000003</v>
      </c>
      <c r="P24" t="s">
        <v>85</v>
      </c>
      <c r="Q24" s="6">
        <f>IF(SUM($W$15:$W$17)=0,"",SUM($X$15:$X$17)/SUM($W$15:$W$17))</f>
        <v>5.37483870967779</v>
      </c>
      <c r="AB24" t="s">
        <v>165</v>
      </c>
      <c r="AC24" s="16" t="str">
        <f ca="1">IF($L$1="","N/A",IF($AC$25,"B",IF(AC34&lt;0.4,"B",IF(AC18&gt;=0.7,"A+",IF(AC18&gt;=0.4,"B","C")))))</f>
        <v>B</v>
      </c>
      <c r="AD24" t="s">
        <v>359</v>
      </c>
      <c r="AE24">
        <f>MAX(6,ROUND($B$18*10000*$AE$23,0))</f>
        <v>6</v>
      </c>
    </row>
    <row r="25" spans="1:32">
      <c r="C25" t="s">
        <v>360</v>
      </c>
      <c r="D25" s="21">
        <f>IF($L$1="SHORT",$B$23+($B$24-$B$23)*0.618,$B$24-($B$24-$B$23)*0.618)</f>
        <v>1.17384708</v>
      </c>
      <c r="F25" t="s">
        <v>228</v>
      </c>
      <c r="G25">
        <f>MIN(IF(G16&lt;$B$3,ABS((G16-$B$3)*10000),1000000000),IF(G18&lt;$B$3,ABS((G18-$B$3)*10000),1000000000),IF(G20&lt;$B$3,ABS((G20-$B$3)*10000),1000000000),IF(G22&lt;$B$3,ABS((G22-$B$3)*10000),1000000000))</f>
        <v>22.9999999999997</v>
      </c>
      <c r="P25" t="s">
        <v>321</v>
      </c>
      <c r="Q25" s="6">
        <f>IF(SUM(Y15:Y17)=0,"",(Y15*MAX(U15,$AE$20)+Y16*MAX(U16,$AE$20)+Y17*MAX(U17,$AE$20))/SUM(Y15:Y17))</f>
        <v>10.2021188669316</v>
      </c>
      <c r="AB25" t="s">
        <v>175</v>
      </c>
      <c r="AC25" s="16" t="b">
        <f ca="1">OR($L$1="",AND(AC23="CoreLong",OR(AF48=FALSE,$Q$12="",$Q$12&lt;$L$12)),AND(AC23="CTshort",OR(AF49=FALSE,$B$21&lt;=65)),FALSE)</f>
        <v>0</v>
      </c>
      <c r="AE25">
        <f>IF($L$1="LONG",IF(OR($AE$58,$B$3&gt;$G$19),MAX($B$27,$B$24),$G$19),IF($L$1="SHORT",IF(OR($AE$58,$B$3&lt;$G$20),MIN($B$26,$B$23),$G$20),""))</f>
        <v>1.1769</v>
      </c>
    </row>
    <row r="26" spans="1:32">
      <c r="A26" t="s">
        <v>361</v>
      </c>
      <c r="B26" s="30">
        <v>1.17265</v>
      </c>
      <c r="C26" t="s">
        <v>362</v>
      </c>
      <c r="D26" s="21">
        <f>IF($L$1="SHORT",$B$26+($B$27-$B$26)*0.382,$B$27-($B$27-$B$26)*0.382)</f>
        <v>1.1752765</v>
      </c>
      <c r="AA26">
        <f>IF(U28="","",MAX(U28,$AE$7))</f>
        <v>8</v>
      </c>
      <c r="AB26" t="s">
        <v>363</v>
      </c>
      <c r="AC26" s="16" t="str">
        <f ca="1">IF($L$1="","NO SIDE – neither core long nor CT short setup is active.",IF(AC23="CoreLong",IF(AC25,"AVOID CORE LONG – not in discount or 3R not available.","CORE LONG SETUP – buy dip in active tier. Ladder entries "&amp;TEXT($Q$2,"0.00000")&amp;"/"&amp;TEXT($Q$3,"0.00000")&amp;"/"&amp;TEXT($Q$4,"0.00000")&amp;", SL "&amp;TEXT($S$2,"0.00000")&amp;", TP1 "&amp;TEXT($L$3,"0.00000")&amp;"."),IF(AC23="CTshort",IF(AC25,"AVOID CT SHORT – conditions for scalp fade not met.","OPTIONAL CT SHORT – scalp fade only. Short zone near PDH/CT highs; see CT ladder for entries, SL and TPs."),"AVOID – nothing to do here. Stand aside and wait for either discount buy or CT fade zone.")))</f>
        <v>AVOID – nothing to do here. Stand aside and wait for either discount buy or CT fade zone.</v>
      </c>
      <c r="AE26">
        <f>IF($L$1="LONG",IF(MAX($B$27,$B$24)&gt;0,MAX($B$27,$B$24),$G$19),IF($L$1="SHORT",IF(MIN($B$26,$B$23)&gt;0,MIN($B$26,$B$23),$G$20),""))</f>
        <v>1.1769</v>
      </c>
    </row>
    <row r="27" spans="1:32">
      <c r="A27" t="s">
        <v>364</v>
      </c>
      <c r="B27" s="30">
        <v>1.1769</v>
      </c>
      <c r="C27" t="s">
        <v>365</v>
      </c>
      <c r="D27" s="21">
        <f>IF($L$1="SHORT",$B$26+($B$27-$B$26)*0.5,$B$27-($B$27-$B$26)*0.5)</f>
        <v>1.174775</v>
      </c>
      <c r="F27" t="s">
        <v>236</v>
      </c>
      <c r="G27" t="b">
        <f>IF($Q$6="",FALSE,$G$24&gt;=3*$Q$6)</f>
        <v>0</v>
      </c>
      <c r="P27" s="53" t="s">
        <v>366</v>
      </c>
      <c r="Q27" s="19" t="s">
        <v>78</v>
      </c>
      <c r="R27" s="19" t="s">
        <v>79</v>
      </c>
      <c r="S27" s="19" t="s">
        <v>80</v>
      </c>
      <c r="T27" s="19" t="s">
        <v>81</v>
      </c>
      <c r="U27" s="19" t="s">
        <v>283</v>
      </c>
      <c r="V27" s="19" t="s">
        <v>255</v>
      </c>
      <c r="W27" s="19" t="s">
        <v>256</v>
      </c>
      <c r="X27" s="19" t="s">
        <v>257</v>
      </c>
      <c r="Y27" s="19" t="s">
        <v>86</v>
      </c>
      <c r="Z27" s="20" t="s">
        <v>284</v>
      </c>
      <c r="AA27">
        <f>IF(U29="","",MAX(U29,$AE$7))</f>
        <v>10.9999999999988</v>
      </c>
      <c r="AB27" t="s">
        <v>214</v>
      </c>
      <c r="AC27" s="16" t="str">
        <f ca="1">IF(AC23="CoreLong",IF(AC25,"NO CORE LONG – wait for proper discount and 3R.","CORE LONG OK – follow MasterSignal &amp; Trade Plan."),IF(AC23="CTshort",IF(AC25,"NO CT SHORT – CT scalp conditions incomplete.","CT SHORT OK – scalp only, log as counter-trend."),"NO TRADE – neither core nor CT setup active."))</f>
        <v>NO TRADE – neither core nor CT setup active.</v>
      </c>
      <c r="AD27" t="s">
        <v>367</v>
      </c>
      <c r="AE27">
        <f>$B$40-$AE$28</f>
        <v>1.17053</v>
      </c>
    </row>
    <row r="28" spans="1:32">
      <c r="C28" t="s">
        <v>368</v>
      </c>
      <c r="D28" s="21">
        <f>IF($L$1="SHORT",$B$26+($B$27-$B$26)*0.618,$B$27-($B$27-$B$26)*0.618)</f>
        <v>1.1742735</v>
      </c>
      <c r="F28" t="s">
        <v>240</v>
      </c>
      <c r="G28" t="b">
        <f>IF(Q6="",FALSE,G25&gt;=3*Q6)</f>
        <v>0</v>
      </c>
      <c r="P28" s="54" t="s">
        <v>333</v>
      </c>
      <c r="Q28" s="55">
        <f>IF(AC48&gt;=$B$3,AC48,"")</f>
        <v>1.1771</v>
      </c>
      <c r="R28" s="55">
        <f>$AC$35</f>
        <v>1.1769</v>
      </c>
      <c r="S28" s="55">
        <f>$AC$48+0.0008</f>
        <v>1.1779</v>
      </c>
      <c r="T28" s="57">
        <f>IF(OR(Q28="",R28=""),"",ABS((R28-Q28)*10000))</f>
        <v>1.99999999999978</v>
      </c>
      <c r="U28" s="58">
        <f>IF(OR(Q28="",S28=""),"",MAX(ABS((Q28-S28)*10000),$AE$21))</f>
        <v>8</v>
      </c>
      <c r="V28" s="59">
        <v>0.45</v>
      </c>
      <c r="W28" s="60">
        <f>IF(OR(V28=0,$AE$22=0,Q28=""),"",$L$2*$AE$10*V28/$AE$22)</f>
        <v>135.614682</v>
      </c>
      <c r="X28" s="60">
        <f>IF(OR(W28="",W28=0,T28=""),"",W28*T28/MAX(U28,$AE$21))</f>
        <v>33.9036704999963</v>
      </c>
      <c r="Y28" s="57">
        <f>IF(OR(Q28="",U28="",W28=""),"",W28/(MAX(U28,$AE$21)*$AE$3))</f>
        <v>169518.3525</v>
      </c>
      <c r="Z28" s="61">
        <f>IF(OR(T28="",U28=""),"",T28/MAX(U28,$AE$21))</f>
        <v>0.249999999999972</v>
      </c>
      <c r="AA28">
        <f>IF(U30="","",MAX(U30,$AE$7))</f>
        <v>13.9999999999985</v>
      </c>
      <c r="AB28" t="s">
        <v>220</v>
      </c>
      <c r="AC28" s="16" t="str">
        <f ca="1">IF(AC25,"Stand aside or observation-only. Location: "&amp;AF54&amp;".",IF(AC23="CoreLong","CORE LONG EXECUTION – Mode: "&amp;AC21&amp;", Grade: "&amp;AC24&amp;". Bias: LONG (trend/macro). Buy active tier with ladder "&amp;TEXT($Q$2,"0.00000")&amp;"/"&amp;TEXT($Q$3,"0.00000")&amp;"/"&amp;TEXT($Q$4,"0.00000")&amp;". SL "&amp;TEXT($S$2,"0.00000")&amp;". TP1 "&amp;TEXT($L$3,"0.00000")&amp;".","CT SHORT EXECUTION – Counter-trend scalp. Short near PDH/CT zone. Use CT ladder for entries with reduced risk (0.25–0.5R). Stop above 1.1725–1.1730; TP1 back into 1.1670–1.1660, TP2 into 1.1645–1.1635."))</f>
        <v>CT SHORT EXECUTION – Counter-trend scalp. Short near PDH/CT zone. Use CT ladder for entries with reduced risk (0.25–0.5R). Stop above 1.1725–1.1730; TP1 back into 1.1670–1.1660, TP2 into 1.1645–1.1635.</v>
      </c>
      <c r="AD28" t="s">
        <v>369</v>
      </c>
      <c r="AE28">
        <f>MAX(0.00025,$B$18*0.5)</f>
        <v>0.00025</v>
      </c>
    </row>
    <row r="29" spans="1:32">
      <c r="A29" t="s">
        <v>93</v>
      </c>
      <c r="B29" s="30">
        <v>1.14931</v>
      </c>
      <c r="C29" t="s">
        <v>370</v>
      </c>
      <c r="D29" s="21">
        <f>IF($L$1="SHORT",$B$29+($B$30-$B$29)*0.382,$B$30-($B$30-$B$29)*0.382)</f>
        <v>1.16636062</v>
      </c>
      <c r="F29" t="s">
        <v>232</v>
      </c>
      <c r="G29" s="30">
        <v>1.23</v>
      </c>
      <c r="H29" t="s">
        <v>233</v>
      </c>
      <c r="I29" s="45">
        <v>2.26</v>
      </c>
      <c r="J29">
        <f>IF(G29="","",ABS(G29-$B$3))</f>
        <v>0.0545</v>
      </c>
      <c r="P29" s="54" t="s">
        <v>330</v>
      </c>
      <c r="Q29" s="55">
        <f>IF(AC49&gt;=$B$3,AC49,"")</f>
        <v>1.1768</v>
      </c>
      <c r="R29" s="55">
        <f>$AC$35</f>
        <v>1.1769</v>
      </c>
      <c r="S29" s="55">
        <f>$AC$48+0.0008</f>
        <v>1.1779</v>
      </c>
      <c r="T29" s="57">
        <f>IF(OR(Q29="",R29=""),"",ABS((R29-Q29)*10000))</f>
        <v>0.99999999999989</v>
      </c>
      <c r="U29" s="58">
        <f>IF(OR(Q29="",S29=""),"",MAX(ABS((Q29-S29)*10000),$AE$21))</f>
        <v>10.9999999999988</v>
      </c>
      <c r="V29" s="59">
        <v>0.35</v>
      </c>
      <c r="W29" s="60">
        <f>IF(OR(V29=0,$AE$22=0,Q29=""),"",$L$2*$AE$10*V29/$AE$22)</f>
        <v>105.478086</v>
      </c>
      <c r="X29" s="60">
        <f>IF(OR(W29="",W29=0,T29=""),"",W29*T29/MAX(U29,$AE$21))</f>
        <v>9.58891690909091</v>
      </c>
      <c r="Y29" s="57">
        <f>IF(OR(Q29="",U29="",W29=""),"",W29/(MAX(U29,$AE$21)*$AE$3))</f>
        <v>95889.1690909197</v>
      </c>
      <c r="Z29" s="61">
        <f>IF(OR(T29="",U29=""),"",T29/MAX(U29,$AE$21))</f>
        <v>0.0909090909090909</v>
      </c>
      <c r="AB29" t="s">
        <v>371</v>
      </c>
      <c r="AC29" s="16" t="str">
        <f ca="1">IF($L$1="","NO SETUP",IF(AC25,"NO TRADE – "&amp;AF54,IF(AC23="CoreLong","GO (CORE LONG) – trend/macro aligned.","GO (CT SCALP) – small risk only.")))</f>
        <v>GO (CT SCALP) – small risk only.</v>
      </c>
      <c r="AD29" t="s">
        <v>372</v>
      </c>
      <c r="AE29">
        <f>MAX(0.00025,$B$18*0.5)</f>
        <v>0.00025</v>
      </c>
    </row>
    <row r="30" spans="1:32">
      <c r="A30" t="s">
        <v>104</v>
      </c>
      <c r="B30" s="30">
        <v>1.1769</v>
      </c>
      <c r="C30" t="s">
        <v>373</v>
      </c>
      <c r="D30" s="21">
        <f>IF($L$1="SHORT",$B$29+($B$30-$B$29)*0.5,$B$30-($B$30-$B$29)*0.5)</f>
        <v>1.163105</v>
      </c>
      <c r="F30" t="s">
        <v>237</v>
      </c>
      <c r="G30" s="30">
        <v>1.17</v>
      </c>
      <c r="H30" t="s">
        <v>238</v>
      </c>
      <c r="I30" s="45">
        <v>1.87</v>
      </c>
      <c r="J30">
        <f>IF(G30="","",ABS(G30-$B$3))</f>
        <v>0.00550000000000006</v>
      </c>
      <c r="P30" s="64" t="s">
        <v>374</v>
      </c>
      <c r="Q30" s="65">
        <f>IF(AC47&gt;=$B$3,AC47,"")</f>
        <v>1.1765</v>
      </c>
      <c r="R30" s="65">
        <f>$AC$35</f>
        <v>1.1769</v>
      </c>
      <c r="S30" s="65">
        <f>$AC$48+0.0008</f>
        <v>1.1779</v>
      </c>
      <c r="T30" s="67">
        <f>IF(OR(Q30="",R30=""),"",ABS((R30-Q30)*10000))</f>
        <v>3.99999999999956</v>
      </c>
      <c r="U30" s="68">
        <f>IF(OR(Q30="",S30=""),"",MAX(ABS((Q30-S30)*10000),$AE$21))</f>
        <v>13.9999999999985</v>
      </c>
      <c r="V30" s="69">
        <v>0.2</v>
      </c>
      <c r="W30" s="70">
        <f>IF(OR(V30=0,$AE$22=0,Q30=""),"",$L$2*$AE$10*V30/$AE$22)</f>
        <v>60.273192</v>
      </c>
      <c r="X30" s="70">
        <f>IF(OR(W30="",W30=0,T30=""),"",W30*T30/MAX(U30,$AE$21))</f>
        <v>17.220912</v>
      </c>
      <c r="Y30" s="67">
        <f>IF(OR(Q30="",U30="",W30=""),"",W30/(MAX(U30,$AE$21)*$AE$3))</f>
        <v>43052.2800000048</v>
      </c>
      <c r="Z30" s="71">
        <f>IF(OR(T30="",U30=""),"",T30/MAX(U30,$AE$21))</f>
        <v>0.285714285714286</v>
      </c>
      <c r="AB30" t="s">
        <v>375</v>
      </c>
      <c r="AC30" s="35">
        <f>IF(OR($D$23="",$D$25="",$D$29="",$D$31=""),"",MAX(MIN($D$23,$D$25),MIN($D$29,$D$31)))</f>
        <v>1.17384708</v>
      </c>
      <c r="AD30" t="s">
        <v>376</v>
      </c>
      <c r="AE30" s="6">
        <f>$B$38-$AE$29</f>
        <v>1.16971</v>
      </c>
    </row>
    <row r="31" spans="1:32">
      <c r="C31" t="s">
        <v>377</v>
      </c>
      <c r="D31" s="21">
        <f>IF($L$1="SHORT",$B$29+($B$30-$B$29)*0.618,$B$30-($B$30-$B$29)*0.618)</f>
        <v>1.15984938</v>
      </c>
      <c r="F31" t="s">
        <v>241</v>
      </c>
      <c r="G31" s="30">
        <v>1.16</v>
      </c>
      <c r="H31" t="s">
        <v>242</v>
      </c>
      <c r="I31" s="45">
        <v>6.15</v>
      </c>
      <c r="J31">
        <f>IF(G31="","",ABS(G31-$B$3))</f>
        <v>0.0155000000000001</v>
      </c>
      <c r="P31" s="2"/>
      <c r="Q31" s="72"/>
      <c r="R31" s="72"/>
      <c r="S31" s="72"/>
      <c r="T31" s="3"/>
      <c r="U31" s="73"/>
      <c r="V31" s="74"/>
      <c r="W31" s="75"/>
      <c r="X31" s="75"/>
      <c r="Y31" s="3"/>
      <c r="Z31" s="76"/>
      <c r="AB31" t="s">
        <v>378</v>
      </c>
      <c r="AC31" s="35">
        <f>IF(OR($D$23="",$D$25="",$D$29="",$D$31=""),"",MIN(MAX($D$23,$D$25),MAX($D$29,$D$31)))</f>
        <v>1.16636062</v>
      </c>
      <c r="AD31" t="s">
        <v>379</v>
      </c>
      <c r="AE31" s="6">
        <f>IF(Q3="","",($B$3-Q3)*10000)</f>
        <v>14.0999999999991</v>
      </c>
    </row>
    <row r="32" spans="1:32">
      <c r="F32" t="s">
        <v>380</v>
      </c>
      <c r="G32" s="30"/>
      <c r="H32" t="s">
        <v>381</v>
      </c>
      <c r="I32" s="45"/>
      <c r="J32" t="str">
        <f>IF(G32="","",ABS(G32-$B$3))</f>
        <v/>
      </c>
      <c r="P32" t="s">
        <v>161</v>
      </c>
      <c r="Q32" s="6">
        <f>IF(SUM(Y28:Y30)=0,0,SUMPRODUCT(AA26:AA28,Y28:Y30)/SUM(Y28:Y30))</f>
        <v>9.77002379064186</v>
      </c>
      <c r="AB32" t="s">
        <v>382</v>
      </c>
      <c r="AC32" s="35" t="str">
        <f>IF(OR(AC30="",AC31="",AC30&gt;AC31),"",(AC30+AC31)/2)</f>
        <v/>
      </c>
      <c r="AD32" t="s">
        <v>383</v>
      </c>
      <c r="AE32" s="6">
        <f>IF(Q4="","",($B$3-Q4)*10000)</f>
        <v>17.100000000001</v>
      </c>
      <c r="AF32" t="str">
        <f>IF($L$1&lt;&gt;"LONG","","Dist to entries (pips): 0.382="&amp;TEXT(AE30,"0.0")&amp;", 0.5="&amp;TEXT(AE31,"0.0")&amp;", 0.618="&amp;TEXT(AE32,"0.0"))</f>
        <v>Dist to entries (pips): 0.382=1.2, 0.5=14.1, 0.618=17.1</v>
      </c>
    </row>
    <row r="33" spans="1:32">
      <c r="F33" t="s">
        <v>244</v>
      </c>
      <c r="G33" s="21">
        <f>IF(COUNTA(G29:G32)=0,"",INDEX(G29:G32,MATCH(MIN(J29:J32),J29:J32,0)))</f>
        <v>1.17</v>
      </c>
      <c r="P33" t="s">
        <v>166</v>
      </c>
      <c r="Q33" s="6">
        <f>SUM(Y28:Y30)</f>
        <v>308459.801590924</v>
      </c>
      <c r="AB33" t="s">
        <v>384</v>
      </c>
      <c r="AC33" s="16" t="b">
        <f>IF(OR(AC30="",AC31="",AC30&gt;AC31),FALSE,AND($B$3&gt;=AC30,$B$3&lt;=AC31))</f>
        <v>0</v>
      </c>
    </row>
    <row r="34" spans="1:32">
      <c r="A34" t="s">
        <v>386</v>
      </c>
      <c r="F34" t="s">
        <v>246</v>
      </c>
      <c r="G34" s="80">
        <v>20</v>
      </c>
      <c r="P34" t="s">
        <v>195</v>
      </c>
      <c r="Q34" s="6">
        <f>IF(Q33=0,"",SUMPRODUCT(Q28:Q30,Y28:Y30)/Q33)</f>
        <v>1.17692299762094</v>
      </c>
      <c r="AB34" t="s">
        <v>387</v>
      </c>
      <c r="AC34" s="46">
        <f>IF(OR(AC30="",AC31="",AC30&gt;AC31),0,IF(OR($B$3&lt;AC30,$B$3&gt;AC31),0,MAX(0,1-(ABS($B$3-AC32)/((AC31-AC30)/2)))))</f>
        <v>0</v>
      </c>
    </row>
    <row r="35" spans="1:32">
      <c r="A35" t="s">
        <v>184</v>
      </c>
      <c r="B35" s="30">
        <v>1.1719</v>
      </c>
      <c r="F35" t="s">
        <v>248</v>
      </c>
      <c r="G35" s="6">
        <f>IF(G33="","",ABS((G33-$B$3)*10000))</f>
        <v>55.0000000000006</v>
      </c>
      <c r="P35" t="s">
        <v>81</v>
      </c>
      <c r="Q35" s="6">
        <f>IF(OR(Q34="",$R$28=""),"",ABS(($R$28-Q34)*10000))</f>
        <v>0.229976209356053</v>
      </c>
      <c r="AB35" t="s">
        <v>730</v>
      </c>
      <c r="AC35">
        <f>IF($G$19="","",$G$19)</f>
        <v>1.1769</v>
      </c>
    </row>
    <row r="36" spans="1:32">
      <c r="A36" t="s">
        <v>189</v>
      </c>
      <c r="B36" s="30">
        <v>1.17064</v>
      </c>
      <c r="F36" t="s">
        <v>249</v>
      </c>
      <c r="G36" s="6">
        <f>IF(AND(G33&lt;&gt;"",G35&lt;=G34),1,0)</f>
        <v>0</v>
      </c>
      <c r="P36" t="s">
        <v>314</v>
      </c>
      <c r="Q36" s="22">
        <f>IF(OR(Q33=0,Q34="",$R$28=""),"",ABS(($R$28-Q34)*Q33))</f>
        <v>7.0938415908601</v>
      </c>
    </row>
    <row r="37" spans="1:32">
      <c r="A37" t="s">
        <v>192</v>
      </c>
      <c r="B37" s="30">
        <v>1.17197</v>
      </c>
      <c r="F37" t="s">
        <v>250</v>
      </c>
      <c r="G37" s="81">
        <v>0.3</v>
      </c>
      <c r="P37" t="s">
        <v>85</v>
      </c>
      <c r="Q37" s="6">
        <f>IF(SUM($W$28:$W$30)=0,"",SUM($X$28:$X$30)/SUM($W$28:$W$30))</f>
        <v>0.201461038961027</v>
      </c>
      <c r="AB37" t="s">
        <v>392</v>
      </c>
      <c r="AC37" s="16" t="str">
        <f ca="1">Macro_Dashboard!$B$19</f>
        <v>Neutral</v>
      </c>
    </row>
    <row r="38" spans="1:32">
      <c r="A38" t="s">
        <v>197</v>
      </c>
      <c r="B38" s="30">
        <v>1.16996</v>
      </c>
      <c r="P38" t="s">
        <v>321</v>
      </c>
      <c r="Q38" s="6">
        <f>IF(SUM(Y28:Y30)=0,"",(Y28*MAX(U28,$AE$21)+Y29*MAX(U29,$AE$21)+Y30*MAX(U30,$AE$21))/SUM(Y28:Y30))</f>
        <v>9.77002379064186</v>
      </c>
      <c r="AB38" t="s">
        <v>394</v>
      </c>
      <c r="AC38" s="52">
        <f ca="1">IF(AC37="Buy dips",1,IF(AC37="Sell rallies",-1,0))</f>
        <v>0</v>
      </c>
    </row>
    <row r="39" spans="1:32">
      <c r="A39" t="s">
        <v>201</v>
      </c>
      <c r="B39" s="30">
        <v>1.171</v>
      </c>
      <c r="AB39" t="s">
        <v>396</v>
      </c>
      <c r="AC39" s="52">
        <f ca="1">IF(Macro_Dashboard!$B$31&gt;0.3,-0.5,IF(Macro_Dashboard!$B$31&lt;-0.3,0.5,0))</f>
        <v>-0.5</v>
      </c>
    </row>
    <row r="40" spans="1:32">
      <c r="A40" t="s">
        <v>206</v>
      </c>
      <c r="B40" s="45">
        <v>1.17078</v>
      </c>
      <c r="AB40" t="s">
        <v>397</v>
      </c>
      <c r="AC40" s="16">
        <f ca="1">IF(Macro_Dashboard!$B$28&lt;=-2,0.5,IF(Macro_Dashboard!$B$28&gt;=2,-0.5,0))</f>
        <v>-0.5</v>
      </c>
    </row>
    <row r="41" spans="1:32">
      <c r="AB41" t="s">
        <v>399</v>
      </c>
      <c r="AC41" s="46">
        <f ca="1">MAX(-1,MIN(1,AC38+AC39+AC40))</f>
        <v>-1</v>
      </c>
    </row>
    <row r="42" spans="1:32">
      <c r="AB42" t="s">
        <v>392</v>
      </c>
      <c r="AC42" s="16">
        <f ca="1">0.5*AC41</f>
        <v>-0.5</v>
      </c>
    </row>
    <row r="43" spans="1:32">
      <c r="H43" s="21"/>
      <c r="I43" s="21"/>
    </row>
    <row r="44" spans="1:32">
      <c r="I44" s="21"/>
    </row>
    <row r="45" spans="1:32">
      <c r="I45" s="21"/>
      <c r="AE45" t="s">
        <v>403</v>
      </c>
      <c r="AF45" t="b">
        <f>AND($B$3&gt;=AC51,$B$3&lt;=AD51)</f>
        <v>0</v>
      </c>
    </row>
    <row r="46" spans="1:32">
      <c r="I46" s="21"/>
      <c r="AE46" t="s">
        <v>405</v>
      </c>
      <c r="AF46" t="b">
        <f>AND($B$3&gt;=AC52,$B$3&lt;=AD52)</f>
        <v>0</v>
      </c>
    </row>
    <row r="47" spans="1:32">
      <c r="I47" s="21"/>
      <c r="AB47" t="s">
        <v>406</v>
      </c>
      <c r="AC47" s="35">
        <f>IF($AC$48="","",$AC$48-($AE$24*$AE$3))</f>
        <v>1.1765</v>
      </c>
      <c r="AE47" t="s">
        <v>407</v>
      </c>
      <c r="AF47" t="b">
        <f>AND($B$3&gt;=AC53,$B$3&lt;=AD53)</f>
        <v>0</v>
      </c>
    </row>
    <row r="48" spans="1:32">
      <c r="I48" s="21"/>
      <c r="AB48" t="s">
        <v>408</v>
      </c>
      <c r="AC48" s="35">
        <f>IF($AC$50="","",$AC$50+$K$20)</f>
        <v>1.1771</v>
      </c>
      <c r="AE48" t="s">
        <v>409</v>
      </c>
      <c r="AF48" t="b">
        <f>OR(AF45,AF46,AF47)</f>
        <v>0</v>
      </c>
    </row>
    <row r="49" spans="9:32">
      <c r="I49" s="21"/>
      <c r="AB49" t="s">
        <v>410</v>
      </c>
      <c r="AC49" s="35">
        <f>IF($AC$48="","",$AC$48-((($AE$24/2)*$AE$3)))</f>
        <v>1.1768</v>
      </c>
      <c r="AE49" t="s">
        <v>411</v>
      </c>
      <c r="AF49" t="b">
        <f>AND($B$3&gt;=AC47,$B$3&lt;=AC48+0.0005)</f>
        <v>0</v>
      </c>
    </row>
    <row r="50" spans="9:32">
      <c r="AA50" s="72">
        <f>B3</f>
        <v>1.1755</v>
      </c>
      <c r="AB50" s="2" t="s">
        <v>412</v>
      </c>
      <c r="AC50" s="16">
        <f>IF($L$1&lt;&gt;"LONG","",MAX($B$3,IF(AND($G$21&lt;&gt;"",ABS($G$21-IF($B$27&lt;&gt;"",$B$27,$G$17))&lt;=0.0025),$G$21,IF($B$27&lt;&gt;"",$B$27,$G$17))))</f>
        <v>1.1769</v>
      </c>
      <c r="AD50" s="2" t="s">
        <v>260</v>
      </c>
      <c r="AE50" t="s">
        <v>413</v>
      </c>
      <c r="AF50" t="b">
        <f>AND(NOT(AF48),$B$3&gt;AD51)</f>
        <v>1</v>
      </c>
    </row>
    <row r="51" spans="9:32">
      <c r="AA51" s="2" t="s">
        <v>414</v>
      </c>
      <c r="AB51" t="s">
        <v>415</v>
      </c>
      <c r="AC51" s="35">
        <f>MIN($D$23,$D$25)</f>
        <v>1.17384708</v>
      </c>
      <c r="AD51" s="72">
        <f>MAX($D$23,$D$25)</f>
        <v>1.17501292</v>
      </c>
    </row>
    <row r="52" spans="9:32">
      <c r="AA52" s="2" t="s">
        <v>416</v>
      </c>
      <c r="AB52" s="2">
        <v>2</v>
      </c>
      <c r="AC52" s="16">
        <f>B36</f>
        <v>1.17064</v>
      </c>
      <c r="AD52" s="2">
        <f>B35</f>
        <v>1.1719</v>
      </c>
      <c r="AE52" t="s">
        <v>417</v>
      </c>
      <c r="AF52" t="b">
        <f ca="1">AND($AC$38&gt;=0,G8=TRUE,NOT(G9),AF48)</f>
        <v>0</v>
      </c>
    </row>
    <row r="53" spans="9:32">
      <c r="AA53" s="2" t="s">
        <v>418</v>
      </c>
      <c r="AB53" s="2">
        <v>3</v>
      </c>
      <c r="AC53" s="16">
        <f>B13</f>
        <v>1.15976</v>
      </c>
      <c r="AD53" s="2">
        <f>B12</f>
        <v>1.16295</v>
      </c>
      <c r="AE53" s="21" t="s">
        <v>419</v>
      </c>
      <c r="AF53" t="b">
        <f ca="1">AND(N($AC$38)&lt;=0,G8=TRUE,G11=TRUE,AF49=TRUE,$B$21&gt;70,$B$20&gt;65)</f>
        <v>0</v>
      </c>
    </row>
    <row r="54" spans="9:32">
      <c r="AB54" s="2"/>
      <c r="AD54" s="2"/>
      <c r="AE54" t="s">
        <v>420</v>
      </c>
      <c r="AF54" s="2" t="str">
        <f>IF(AF48,"DISCOUNT",IF(AF49,"CT_ZONE",IF(AF50,"PREMIUM","MID")))</f>
        <v>PREMIUM</v>
      </c>
    </row>
    <row r="55" spans="9:32">
      <c r="AB55" t="s">
        <v>421</v>
      </c>
      <c r="AC55" s="16">
        <f>IF(AND($B$3&gt;=AC51,$B$3&lt;=AD51),1,IF(AND($B$3&gt;=AC52,$B$3&lt;=AD52),2,IF(AND($B$3&gt;=AC53,$B$3&lt;=AD53),3,0)))</f>
        <v>0</v>
      </c>
    </row>
    <row r="56" spans="9:32">
      <c r="AC56">
        <f>AC55</f>
        <v>0</v>
      </c>
    </row>
    <row r="57" spans="9:32">
      <c r="AB57" t="s">
        <v>422</v>
      </c>
      <c r="AD57" t="s">
        <v>423</v>
      </c>
      <c r="AE57">
        <f>IF($AC$57&lt;&gt;"",$AC$57,IF($AC$55=0,1,$AC$55))</f>
        <v>1</v>
      </c>
    </row>
    <row r="59" spans="9:32">
      <c r="Z59" s="72"/>
    </row>
    <row r="60" spans="9:32">
      <c r="Z60" s="2"/>
    </row>
    <row r="61" spans="9:32">
      <c r="Z61" s="2"/>
    </row>
    <row r="62" spans="9:32">
      <c r="Z62" s="2"/>
    </row>
  </sheetData>
  <pageMargins left="0.7" right="0.7" top="0.75" bottom="0.75" header="0.3" footer="0.3"/>
  <pageSetup paperSize="1" orientation="portrait"/>
  <headerFooter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workbookViewId="0">
      <selection activeCell="B14" sqref="B14"/>
    </sheetView>
  </sheetViews>
  <sheetFormatPr defaultColWidth="9" defaultRowHeight="14.5"/>
  <cols>
    <col min="1" max="1" width="30.7090909090909" customWidth="1"/>
    <col min="2" max="2" width="21.2818181818182" style="1" customWidth="1"/>
    <col min="3" max="3" width="31.7090909090909" style="2" customWidth="1"/>
    <col min="4" max="4" width="12" customWidth="1"/>
    <col min="5" max="5" width="9.13636363636364" customWidth="1"/>
    <col min="6" max="6" width="23" customWidth="1"/>
    <col min="7" max="7" width="12" customWidth="1"/>
    <col min="8" max="9" width="9.13636363636364" customWidth="1"/>
    <col min="11" max="11" width="58.2818181818182" customWidth="1"/>
  </cols>
  <sheetData>
    <row r="1" spans="1:11">
      <c r="A1" t="s">
        <v>457</v>
      </c>
    </row>
    <row r="3" spans="1:11">
      <c r="A3" t="s">
        <v>458</v>
      </c>
    </row>
    <row r="4" spans="1:11">
      <c r="A4" t="s">
        <v>459</v>
      </c>
      <c r="D4" t="s">
        <v>460</v>
      </c>
      <c r="F4" t="s">
        <v>461</v>
      </c>
    </row>
    <row r="5" spans="1:11">
      <c r="A5" t="s">
        <v>464</v>
      </c>
      <c r="B5" s="1" t="str">
        <f>IFERROR(LOOKUP(2,1/((Macro_Data!$B$2:$B$148="Inflation – US")*(Macro_Data!$I$2:$I$148&lt;&gt;"")),Macro_Data!$I$2:$I$148),"")</f>
        <v>Slowing</v>
      </c>
      <c r="C5" s="3">
        <f>IF(B5="","",VLOOKUP(B5,$D$5:$E$19,2,FALSE))</f>
        <v>-1</v>
      </c>
      <c r="D5" s="4" t="s">
        <v>465</v>
      </c>
      <c r="E5" s="5">
        <v>-1</v>
      </c>
      <c r="F5" t="s">
        <v>464</v>
      </c>
      <c r="G5" s="1" t="str">
        <f>IFERROR(LOOKUP(2,1/((Macro_Data!$B$2:$B$148="Inflation – EUR")*(Macro_Data!$I$2:$I$148&lt;&gt;"")),Macro_Data!$I$2:$I$148),"")</f>
        <v>Slowing</v>
      </c>
      <c r="H5" s="3">
        <f>IF(G5="","",VLOOKUP(G5,$D$5:$E$19,2,FALSE))</f>
        <v>-1</v>
      </c>
      <c r="K5" s="6"/>
    </row>
    <row r="6" spans="1:11">
      <c r="A6" t="s">
        <v>473</v>
      </c>
      <c r="B6" s="1" t="str">
        <f>IFERROR(LOOKUP(2,1/((Macro_Data!$B$2:$B$148="Labour – US")*(Macro_Data!$I$2:$I$148&lt;&gt;"")),Macro_Data!$I$2:$I$148),"")</f>
        <v>Mixed</v>
      </c>
      <c r="C6" s="3">
        <f>IF(B6="","",VLOOKUP(B6,$D$5:$E$19,2,FALSE))</f>
        <v>0</v>
      </c>
      <c r="D6" s="4" t="s">
        <v>474</v>
      </c>
      <c r="E6" s="7">
        <v>0</v>
      </c>
      <c r="F6" t="s">
        <v>473</v>
      </c>
      <c r="G6" s="1" t="str">
        <f>IFERROR(LOOKUP(2,1/((Macro_Data!$B$2:$B$148="Labour – EUR")*(Macro_Data!$I$2:$I$148&lt;&gt;"")),Macro_Data!$I$2:$I$148),"")</f>
        <v>Accelerating</v>
      </c>
      <c r="H6" s="3">
        <f>IF(G6="","",VLOOKUP(G6,$D$5:$E$19,2,FALSE))</f>
        <v>1</v>
      </c>
    </row>
    <row r="7" spans="1:11">
      <c r="A7" t="s">
        <v>477</v>
      </c>
      <c r="B7" s="1" t="str">
        <f>IFERROR(LOOKUP(2,1/((Macro_Data!$B$2:$B$148="Growth - US")*(Macro_Data!$I$2:$I$148&lt;&gt;"")),Macro_Data!$I$2:$I$148),"")</f>
        <v>Slowing</v>
      </c>
      <c r="C7" s="3">
        <f>IF(B7="","",VLOOKUP(B7,$D$5:$E$19,2,FALSE))</f>
        <v>-1</v>
      </c>
      <c r="D7" s="4" t="s">
        <v>478</v>
      </c>
      <c r="E7" s="7">
        <v>1</v>
      </c>
      <c r="F7" t="s">
        <v>477</v>
      </c>
      <c r="G7" s="1" t="str">
        <f>IFERROR(LOOKUP(2,1/((Macro_Data!$B$2:$B$148="Growth - EUR")*(Macro_Data!$I$2:$I$148&lt;&gt;"")),Macro_Data!$I$2:$I$148),"")</f>
        <v>Stable</v>
      </c>
      <c r="H7" s="8">
        <v>-1</v>
      </c>
    </row>
    <row r="8" spans="1:11">
      <c r="A8" t="s">
        <v>481</v>
      </c>
      <c r="B8" s="1" t="str">
        <f ca="1">IF(B38="","",IF(B38&gt;=2,"More cuts",IF(B38&lt;=-2,"Less cuts","Hold")))</f>
        <v/>
      </c>
      <c r="C8" s="3" t="str">
        <f ca="1">IF(B8="","",VLOOKUP(B8,$D$5:$E$19,2,FALSE))</f>
        <v/>
      </c>
      <c r="D8" s="4" t="s">
        <v>482</v>
      </c>
      <c r="E8" s="5">
        <v>-1</v>
      </c>
      <c r="F8" t="s">
        <v>481</v>
      </c>
      <c r="G8" s="1" t="str">
        <f ca="1">IF(OR($B$38="",Macro_Data!$Z$2=""),"",IF($B$38&lt;Macro_Data!$Z$2-0.125,"More cuts",IF($B$38&gt;Macro_Data!$Z$2+0.125,"Less cuts","Hold")))</f>
        <v/>
      </c>
      <c r="H8" s="3" t="str">
        <f ca="1">IF(G8="","",VLOOKUP(G8,$D$5:$E$19,2,FALSE))</f>
        <v/>
      </c>
    </row>
    <row r="9" spans="1:11">
      <c r="A9" t="s">
        <v>485</v>
      </c>
      <c r="B9" s="1" t="s">
        <v>486</v>
      </c>
      <c r="C9" s="3">
        <f>IF(B9="","",VLOOKUP(B9,$D$5:$E$19,2,FALSE))</f>
        <v>0</v>
      </c>
      <c r="D9" s="4" t="s">
        <v>486</v>
      </c>
      <c r="E9" s="7">
        <v>0</v>
      </c>
      <c r="F9" t="s">
        <v>485</v>
      </c>
      <c r="G9" s="1" t="s">
        <v>486</v>
      </c>
      <c r="H9" s="3">
        <f>IF(G9="","",VLOOKUP(G9,$D$5:$E$19,2,FALSE))</f>
        <v>0</v>
      </c>
    </row>
    <row r="10" spans="1:11">
      <c r="A10" t="s">
        <v>489</v>
      </c>
      <c r="B10" s="1" t="str">
        <f>IF(C10="","",IF(C10&gt;=0.5,"Rising",IF(C10&lt;=-0.5,"Falling","Flat")))</f>
        <v>Rising</v>
      </c>
      <c r="C10" s="3">
        <f>IF(COUNTA(Macro_Data!$X$2:$X$8)=0,"",AVERAGE(Macro_Data!$X$2:$X$5)+0.5*AVERAGE(Macro_Data!$X$7:$X$8))</f>
        <v>0.5</v>
      </c>
      <c r="D10" s="4" t="s">
        <v>490</v>
      </c>
      <c r="E10" s="7">
        <v>1</v>
      </c>
      <c r="F10" t="s">
        <v>491</v>
      </c>
      <c r="G10" s="1" t="str">
        <f>IF(H10="","",IF(H10&gt;=0.5,"Rising",IF(H10&lt;=-0.5,"Falling","Flat")))</f>
        <v>Rising</v>
      </c>
      <c r="H10" s="3">
        <f>IF(COUNTA(Macro_Data!$X$2:$X$7)=0,"",AVERAGE(Macro_Data!$X$2:$X$5)+0.5*Macro_Data!$X$7)</f>
        <v>0.5</v>
      </c>
    </row>
    <row r="11" spans="1:11">
      <c r="D11" s="4" t="s">
        <v>495</v>
      </c>
      <c r="E11" s="5">
        <v>-1</v>
      </c>
      <c r="H11" s="6"/>
    </row>
    <row r="12" spans="1:11">
      <c r="D12" s="4" t="s">
        <v>498</v>
      </c>
      <c r="E12" s="7">
        <v>0</v>
      </c>
    </row>
    <row r="13" spans="1:11">
      <c r="A13" t="s">
        <v>500</v>
      </c>
      <c r="B13" s="9">
        <f ca="1">IF(COUNTA($C$5:$C$10)=0,"",SUM($C$5:$C$10))</f>
        <v>-1.5</v>
      </c>
      <c r="C13" s="3"/>
      <c r="D13" s="4" t="s">
        <v>501</v>
      </c>
      <c r="E13" s="7">
        <v>1</v>
      </c>
    </row>
    <row r="14" spans="1:11">
      <c r="A14" t="s">
        <v>503</v>
      </c>
      <c r="B14" s="9">
        <f ca="1">IF(COUNTA($H$5:$H$10)=0,"",SUM($H$5:$H$10))</f>
        <v>-0.5</v>
      </c>
      <c r="D14" s="4" t="s">
        <v>504</v>
      </c>
      <c r="E14" s="5">
        <v>-1</v>
      </c>
    </row>
    <row r="15" spans="1:11">
      <c r="A15" t="s">
        <v>505</v>
      </c>
      <c r="B15" s="9">
        <f>0</f>
        <v>0</v>
      </c>
      <c r="D15" s="4" t="s">
        <v>506</v>
      </c>
      <c r="E15" s="7">
        <v>0</v>
      </c>
    </row>
    <row r="16" spans="1:11">
      <c r="A16" t="s">
        <v>507</v>
      </c>
      <c r="B16" s="1" t="str">
        <f ca="1">IF(B13="","",IF(B13&gt;=2,"Strong USD",IF(B13&lt;=-2,"Weak USD","Neutral USD")))</f>
        <v>Neutral USD</v>
      </c>
      <c r="D16" s="4" t="s">
        <v>508</v>
      </c>
      <c r="E16" s="7">
        <v>1</v>
      </c>
    </row>
    <row r="17" spans="1:7">
      <c r="D17" s="4" t="s">
        <v>510</v>
      </c>
      <c r="E17" s="5">
        <v>-1</v>
      </c>
    </row>
    <row r="18" spans="1:7">
      <c r="D18" s="4" t="s">
        <v>511</v>
      </c>
      <c r="E18" s="7">
        <v>1</v>
      </c>
    </row>
    <row r="19" spans="1:7">
      <c r="A19" t="s">
        <v>512</v>
      </c>
      <c r="B19" s="10" t="str">
        <f ca="1">IF(OR(B13="",B14=""),"",IF(B14-B13&gt;=2,"Buy dips",IF(B14-B13&lt;=-2,"Sell rallies","Neutral")))</f>
        <v>Neutral</v>
      </c>
      <c r="D19" s="4" t="s">
        <v>513</v>
      </c>
      <c r="E19" s="7">
        <v>0</v>
      </c>
    </row>
    <row r="20" spans="1:7">
      <c r="A20" t="s">
        <v>514</v>
      </c>
      <c r="B20" s="1" t="str">
        <f ca="1">IF(B13="","Neutral",IF(B13-B15&gt;=2,"Buy USD / Sell JPY",IF(B13-B15&lt;=-2,"Sell USD / Buy JPY","Neutral")))</f>
        <v>Neutral</v>
      </c>
    </row>
    <row r="21" spans="1:7">
      <c r="A21" t="s">
        <v>515</v>
      </c>
      <c r="B21" s="1" t="str">
        <f ca="1">IF(B13="","Mixed",IF(AND(C9=1,C10=1,C5&lt;=0),"Risk-on",IF(AND(C9=-1,C10=-1,C5&gt;0),"Risk-off","Mixed")))</f>
        <v>Mixed</v>
      </c>
    </row>
    <row r="23" spans="1:7">
      <c r="A23" t="s">
        <v>517</v>
      </c>
      <c r="B23" s="9" t="str">
        <f ca="1">IF(B38="","",IF(B38&gt;=2,1,IF(B38&lt;=-2,-1,0)))</f>
        <v/>
      </c>
    </row>
    <row r="24" spans="1:7">
      <c r="A24" t="s">
        <v>518</v>
      </c>
      <c r="B24" s="9" t="str">
        <f ca="1">IF(B39="","",IF(B39&gt;=2,1,IF(B39&lt;=-2,-1,0)))</f>
        <v/>
      </c>
    </row>
    <row r="25" spans="1:7">
      <c r="A25" t="s">
        <v>519</v>
      </c>
      <c r="B25" s="9">
        <v>0</v>
      </c>
    </row>
    <row r="27" spans="1:7">
      <c r="A27" t="s">
        <v>520</v>
      </c>
      <c r="B27" s="11" t="str">
        <f ca="1">IF(OR(Macro_Data!$Z$2="",Macro_Data!$Z$3="",$B$38="",$B$39=""),"",(Macro_Data!$Z$2-0.25*$B$38)-(Macro_Data!$Z$3-0.25*$B$39))</f>
        <v/>
      </c>
      <c r="C27" s="2" t="str">
        <f ca="1">IF(B27="","",IF(B27&gt;1.5,"Strong USD carry tailwind",IF(B27&gt;0.5,"Mild USD carry tailwind",IF(B27&lt;-1.5,"Strong EUR carry tailwind",IF(B27&lt;-0.5,"Mild EUR carry tailwind","Carry roughly neutral")))))</f>
        <v/>
      </c>
    </row>
    <row r="28" spans="1:7">
      <c r="A28" t="s">
        <v>521</v>
      </c>
      <c r="B28" s="9" t="str">
        <f ca="1">IF(OR(Macro_Data!Z2="",Macro_Data!Z3="",$B$38="",$B$39=""),"",((Macro_Data!Z2-0.25*$B$38)-(Macro_Data!Z3-0.25*$B$39))-(Macro_Data!Z2-Macro_Data!Z3))</f>
        <v/>
      </c>
      <c r="C28" s="2" t="str">
        <f ca="1">IF(B28="","",IF(B28&lt;=-0.25,"Spread narrowing in favour of EUR",IF(B28&gt;=0.25,"Spread widening in favour of USD","Spread unchanged")))</f>
        <v/>
      </c>
      <c r="G28" s="12">
        <f>Macro_Data!Z2</f>
        <v>4.37</v>
      </c>
    </row>
    <row r="29" spans="1:7">
      <c r="A29" t="s">
        <v>522</v>
      </c>
      <c r="B29" s="13">
        <v>46001</v>
      </c>
    </row>
    <row r="30" spans="1:7">
      <c r="A30" s="14" t="s">
        <v>523</v>
      </c>
      <c r="B30" s="10">
        <f>IF($B$29="","",IFERROR(AVERAGEIFS(Macro_Speakers!$H:$H,Macro_Speakers!$B:$B,"FED",Macro_Speakers!$A:$A,"&gt;="&amp;$B$29),""))</f>
        <v>-0.0833333333333333</v>
      </c>
      <c r="C30" s="2" t="str">
        <f>IF(B30="","",IF(B30&gt;0.3,"Hawkish",IF(B30&lt;-0.3,"Dovish","Mixed")))</f>
        <v>Mixed</v>
      </c>
    </row>
    <row r="31" spans="1:7">
      <c r="A31" t="s">
        <v>524</v>
      </c>
      <c r="B31" s="10" t="str">
        <f ca="1">IFERROR(AVERAGEIFS(Macro_Speakers!$H:$H,Macro_Speakers!$B:$B,"FED",Macro_Speakers!$A:$A,"&gt;="&amp;TODAY()-30),"")</f>
        <v/>
      </c>
      <c r="C31" s="2" t="str">
        <f ca="1">IF(B31="","",IF(B31&gt;0.3,"Hawkish",IF(B31&lt;-0.3,"Dovish","Mixed")))</f>
        <v/>
      </c>
    </row>
    <row r="32" spans="1:7">
      <c r="A32" s="14" t="s">
        <v>525</v>
      </c>
      <c r="B32" s="10">
        <f>IF($B$29="","",IFERROR(AVERAGEIFS(Macro_Speakers!$H:$H,Macro_Speakers!$B:$B,"ECB",Macro_Speakers!$A:$A,"&gt;="&amp;$B$29),""))</f>
        <v>0.25</v>
      </c>
      <c r="C32" s="2" t="str">
        <f>IF(B32="","",IF(B32&gt;0.3,"Hawkish",IF(B32&lt;-0.3,"Dovish","Mixed")))</f>
        <v>Mixed</v>
      </c>
    </row>
    <row r="33" spans="1:3">
      <c r="A33" t="s">
        <v>526</v>
      </c>
      <c r="B33" s="10" t="str">
        <f ca="1">IFERROR(AVERAGEIFS(Macro_Speakers!$H:$H,Macro_Speakers!$B:$B,"ECB",Macro_Speakers!$A:$A,"&gt;="&amp;TODAY()-30),"")</f>
        <v/>
      </c>
      <c r="C33" s="2" t="str">
        <f ca="1">IF(B33="","",IF(B33&gt;0.3,"Hawkish",IF(B33&lt;-0.3,"Dovish","Mixed")))</f>
        <v/>
      </c>
    </row>
    <row r="35" spans="1:3">
      <c r="A35" t="s">
        <v>731</v>
      </c>
      <c r="B35" s="15" t="str">
        <f ca="1">IF(B13="","",IF(AND(B13&gt;0,B28&lt;0),"Short-term USD has some support from data, but markets still price more easing from the Fed than the ECB.",IF(AND(B13&lt;0,B28&lt;0),"Macro backdrop leans against the USD, with soft growth or inflation and easier policy priced for the Fed.",IF(AND(B13&gt;0,B28&gt;0),"USD has macro support and the ECB is priced to ease more than the Fed.","Macro signals are mixed; keep position size moderate and lean more on intraday technicals."))))</f>
        <v>Macro signals are mixed; keep position size moderate and lean more on intraday technicals.</v>
      </c>
    </row>
    <row r="36" spans="1:3">
      <c r="B36" s="15" t="str">
        <f ca="1">IF(OR(B13="",B14="",B15=""),"",IF(ABS(B14-B13)&gt;=2,"Macro strongly favours EUR vs USD. Look to buy EURUSD on dips while respecting intraday structure.",IF(ABS(B13-B15)&gt;=2,"Macro favours selling USD vs JPY. Prioritise short USDJPY setups when technicals align.","Macro signals are mixed across majors; keep position size moderate and lean on intraday technicals.")))</f>
        <v>Macro signals are mixed across majors; keep position size moderate and lean on intraday technicals.</v>
      </c>
    </row>
    <row r="38" spans="1:3">
      <c r="A38" t="s">
        <v>529</v>
      </c>
      <c r="B38" s="9" t="str">
        <f ca="1">IFERROR(INDEX(Macro_Rates!$J$2:$J$92,MATCH(_xlfn.AGGREGATE(15,6,Macro_Rates!$A$2:$A$92/((Macro_Rates!$B$2:$B$92="US")*(Macro_Rates!$A$2:$A$92&gt;=TODAY()+180)),1),Macro_Rates!$A$2:$A$92,0)),"")</f>
        <v/>
      </c>
    </row>
    <row r="39" spans="1:3">
      <c r="A39" t="s">
        <v>530</v>
      </c>
      <c r="B39" s="9" t="str">
        <f ca="1">IFERROR(INDEX(Macro_Rates!$J$2:$J$92,MATCH(_xlfn.AGGREGATE(15,6,Macro_Rates!$A$2:$A$92/((Macro_Rates!$B$2:$B$92="ECB")*(Macro_Rates!$A$2:$A$92&gt;=TODAY()+180)),1),Macro_Rates!$A$2:$A$92,0)),"")</f>
        <v/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Summary</vt:lpstr>
      <vt:lpstr>Daily Log</vt:lpstr>
      <vt:lpstr>Raw daily data</vt:lpstr>
      <vt:lpstr>Setup Planner (old)</vt:lpstr>
      <vt:lpstr>Planner_v2</vt:lpstr>
      <vt:lpstr>Planner_HUD</vt:lpstr>
      <vt:lpstr>Macro_Dashboard</vt:lpstr>
      <vt:lpstr>Macro_Data</vt:lpstr>
      <vt:lpstr>Macro_Rates</vt:lpstr>
      <vt:lpstr>Macro_Speakers</vt:lpstr>
      <vt:lpstr>Lists</vt:lpstr>
      <vt:lpstr>Narrative_Engine</vt:lpstr>
      <vt:lpstr>Planner_v2_layout_backup</vt:lpstr>
      <vt:lpstr>Macro_Dashboard_layout_backup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Cuong dep trai</cp:lastModifiedBy>
  <dcterms:created xsi:type="dcterms:W3CDTF">2025-12-14T23:07:00Z</dcterms:created>
  <dcterms:modified xsi:type="dcterms:W3CDTF">2026-04-24T02:25:14Z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FB373D858DAE4EA09950E376E0BC797E_13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