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938" firstSheet="0" activeTab="5" autoFilterDateGrouping="1"/>
  </bookViews>
  <sheets>
    <sheet name="Instructions" sheetId="1" state="visible" r:id="rId1"/>
    <sheet name="Summary" sheetId="2" state="visible" r:id="rId2"/>
    <sheet name="Daily Log" sheetId="3" state="visible" r:id="rId3"/>
    <sheet name="Raw daily data" sheetId="4" state="visible" r:id="rId4"/>
    <sheet name="Advanced Setup Planner" sheetId="5" state="visible" r:id="rId5"/>
    <sheet name="Backend" sheetId="6" state="visible" r:id="rId6"/>
  </sheets>
  <definedNames>
    <definedName name="LT_CategoryUS">Backend!$A$26:$A$31</definedName>
    <definedName name="LT_MacroDir">Backend!$A$11:$A$19</definedName>
    <definedName name="LT_RatePolicy">Backend!$A$20:$A$22</definedName>
    <definedName name="LT_RiskEnv">Backend!$A$23:$A$25</definedName>
    <definedName name="LT_Speakers">Backend!$A$35:$A$55</definedName>
    <definedName name="LT_TrendBull">Backend!$A$2:$A$7</definedName>
    <definedName name="LT_WeekNum">Backend!$A$8:$A$10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0"/>
    <numFmt numFmtId="165" formatCode="0.0"/>
    <numFmt numFmtId="166" formatCode="0.0%"/>
    <numFmt numFmtId="167" formatCode="0.00000"/>
    <numFmt numFmtId="168" formatCode="_(&quot;$&quot;* #,##0.00_);_(&quot;$&quot;* \(#,##0.00\);_(&quot;$&quot;* &quot;-&quot;??_);_(@_)"/>
    <numFmt numFmtId="169" formatCode="_(* #,##0.0_);_(* \(#,##0.0\);_(* &quot;-&quot;??_);_(@_)"/>
    <numFmt numFmtId="170" formatCode="_(* #,##0_);_(* \(#,##0\);_(* &quot;-&quot;??_);_(@_)"/>
    <numFmt numFmtId="171" formatCode="&quot;$&quot;#,##0.00"/>
    <numFmt numFmtId="172" formatCode="[$-409]d\-mmm;@"/>
    <numFmt numFmtId="173" formatCode="_(&quot;$&quot;* #,##0_);_(&quot;$&quot;* \(#,##0\);_(&quot;$&quot;* &quot;-&quot;??_);_(@_)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b val="1"/>
      <color rgb="FFFFFFFF"/>
      <sz val="11"/>
    </font>
    <font>
      <name val="Calibri"/>
      <charset val="134"/>
      <color rgb="FFFF0000"/>
      <sz val="11"/>
      <scheme val="minor"/>
    </font>
    <font>
      <name val="Calibri"/>
      <charset val="134"/>
      <b val="1"/>
      <color rgb="FF1F4E79"/>
      <sz val="11"/>
    </font>
    <font>
      <name val="Calibri"/>
      <charset val="134"/>
      <b val="1"/>
      <color rgb="FFFFFFFF"/>
      <sz val="14"/>
    </font>
    <font>
      <name val="Calibri"/>
      <charset val="134"/>
      <sz val="11"/>
      <scheme val="minor"/>
    </font>
    <font>
      <name val="Calibri"/>
      <charset val="134"/>
      <b val="1"/>
      <color theme="0"/>
      <sz val="11"/>
      <scheme val="minor"/>
    </font>
    <font>
      <name val="Calibri"/>
      <charset val="134"/>
      <i val="1"/>
      <color rgb="FF666666"/>
      <sz val="11"/>
    </font>
    <font>
      <name val="Calibri"/>
      <charset val="134"/>
      <b val="1"/>
      <color rgb="FF000000"/>
      <sz val="11"/>
    </font>
    <font>
      <name val="Calibri"/>
      <charset val="134"/>
      <color rgb="FF0000FF"/>
      <sz val="11"/>
    </font>
    <font>
      <name val="Calibri"/>
      <charset val="134"/>
      <b val="1"/>
      <color rgb="FFFFFFFF"/>
      <sz val="18"/>
    </font>
    <font>
      <name val="Calibri"/>
      <charset val="134"/>
      <i val="1"/>
      <color rgb="FFAAAAAA"/>
      <sz val="9"/>
    </font>
    <font>
      <name val="Calibri"/>
      <charset val="134"/>
      <b val="1"/>
      <color rgb="FFFFFFFF"/>
      <sz val="12"/>
    </font>
    <font>
      <name val="Calibri"/>
      <charset val="134"/>
      <b val="1"/>
      <color rgb="FF1A3A5C"/>
      <sz val="11"/>
    </font>
    <font>
      <name val="Calibri"/>
      <charset val="134"/>
      <color rgb="FF666666"/>
      <sz val="11"/>
    </font>
    <font>
      <name val="Calibri"/>
      <charset val="134"/>
      <color rgb="FF333333"/>
      <sz val="11"/>
    </font>
    <font>
      <name val="Calibri"/>
      <charset val="134"/>
      <b val="1"/>
      <color rgb="FF222222"/>
      <sz val="11"/>
    </font>
    <font>
      <name val="Calibri"/>
      <charset val="134"/>
      <color rgb="FF1A3A5C"/>
      <sz val="11"/>
    </font>
    <font>
      <name val="Calibri"/>
      <charset val="134"/>
      <color rgb="FF222222"/>
      <sz val="11"/>
    </font>
    <font>
      <name val="Calibri"/>
      <charset val="134"/>
      <b val="1"/>
      <color rgb="FF1A7A4A"/>
      <sz val="11"/>
      <u val="single"/>
    </font>
    <font>
      <name val="Calibri"/>
      <charset val="134"/>
      <color rgb="FF0000FF"/>
      <sz val="11"/>
      <u val="single"/>
      <scheme val="minor"/>
    </font>
    <font>
      <name val="Calibri"/>
      <charset val="134"/>
      <color theme="1"/>
      <sz val="11"/>
      <scheme val="minor"/>
    </font>
  </fonts>
  <fills count="24">
    <fill>
      <patternFill/>
    </fill>
    <fill>
      <patternFill patternType="gray125"/>
    </fill>
    <fill>
      <patternFill patternType="solid">
        <fgColor theme="9" tint="0.7998901333658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0" tint="-0.1499374370555742"/>
        <bgColor indexed="64"/>
      </patternFill>
    </fill>
    <fill>
      <patternFill patternType="solid">
        <fgColor theme="4" tint="0.7998901333658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D2137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9E6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</borders>
  <cellStyleXfs count="5">
    <xf numFmtId="0" fontId="23" fillId="0" borderId="0"/>
    <xf numFmtId="43" fontId="23" fillId="0" borderId="0"/>
    <xf numFmtId="44" fontId="23" fillId="0" borderId="0"/>
    <xf numFmtId="9" fontId="23" fillId="0" borderId="0"/>
    <xf numFmtId="0" fontId="22" fillId="0" borderId="0" applyAlignment="1">
      <alignment vertical="center"/>
    </xf>
  </cellStyleXfs>
  <cellXfs count="2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center" vertical="center"/>
    </xf>
    <xf numFmtId="14" fontId="0" fillId="2" borderId="1" pivotButton="0" quotePrefix="0" xfId="0"/>
    <xf numFmtId="49" fontId="0" fillId="2" borderId="1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/>
    </xf>
    <xf numFmtId="1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1" fontId="0" fillId="2" borderId="1" applyAlignment="1" pivotButton="0" quotePrefix="0" xfId="0">
      <alignment horizontal="center"/>
    </xf>
    <xf numFmtId="10" fontId="0" fillId="2" borderId="1" applyAlignment="1" pivotButton="0" quotePrefix="0" xfId="0">
      <alignment horizontal="center"/>
    </xf>
    <xf numFmtId="14" fontId="0" fillId="2" borderId="5" pivotButton="0" quotePrefix="0" xfId="0"/>
    <xf numFmtId="0" fontId="0" fillId="2" borderId="5" pivotButton="0" quotePrefix="0" xfId="0"/>
    <xf numFmtId="10" fontId="0" fillId="2" borderId="5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2" fillId="3" borderId="0" pivotButton="0" quotePrefix="0" xfId="0"/>
    <xf numFmtId="49" fontId="0" fillId="2" borderId="5" pivotButton="0" quotePrefix="0" xfId="0"/>
    <xf numFmtId="2" fontId="0" fillId="2" borderId="1" applyAlignment="1" pivotButton="0" quotePrefix="0" xfId="0">
      <alignment horizontal="center"/>
    </xf>
    <xf numFmtId="166" fontId="23" fillId="2" borderId="1" applyAlignment="1" pivotButton="0" quotePrefix="0" xfId="3">
      <alignment horizontal="center"/>
    </xf>
    <xf numFmtId="10" fontId="23" fillId="2" borderId="1" applyAlignment="1" pivotButton="0" quotePrefix="0" xfId="3">
      <alignment horizontal="center"/>
    </xf>
    <xf numFmtId="2" fontId="23" fillId="2" borderId="1" applyAlignment="1" pivotButton="0" quotePrefix="0" xfId="3">
      <alignment horizontal="center"/>
    </xf>
    <xf numFmtId="166" fontId="23" fillId="2" borderId="5" applyAlignment="1" pivotButton="0" quotePrefix="0" xfId="3">
      <alignment horizontal="center"/>
    </xf>
    <xf numFmtId="2" fontId="23" fillId="2" borderId="5" applyAlignment="1" pivotButton="0" quotePrefix="0" xfId="3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" fontId="4" fillId="0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left" vertical="center"/>
    </xf>
    <xf numFmtId="1" fontId="2" fillId="5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0" fillId="0" borderId="6" pivotButton="0" quotePrefix="0" xfId="0"/>
    <xf numFmtId="164" fontId="0" fillId="0" borderId="6" applyAlignment="1" pivotButton="0" quotePrefix="0" xfId="0">
      <alignment vertical="top" wrapText="1"/>
    </xf>
    <xf numFmtId="1" fontId="0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horizontal="left" vertical="top" wrapText="1"/>
    </xf>
    <xf numFmtId="1" fontId="4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top" wrapText="1"/>
    </xf>
    <xf numFmtId="165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8" fillId="8" borderId="9" applyAlignment="1" pivotButton="0" quotePrefix="0" xfId="0">
      <alignment horizontal="center"/>
    </xf>
    <xf numFmtId="0" fontId="8" fillId="8" borderId="10" applyAlignment="1" pivotButton="0" quotePrefix="0" xfId="0">
      <alignment horizontal="center"/>
    </xf>
    <xf numFmtId="167" fontId="0" fillId="0" borderId="0" pivotButton="0" quotePrefix="0" xfId="0"/>
    <xf numFmtId="168" fontId="23" fillId="0" borderId="0" pivotButton="0" quotePrefix="0" xfId="2"/>
    <xf numFmtId="0" fontId="0" fillId="9" borderId="11" applyAlignment="1" pivotButton="0" quotePrefix="0" xfId="0">
      <alignment horizontal="center"/>
    </xf>
    <xf numFmtId="167" fontId="0" fillId="9" borderId="1" applyAlignment="1" pivotButton="0" quotePrefix="0" xfId="0">
      <alignment horizontal="center"/>
    </xf>
    <xf numFmtId="1" fontId="0" fillId="9" borderId="1" applyAlignment="1" pivotButton="0" quotePrefix="0" xfId="0">
      <alignment horizontal="center"/>
    </xf>
    <xf numFmtId="2" fontId="0" fillId="9" borderId="1" applyAlignment="1" pivotButton="0" quotePrefix="0" xfId="0">
      <alignment horizontal="center"/>
    </xf>
    <xf numFmtId="168" fontId="23" fillId="9" borderId="1" applyAlignment="1" pivotButton="0" quotePrefix="0" xfId="2">
      <alignment horizontal="center"/>
    </xf>
    <xf numFmtId="1" fontId="23" fillId="9" borderId="1" applyAlignment="1" pivotButton="0" quotePrefix="0" xfId="1">
      <alignment horizontal="center"/>
    </xf>
    <xf numFmtId="169" fontId="23" fillId="9" borderId="2" applyAlignment="1" pivotButton="0" quotePrefix="0" xfId="1">
      <alignment horizontal="center"/>
    </xf>
    <xf numFmtId="167" fontId="0" fillId="2" borderId="0" pivotButton="0" quotePrefix="0" xfId="0"/>
    <xf numFmtId="0" fontId="0" fillId="1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11" borderId="11" applyAlignment="1" pivotButton="0" quotePrefix="0" xfId="0">
      <alignment horizontal="center"/>
    </xf>
    <xf numFmtId="167" fontId="0" fillId="11" borderId="1" applyAlignment="1" pivotButton="0" quotePrefix="0" xfId="0">
      <alignment horizontal="center"/>
    </xf>
    <xf numFmtId="167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wrapText="1"/>
    </xf>
    <xf numFmtId="0" fontId="0" fillId="9" borderId="12" applyAlignment="1" pivotButton="0" quotePrefix="0" xfId="0">
      <alignment horizontal="center"/>
    </xf>
    <xf numFmtId="167" fontId="0" fillId="9" borderId="5" applyAlignment="1" pivotButton="0" quotePrefix="0" xfId="0">
      <alignment horizontal="center"/>
    </xf>
    <xf numFmtId="1" fontId="0" fillId="9" borderId="5" applyAlignment="1" pivotButton="0" quotePrefix="0" xfId="0">
      <alignment horizontal="center"/>
    </xf>
    <xf numFmtId="2" fontId="0" fillId="9" borderId="5" applyAlignment="1" pivotButton="0" quotePrefix="0" xfId="0">
      <alignment horizontal="center"/>
    </xf>
    <xf numFmtId="168" fontId="23" fillId="9" borderId="5" applyAlignment="1" pivotButton="0" quotePrefix="0" xfId="2">
      <alignment horizontal="center"/>
    </xf>
    <xf numFmtId="1" fontId="23" fillId="9" borderId="5" applyAlignment="1" pivotButton="0" quotePrefix="0" xfId="1">
      <alignment horizontal="center"/>
    </xf>
    <xf numFmtId="169" fontId="23" fillId="9" borderId="13" applyAlignment="1" pivotButton="0" quotePrefix="0" xfId="1">
      <alignment horizontal="center"/>
    </xf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0" fontId="10" fillId="0" borderId="6" pivotButton="0" quotePrefix="0" xfId="0"/>
    <xf numFmtId="167" fontId="11" fillId="12" borderId="6" pivotButton="0" quotePrefix="0" xfId="0"/>
    <xf numFmtId="0" fontId="0" fillId="2" borderId="0" pivotButton="0" quotePrefix="0" xfId="0"/>
    <xf numFmtId="165" fontId="0" fillId="0" borderId="0" applyAlignment="1" pivotButton="0" quotePrefix="0" xfId="0">
      <alignment horizontal="left"/>
    </xf>
    <xf numFmtId="168" fontId="0" fillId="0" borderId="0" pivotButton="0" quotePrefix="0" xfId="0"/>
    <xf numFmtId="2" fontId="11" fillId="12" borderId="6" pivotButton="0" quotePrefix="0" xfId="0"/>
    <xf numFmtId="170" fontId="23" fillId="0" borderId="0" pivotButton="0" quotePrefix="0" xfId="1"/>
    <xf numFmtId="165" fontId="0" fillId="0" borderId="0" pivotButton="0" quotePrefix="0" xfId="0"/>
    <xf numFmtId="1" fontId="23" fillId="0" borderId="0" pivotButton="0" quotePrefix="0" xfId="1"/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left"/>
    </xf>
    <xf numFmtId="1" fontId="11" fillId="12" borderId="6" pivotButton="0" quotePrefix="0" xfId="0"/>
    <xf numFmtId="166" fontId="11" fillId="12" borderId="6" pivotButton="0" quotePrefix="0" xfId="0"/>
    <xf numFmtId="0" fontId="8" fillId="8" borderId="8" pivotButton="0" quotePrefix="0" xfId="0"/>
    <xf numFmtId="0" fontId="0" fillId="0" borderId="1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wrapText="1"/>
    </xf>
    <xf numFmtId="2" fontId="0" fillId="0" borderId="1" applyAlignment="1" pivotButton="0" quotePrefix="0" xfId="0">
      <alignment horizontal="center" wrapText="1"/>
    </xf>
    <xf numFmtId="168" fontId="23" fillId="0" borderId="1" applyAlignment="1" pivotButton="0" quotePrefix="0" xfId="2">
      <alignment horizontal="center"/>
    </xf>
    <xf numFmtId="165" fontId="0" fillId="0" borderId="2" applyAlignment="1" pivotButton="0" quotePrefix="0" xfId="0">
      <alignment horizontal="center"/>
    </xf>
    <xf numFmtId="2" fontId="0" fillId="2" borderId="0" pivotButton="0" quotePrefix="0" xfId="0"/>
    <xf numFmtId="167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/>
    </xf>
    <xf numFmtId="167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5" applyAlignment="1" pivotButton="0" quotePrefix="0" xfId="0">
      <alignment horizontal="center" wrapText="1"/>
    </xf>
    <xf numFmtId="2" fontId="0" fillId="0" borderId="5" applyAlignment="1" pivotButton="0" quotePrefix="0" xfId="0">
      <alignment horizontal="center" wrapText="1"/>
    </xf>
    <xf numFmtId="168" fontId="23" fillId="0" borderId="5" applyAlignment="1" pivotButton="0" quotePrefix="0" xfId="2">
      <alignment horizontal="center"/>
    </xf>
    <xf numFmtId="165" fontId="0" fillId="0" borderId="13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 wrapText="1"/>
    </xf>
    <xf numFmtId="2" fontId="0" fillId="0" borderId="0" applyAlignment="1" pivotButton="0" quotePrefix="0" xfId="0">
      <alignment horizontal="center" wrapText="1"/>
    </xf>
    <xf numFmtId="168" fontId="23" fillId="0" borderId="0" applyAlignment="1" pivotButton="0" quotePrefix="0" xfId="2">
      <alignment horizontal="center"/>
    </xf>
    <xf numFmtId="165" fontId="0" fillId="0" borderId="0" applyAlignment="1" pivotButton="0" quotePrefix="0" xfId="0">
      <alignment horizontal="center"/>
    </xf>
    <xf numFmtId="9" fontId="23" fillId="0" borderId="0" applyAlignment="1" pivotButton="0" quotePrefix="0" xfId="3">
      <alignment horizontal="left"/>
    </xf>
    <xf numFmtId="9" fontId="23" fillId="0" borderId="0" applyAlignment="1" pivotButton="0" quotePrefix="0" xfId="3">
      <alignment horizontal="center"/>
    </xf>
    <xf numFmtId="9" fontId="23" fillId="0" borderId="0" pivotButton="0" quotePrefix="0" xfId="3"/>
    <xf numFmtId="0" fontId="0" fillId="0" borderId="7" applyAlignment="1" pivotButton="0" quotePrefix="0" xfId="0">
      <alignment horizontal="center" vertical="center" wrapText="1"/>
    </xf>
    <xf numFmtId="167" fontId="11" fillId="12" borderId="6" applyAlignment="1" pivotButton="0" quotePrefix="0" xfId="0">
      <alignment horizontal="center"/>
    </xf>
    <xf numFmtId="0" fontId="0" fillId="0" borderId="15" pivotButton="0" quotePrefix="0" xfId="0"/>
    <xf numFmtId="1" fontId="0" fillId="10" borderId="0" pivotButton="0" quotePrefix="0" xfId="0"/>
    <xf numFmtId="0" fontId="0" fillId="10" borderId="0" pivotButton="0" quotePrefix="0" xfId="0"/>
    <xf numFmtId="0" fontId="2" fillId="13" borderId="0" pivotButton="0" quotePrefix="0" xfId="0"/>
    <xf numFmtId="0" fontId="2" fillId="5" borderId="15" pivotButton="0" quotePrefix="0" xfId="0"/>
    <xf numFmtId="0" fontId="2" fillId="5" borderId="6" pivotButton="0" quotePrefix="0" xfId="0"/>
    <xf numFmtId="0" fontId="2" fillId="5" borderId="7" applyAlignment="1" pivotButton="0" quotePrefix="0" xfId="0">
      <alignment horizontal="center" vertical="center" wrapText="1"/>
    </xf>
    <xf numFmtId="0" fontId="2" fillId="5" borderId="17" pivotButton="0" quotePrefix="0" xfId="0"/>
    <xf numFmtId="167" fontId="0" fillId="0" borderId="6" pivotButton="0" quotePrefix="0" xfId="0"/>
    <xf numFmtId="165" fontId="0" fillId="0" borderId="6" pivotButton="0" quotePrefix="0" xfId="0"/>
    <xf numFmtId="3" fontId="0" fillId="0" borderId="7" applyAlignment="1" pivotButton="0" quotePrefix="0" xfId="0">
      <alignment horizontal="center" vertical="center" wrapText="1"/>
    </xf>
    <xf numFmtId="171" fontId="0" fillId="0" borderId="7" applyAlignment="1" pivotButton="0" quotePrefix="0" xfId="0">
      <alignment horizontal="center" vertical="center" wrapText="1"/>
    </xf>
    <xf numFmtId="2" fontId="0" fillId="0" borderId="7" applyAlignment="1" pivotButton="0" quotePrefix="0" xfId="0">
      <alignment horizontal="center" vertical="center" wrapText="1"/>
    </xf>
    <xf numFmtId="165" fontId="0" fillId="0" borderId="17" pivotButton="0" quotePrefix="0" xfId="0"/>
    <xf numFmtId="0" fontId="0" fillId="0" borderId="18" pivotButton="0" quotePrefix="0" xfId="0"/>
    <xf numFmtId="167" fontId="0" fillId="0" borderId="19" pivotButton="0" quotePrefix="0" xfId="0"/>
    <xf numFmtId="165" fontId="0" fillId="0" borderId="19" pivotButton="0" quotePrefix="0" xfId="0"/>
    <xf numFmtId="3" fontId="0" fillId="0" borderId="20" applyAlignment="1" pivotButton="0" quotePrefix="0" xfId="0">
      <alignment horizontal="center" vertical="center" wrapText="1"/>
    </xf>
    <xf numFmtId="171" fontId="0" fillId="0" borderId="20" applyAlignment="1" pivotButton="0" quotePrefix="0" xfId="0">
      <alignment horizontal="center" vertical="center" wrapText="1"/>
    </xf>
    <xf numFmtId="165" fontId="0" fillId="0" borderId="20" applyAlignment="1" pivotButton="0" quotePrefix="0" xfId="0">
      <alignment horizontal="center" vertical="center" wrapText="1"/>
    </xf>
    <xf numFmtId="165" fontId="0" fillId="0" borderId="21" pivotButton="0" quotePrefix="0" xfId="0"/>
    <xf numFmtId="1" fontId="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172" fontId="0" fillId="13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16" fontId="0" fillId="13" borderId="0" pivotButton="0" quotePrefix="0" xfId="0"/>
    <xf numFmtId="0" fontId="0" fillId="13" borderId="0" pivotButton="0" quotePrefix="0" xfId="0"/>
    <xf numFmtId="173" fontId="23" fillId="13" borderId="0" pivotButton="0" quotePrefix="0" xfId="2"/>
    <xf numFmtId="168" fontId="23" fillId="13" borderId="0" pivotButton="0" quotePrefix="0" xfId="2"/>
    <xf numFmtId="173" fontId="23" fillId="0" borderId="0" pivotButton="0" quotePrefix="0" xfId="2"/>
    <xf numFmtId="173" fontId="0" fillId="13" borderId="0" pivotButton="0" quotePrefix="0" xfId="0"/>
    <xf numFmtId="0" fontId="1" fillId="0" borderId="9" applyAlignment="1" pivotButton="0" quotePrefix="0" xfId="0">
      <alignment horizontal="left" vertical="top"/>
    </xf>
    <xf numFmtId="0" fontId="1" fillId="0" borderId="9" applyAlignment="1" pivotButton="0" quotePrefix="0" xfId="0">
      <alignment horizontal="center"/>
    </xf>
    <xf numFmtId="173" fontId="23" fillId="15" borderId="0" applyAlignment="1" pivotButton="0" quotePrefix="0" xfId="2">
      <alignment horizontal="right"/>
    </xf>
    <xf numFmtId="0" fontId="0" fillId="15" borderId="0" applyAlignment="1" pivotButton="0" quotePrefix="0" xfId="0">
      <alignment horizontal="right"/>
    </xf>
    <xf numFmtId="173" fontId="23" fillId="0" borderId="0" applyAlignment="1" pivotButton="0" quotePrefix="0" xfId="2">
      <alignment horizontal="right"/>
    </xf>
    <xf numFmtId="165" fontId="23" fillId="0" borderId="0" applyAlignment="1" pivotButton="0" quotePrefix="0" xfId="2">
      <alignment horizontal="right"/>
    </xf>
    <xf numFmtId="2" fontId="23" fillId="15" borderId="0" applyAlignment="1" pivotButton="0" quotePrefix="0" xfId="3">
      <alignment horizontal="right"/>
    </xf>
    <xf numFmtId="1" fontId="23" fillId="15" borderId="0" applyAlignment="1" pivotButton="0" quotePrefix="0" xfId="2">
      <alignment horizontal="right"/>
    </xf>
    <xf numFmtId="168" fontId="23" fillId="15" borderId="0" applyAlignment="1" pivotButton="0" quotePrefix="0" xfId="2">
      <alignment horizontal="right"/>
    </xf>
    <xf numFmtId="168" fontId="23" fillId="0" borderId="0" applyAlignment="1" pivotButton="0" quotePrefix="0" xfId="2">
      <alignment horizontal="right"/>
    </xf>
    <xf numFmtId="0" fontId="0" fillId="0" borderId="0" applyAlignment="1" pivotButton="0" quotePrefix="0" xfId="0">
      <alignment horizontal="center" vertical="center" wrapText="1"/>
    </xf>
    <xf numFmtId="166" fontId="23" fillId="0" borderId="0" applyAlignment="1" pivotButton="0" quotePrefix="0" xfId="3">
      <alignment horizontal="center"/>
    </xf>
    <xf numFmtId="0" fontId="15" fillId="20" borderId="0" applyAlignment="1" pivotButton="0" quotePrefix="0" xfId="0">
      <alignment horizontal="left" vertical="center" wrapText="1"/>
    </xf>
    <xf numFmtId="0" fontId="21" fillId="0" borderId="0" pivotButton="0" quotePrefix="0" xfId="4"/>
    <xf numFmtId="0" fontId="21" fillId="0" borderId="0" pivotButton="0" quotePrefix="1" xfId="4"/>
    <xf numFmtId="0" fontId="5" fillId="6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13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6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0" fillId="0" borderId="16" applyAlignment="1" pivotButton="0" quotePrefix="0" xfId="0">
      <alignment horizontal="center" vertical="center" wrapText="1"/>
    </xf>
    <xf numFmtId="0" fontId="0" fillId="0" borderId="16" pivotButton="0" quotePrefix="0" xfId="0"/>
    <xf numFmtId="0" fontId="3" fillId="7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center" vertical="center" wrapText="1"/>
    </xf>
    <xf numFmtId="0" fontId="18" fillId="22" borderId="0" applyAlignment="1" pivotButton="0" quotePrefix="0" xfId="0">
      <alignment horizontal="left" vertical="center" wrapText="1"/>
    </xf>
    <xf numFmtId="0" fontId="17" fillId="20" borderId="0" applyAlignment="1" pivotButton="0" quotePrefix="0" xfId="0">
      <alignment horizontal="left" vertical="center" wrapText="1"/>
    </xf>
    <xf numFmtId="0" fontId="20" fillId="21" borderId="0" applyAlignment="1" pivotButton="0" quotePrefix="0" xfId="0">
      <alignment horizontal="left" vertical="center" wrapText="1"/>
    </xf>
    <xf numFmtId="0" fontId="18" fillId="23" borderId="0" applyAlignment="1" pivotButton="0" quotePrefix="0" xfId="0">
      <alignment horizontal="left" vertical="center" wrapText="1"/>
    </xf>
    <xf numFmtId="0" fontId="20" fillId="22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 wrapText="1"/>
    </xf>
    <xf numFmtId="0" fontId="16" fillId="19" borderId="0" applyAlignment="1" pivotButton="0" quotePrefix="0" xfId="0">
      <alignment horizontal="left" vertical="center" wrapText="1"/>
    </xf>
    <xf numFmtId="0" fontId="17" fillId="21" borderId="0" applyAlignment="1" pivotButton="0" quotePrefix="0" xfId="0">
      <alignment horizontal="left" vertical="center" wrapText="1"/>
    </xf>
    <xf numFmtId="0" fontId="18" fillId="21" borderId="0" applyAlignment="1" pivotButton="0" quotePrefix="0" xfId="0">
      <alignment horizontal="left" vertical="center" wrapText="1"/>
    </xf>
    <xf numFmtId="0" fontId="19" fillId="18" borderId="0" applyAlignment="1" pivotButton="0" quotePrefix="0" xfId="0">
      <alignment horizontal="left" vertical="center" wrapText="1"/>
    </xf>
    <xf numFmtId="0" fontId="13" fillId="17" borderId="0" applyAlignment="1" pivotButton="0" quotePrefix="0" xfId="0">
      <alignment horizontal="center" vertical="center" wrapText="1"/>
    </xf>
    <xf numFmtId="0" fontId="15" fillId="18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/>
    </xf>
    <xf numFmtId="173" fontId="23" fillId="15" borderId="0" applyAlignment="1" pivotButton="0" quotePrefix="0" xfId="2">
      <alignment horizontal="right"/>
    </xf>
    <xf numFmtId="173" fontId="23" fillId="0" borderId="0" applyAlignment="1" pivotButton="0" quotePrefix="0" xfId="2">
      <alignment horizontal="right"/>
    </xf>
    <xf numFmtId="168" fontId="23" fillId="15" borderId="0" applyAlignment="1" pivotButton="0" quotePrefix="0" xfId="2">
      <alignment horizontal="right"/>
    </xf>
    <xf numFmtId="168" fontId="23" fillId="0" borderId="0" applyAlignment="1" pivotButton="0" quotePrefix="0" xfId="2">
      <alignment horizontal="right"/>
    </xf>
    <xf numFmtId="168" fontId="23" fillId="0" borderId="0" pivotButton="0" quotePrefix="0" xfId="2"/>
    <xf numFmtId="168" fontId="23" fillId="0" borderId="0" applyAlignment="1" pivotButton="0" quotePrefix="0" xfId="2">
      <alignment horizontal="center"/>
    </xf>
    <xf numFmtId="173" fontId="23" fillId="13" borderId="0" pivotButton="0" quotePrefix="0" xfId="2"/>
    <xf numFmtId="168" fontId="23" fillId="13" borderId="0" pivotButton="0" quotePrefix="0" xfId="2"/>
    <xf numFmtId="173" fontId="23" fillId="0" borderId="0" pivotButton="0" quotePrefix="0" xfId="2"/>
    <xf numFmtId="173" fontId="0" fillId="13" borderId="0" pivotButton="0" quotePrefix="0" xfId="0"/>
    <xf numFmtId="172" fontId="0" fillId="13" borderId="0" applyAlignment="1" pivotButton="0" quotePrefix="0" xfId="0">
      <alignment horizontal="center"/>
    </xf>
    <xf numFmtId="168" fontId="23" fillId="9" borderId="1" applyAlignment="1" pivotButton="0" quotePrefix="0" xfId="2">
      <alignment horizontal="center"/>
    </xf>
    <xf numFmtId="169" fontId="23" fillId="9" borderId="2" applyAlignment="1" pivotButton="0" quotePrefix="0" xfId="1">
      <alignment horizontal="center"/>
    </xf>
    <xf numFmtId="168" fontId="23" fillId="9" borderId="5" applyAlignment="1" pivotButton="0" quotePrefix="0" xfId="2">
      <alignment horizontal="center"/>
    </xf>
    <xf numFmtId="169" fontId="23" fillId="9" borderId="13" applyAlignment="1" pivotButton="0" quotePrefix="0" xfId="1">
      <alignment horizontal="center"/>
    </xf>
    <xf numFmtId="168" fontId="0" fillId="0" borderId="0" pivotButton="0" quotePrefix="0" xfId="0"/>
    <xf numFmtId="170" fontId="23" fillId="0" borderId="0" pivotButton="0" quotePrefix="0" xfId="1"/>
    <xf numFmtId="168" fontId="23" fillId="0" borderId="1" applyAlignment="1" pivotButton="0" quotePrefix="0" xfId="2">
      <alignment horizontal="center"/>
    </xf>
    <xf numFmtId="168" fontId="23" fillId="0" borderId="5" applyAlignment="1" pivotButton="0" quotePrefix="0" xfId="2">
      <alignment horizontal="center"/>
    </xf>
    <xf numFmtId="171" fontId="0" fillId="0" borderId="7" applyAlignment="1" pivotButton="0" quotePrefix="0" xfId="0">
      <alignment horizontal="center" vertical="center" wrapText="1"/>
    </xf>
    <xf numFmtId="171" fontId="0" fillId="0" borderId="20" applyAlignment="1" pivotButton="0" quotePrefix="0" xfId="0">
      <alignment horizontal="center" vertical="center" wrapText="1"/>
    </xf>
  </cellXfs>
  <cellStyles count="5">
    <cellStyle name="Normal" xfId="0" builtinId="0"/>
    <cellStyle name="Comma" xfId="1" builtinId="3"/>
    <cellStyle name="Currency" xfId="2" builtinId="4"/>
    <cellStyle name="Percent" xfId="3" builtinId="5"/>
    <cellStyle name="Hyperlink" xfId="4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3" displayName="Table3" ref="A21:L25" headerRowCount="1">
  <autoFilter ref="A21:L25"/>
  <tableColumns count="12">
    <tableColumn id="1" name="Week #"/>
    <tableColumn id="2" name="Active Days">
      <calculatedColumnFormula>COUNTIFS('Daily Log'!$B:$B,$A22,'Daily Log'!$D:$D,"Y")</calculatedColumnFormula>
    </tableColumn>
    <tableColumn id="3" name="Total Trades">
      <calculatedColumnFormula>SUMIFS('Daily Log'!$N:$N,'Daily Log'!$B:$B,$A22)</calculatedColumnFormula>
    </tableColumn>
    <tableColumn id="4" name="Total Wins">
      <calculatedColumnFormula>SUMIFS('Daily Log'!$O:$O,'Daily Log'!$B:$B,$A22)</calculatedColumnFormula>
    </tableColumn>
    <tableColumn id="5" name="Total Losses">
      <calculatedColumnFormula>SUMIFS('Daily Log'!$P:$P,'Daily Log'!$B:$B,$A22)</calculatedColumnFormula>
    </tableColumn>
    <tableColumn id="6" name="Week Net P&amp;L">
      <calculatedColumnFormula>SUMIFS('Daily Log'!$H:$H,'Daily Log'!$B:$B,$A22)</calculatedColumnFormula>
    </tableColumn>
    <tableColumn id="7" name="Weekly Target">
      <calculatedColumnFormula>$B$6</calculatedColumnFormula>
    </tableColumn>
    <tableColumn id="8" name="Week Variance ($)">
      <calculatedColumnFormula>F22-G22</calculatedColumnFormula>
    </tableColumn>
    <tableColumn id="9" name="Avg Win Rate %">
      <calculatedColumnFormula>IF(B22&gt;0,AVERAGEIFS('Daily Log'!$S:$S,'Daily Log'!$B:$B,$A22,'Daily Log'!$D:$D,"Y"),"")</calculatedColumnFormula>
    </tableColumn>
    <tableColumn id="10" name="Avg Reward:Risk">
      <calculatedColumnFormula>IF(B22&gt;0,AVERAGEIFS('Daily Log'!$T:$T,'Daily Log'!$B:$B,$A22,'Daily Log'!$D:$D,"Y",'Daily Log'!$T:$T,"&gt;0"),"")</calculatedColumnFormula>
    </tableColumn>
    <tableColumn id="11" name="Total R">
      <calculatedColumnFormula>SUMIFS('Daily Log'!$U:$U,'Daily Log'!$B:$B,$A22,'Daily Log'!$D:$D,"Y")</calculatedColumnFormula>
    </tableColumn>
    <tableColumn id="12" name="Avg R per Day">
      <calculatedColumnFormula>IF(B22&gt;0,K22/B22,"")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4" displayName="Table4" ref="A1:B19" headerRowCount="1">
  <autoFilter ref="A1:B19"/>
  <tableColumns count="2">
    <tableColumn id="1" name="Label"/>
    <tableColumn id="2" name="Value">
      <calculatedColumnFormula>'Advanced Setup Planner'!EE1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1:Y41" headerRowCount="1">
  <autoFilter ref="A1:Y41"/>
  <tableColumns count="25">
    <tableColumn id="1" name="Date"/>
    <tableColumn id="2" name="Week #"/>
    <tableColumn id="3" name="Day of Week">
      <calculatedColumnFormula>TEXT(A2,"dddd")</calculatedColumnFormula>
    </tableColumn>
    <tableColumn id="4" name="Active Trading Day? (Y/N)"/>
    <tableColumn id="5" name="Start NAV ($)"/>
    <tableColumn id="6" name="Risk per Trade R ($)">
      <calculatedColumnFormula>IF($A2="","",$E2*Summary!$B$8)</calculatedColumnFormula>
    </tableColumn>
    <tableColumn id="7" name="Max Daily Loss Cap ($)">
      <calculatedColumnFormula>IF($A2="","",F2*Summary!$B$9)</calculatedColumnFormula>
    </tableColumn>
    <tableColumn id="8" name="Net P&amp;L ($)">
      <calculatedColumnFormula>IF($A2="","",SUMIFS('Raw daily data'!$F:$F,'Raw daily data'!$I:$I,$A2))</calculatedColumnFormula>
    </tableColumn>
    <tableColumn id="9" name="Cumulative P&amp;L Month ($)">
      <calculatedColumnFormula>I1+H2</calculatedColumnFormula>
    </tableColumn>
    <tableColumn id="10" name="Week P&amp;L ($)">
      <calculatedColumnFormula>SUMIF($B$2:$B$41,B2,$H$2:$H$41)</calculatedColumnFormula>
    </tableColumn>
    <tableColumn id="11" name="Weekly Target ($)">
      <calculatedColumnFormula>Summary!$B$6</calculatedColumnFormula>
    </tableColumn>
    <tableColumn id="12" name="Week Variance vs Target ($)">
      <calculatedColumnFormula>J2-K2</calculatedColumnFormula>
    </tableColumn>
    <tableColumn id="13" name="Notes"/>
    <tableColumn id="14" name="# Trades">
      <calculatedColumnFormula>IF($A2="","",COUNTIFS('Raw daily data'!$I:$I,$A2))</calculatedColumnFormula>
    </tableColumn>
    <tableColumn id="15" name="# Wins">
      <calculatedColumnFormula>IF($A2="","",COUNTIFS('Raw daily data'!$I:$I,$A2,'Raw daily data'!$F:$F,"&gt;0"))</calculatedColumnFormula>
    </tableColumn>
    <tableColumn id="16" name="# Losses">
      <calculatedColumnFormula>IF($A2="","",COUNTIFS('Raw daily data'!$I:$I,$A2,'Raw daily data'!$F:$F,"&lt;0"))</calculatedColumnFormula>
    </tableColumn>
    <tableColumn id="17" name="Total Wins ($)">
      <calculatedColumnFormula>IF($A2="","",SUMIFS('Raw daily data'!$F:$F,'Raw daily data'!$I:$I,$A2,'Raw daily data'!$F:$F,"&gt;0"))</calculatedColumnFormula>
    </tableColumn>
    <tableColumn id="18" name="Total Losses ($)">
      <calculatedColumnFormula>IF($A2="","",ABS(SUMIFS('Raw daily data'!$F:$F,'Raw daily data'!$I:$I,$A2,'Raw daily data'!$F:$F,"&lt;0")))</calculatedColumnFormula>
    </tableColumn>
    <tableColumn id="19" name="Win Rate (%)">
      <calculatedColumnFormula>IF(N2&gt;0,O2/N2,"")</calculatedColumnFormula>
    </tableColumn>
    <tableColumn id="20" name="Reward:Risk">
      <calculatedColumnFormula>IF(R2&gt;0,Q2/ABS(R2),"")</calculatedColumnFormula>
    </tableColumn>
    <tableColumn id="21" name="Daily R-multiple">
      <calculatedColumnFormula>IF(F2&gt;0,H2/F2,"")</calculatedColumnFormula>
    </tableColumn>
    <tableColumn id="23" name="Losses vs Cap">
      <calculatedColumnFormula>IF(H2&lt;0,MIN(ABS(H2)/G2,1),0)</calculatedColumnFormula>
    </tableColumn>
    <tableColumn id="24" name="Intraday Net P&amp;L (so far)">
      <calculatedColumnFormula>IF($A2="","",_xlfn.MAXIFS('Raw daily data'!$J:$J,'Raw daily data'!$I:$I,$A2))</calculatedColumnFormula>
    </tableColumn>
    <tableColumn id="25" name="% of Cap Used (Net)">
      <calculatedColumnFormula>IF(W2&gt;=0,0,ABS(W2)/G2)</calculatedColumnFormula>
    </tableColumn>
    <tableColumn id="26" name="Worst Intraday DD % of Cap">
      <calculatedColumnFormula>IFERROR(IF($A2="","",ABS(MIN(0,_xlfn.MINIFS('Raw daily data'!$J:$J,'Raw daily data'!$I:$I,$A2)))/G2),"")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1" displayName="Table1" ref="A1:J52" headerRowCount="1">
  <autoFilter ref="A1:J52"/>
  <tableColumns count="10">
    <tableColumn id="1" name="Symbol"/>
    <tableColumn id="2" name="Name"/>
    <tableColumn id="3" name="Side"/>
    <tableColumn id="4" name="Quantity"/>
    <tableColumn id="5" name="Price"/>
    <tableColumn id="6" name="Profit"/>
    <tableColumn id="7" name="Deal ID"/>
    <tableColumn id="8" name="Time"/>
    <tableColumn id="9" name="Trade Date">
      <calculatedColumnFormula>IF(H2="","",DATEVALUE(MID(H2,6,11)))</calculatedColumnFormula>
    </tableColumn>
    <tableColumn id="10" name="Cumulative P&amp;L for the day">
      <calculatedColumnFormula>IF(F2="","",F2+IF(I2=I1,J1,0))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6" displayName="Table16" ref="A44:K48" headerRowCount="1" totalsRowCount="1">
  <autoFilter ref="A44:K47"/>
  <tableColumns count="11">
    <tableColumn id="1" name="Rung" totalsRowLabel="Total"/>
    <tableColumn id="2" name="Entry" totalsRowFunction="custom">
      <calculatedColumnFormula>'Advanced Setup Planner'!AD2</calculatedColumnFormula>
      <totalsRowFormula>IFERROR(SUBTOTAL(101,Table16[Entry]),"")</totalsRowFormula>
    </tableColumn>
    <tableColumn id="3" name="TP" totalsRowFunction="custom">
      <calculatedColumnFormula>'Advanced Setup Planner'!AE2</calculatedColumnFormula>
      <totalsRowFormula>IFERROR(SUBTOTAL(101,Table16[TP]),"")</totalsRowFormula>
    </tableColumn>
    <tableColumn id="4" name="SL" totalsRowFunction="custom">
      <calculatedColumnFormula>'Advanced Setup Planner'!AF2</calculatedColumnFormula>
      <totalsRowFormula>IFERROR(SUBTOTAL(101,Table16[SL]),"")</totalsRowFormula>
    </tableColumn>
    <tableColumn id="5" name="Pips→TP" totalsRowFunction="custom">
      <calculatedColumnFormula>'Advanced Setup Planner'!AG2</calculatedColumnFormula>
      <totalsRowFormula>IFERROR(SUBTOTAL(101,Table16[Pips→TP]),"")</totalsRowFormula>
    </tableColumn>
    <tableColumn id="6" name="EffPips→SL" totalsRowFunction="custom">
      <calculatedColumnFormula>'Advanced Setup Planner'!AH2</calculatedColumnFormula>
      <totalsRowFormula>IFERROR(SUBTOTAL(101,Table16[EffPips→SL]),"")</totalsRowFormula>
    </tableColumn>
    <tableColumn id="7" name="Units" totalsRowFunction="sum">
      <calculatedColumnFormula>'Advanced Setup Planner'!AL2</calculatedColumnFormula>
    </tableColumn>
    <tableColumn id="8" name="Risk $" totalsRowFunction="sum">
      <calculatedColumnFormula>'Advanced Setup Planner'!AJ2</calculatedColumnFormula>
    </tableColumn>
    <tableColumn id="9" name="Reward $" totalsRowFunction="sum">
      <calculatedColumnFormula>'Advanced Setup Planner'!AK2</calculatedColumnFormula>
    </tableColumn>
    <tableColumn id="10" name="R" totalsRowFunction="custom">
      <calculatedColumnFormula>'Advanced Setup Planner'!AM2</calculatedColumnFormula>
      <totalsRowFormula>IFERROR(Table16[[#Totals],[Reward $]]/Table16[[#Totals],[Risk $]],"")</totalsRowFormula>
    </tableColumn>
    <tableColumn id="11" name="R2">
      <calculatedColumnFormula>'Advanced Setup Planner'!AM2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51:K55" headerRowCount="1" totalsRowCount="1">
  <autoFilter ref="A51:K54"/>
  <tableColumns count="11">
    <tableColumn id="1" name="Rung" totalsRowLabel="Total"/>
    <tableColumn id="2" name="Entry" totalsRowFunction="custom">
      <calculatedColumnFormula>'Advanced Setup Planner'!AD42</calculatedColumnFormula>
      <totalsRowFormula>IFERROR(SUBTOTAL(101,Table17[Entry]),"")</totalsRowFormula>
    </tableColumn>
    <tableColumn id="3" name="TP" totalsRowFunction="custom">
      <calculatedColumnFormula>'Advanced Setup Planner'!AE42</calculatedColumnFormula>
      <totalsRowFormula>IFERROR(SUBTOTAL(101,Table17[TP]),"")</totalsRowFormula>
    </tableColumn>
    <tableColumn id="4" name="SL" totalsRowFunction="custom">
      <calculatedColumnFormula>'Advanced Setup Planner'!AF42</calculatedColumnFormula>
      <totalsRowFormula>IFERROR(SUBTOTAL(101,Table17[SL]),"")</totalsRowFormula>
    </tableColumn>
    <tableColumn id="5" name="Pips→TP" totalsRowFunction="custom">
      <calculatedColumnFormula>'Advanced Setup Planner'!AG42</calculatedColumnFormula>
      <totalsRowFormula>IFERROR(SUBTOTAL(101,Table17[Pips→TP]),"")</totalsRowFormula>
    </tableColumn>
    <tableColumn id="6" name="EffPips→SL" totalsRowFunction="custom">
      <calculatedColumnFormula>'Advanced Setup Planner'!AH42</calculatedColumnFormula>
      <totalsRowFormula>IFERROR(SUBTOTAL(101,Table17[EffPips→SL]),"")</totalsRowFormula>
    </tableColumn>
    <tableColumn id="7" name="Units" totalsRowFunction="sum">
      <calculatedColumnFormula>'Advanced Setup Planner'!AL42</calculatedColumnFormula>
    </tableColumn>
    <tableColumn id="8" name="Risk $" totalsRowFunction="sum">
      <calculatedColumnFormula>'Advanced Setup Planner'!AJ42</calculatedColumnFormula>
    </tableColumn>
    <tableColumn id="9" name="Reward $" totalsRowFunction="sum">
      <calculatedColumnFormula>'Advanced Setup Planner'!AK42</calculatedColumnFormula>
    </tableColumn>
    <tableColumn id="10" name="R" totalsRowFunction="custom">
      <calculatedColumnFormula>'Advanced Setup Planner'!AM42</calculatedColumnFormula>
      <totalsRowFormula>IFERROR(Table17[[#Totals],[Reward $]]/Table17[[#Totals],[Risk $]],"")</totalsRowFormula>
    </tableColumn>
    <tableColumn id="11" name="R2">
      <calculatedColumnFormula>'Advanced Setup Planner'!AM42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18" displayName="Table18" ref="A58:K62" headerRowCount="1" totalsRowCount="1">
  <autoFilter ref="A58:K61"/>
  <tableColumns count="11">
    <tableColumn id="1" name="Rung" totalsRowLabel="Total"/>
    <tableColumn id="2" name="Entry" totalsRowFunction="custom">
      <calculatedColumnFormula>'Advanced Setup Planner'!AD15</calculatedColumnFormula>
      <totalsRowFormula>IFERROR(SUBTOTAL(101,Table18[Entry]),"")</totalsRowFormula>
    </tableColumn>
    <tableColumn id="3" name="TP" totalsRowFunction="custom">
      <calculatedColumnFormula>'Advanced Setup Planner'!AE15</calculatedColumnFormula>
      <totalsRowFormula>IFERROR(SUBTOTAL(101,Table18[TP]),"")</totalsRowFormula>
    </tableColumn>
    <tableColumn id="4" name="SL" totalsRowFunction="custom">
      <calculatedColumnFormula>'Advanced Setup Planner'!AF15</calculatedColumnFormula>
      <totalsRowFormula>IFERROR(SUBTOTAL(101,Table18[SL]),"")</totalsRowFormula>
    </tableColumn>
    <tableColumn id="5" name="Pips→TP" totalsRowFunction="custom">
      <calculatedColumnFormula>'Advanced Setup Planner'!AG15</calculatedColumnFormula>
      <totalsRowFormula>IFERROR(SUBTOTAL(101,Table18[Pips→TP]),"")</totalsRowFormula>
    </tableColumn>
    <tableColumn id="6" name="EffPips→SL" totalsRowFunction="custom">
      <calculatedColumnFormula>'Advanced Setup Planner'!AH15</calculatedColumnFormula>
      <totalsRowFormula>IFERROR(SUBTOTAL(101,Table18[EffPips→SL]),"")</totalsRowFormula>
    </tableColumn>
    <tableColumn id="7" name="Units" totalsRowFunction="sum">
      <calculatedColumnFormula>'Advanced Setup Planner'!AL15</calculatedColumnFormula>
    </tableColumn>
    <tableColumn id="8" name="Risk $" totalsRowFunction="sum">
      <calculatedColumnFormula>'Advanced Setup Planner'!AJ15</calculatedColumnFormula>
    </tableColumn>
    <tableColumn id="9" name="Reward $" totalsRowFunction="sum">
      <calculatedColumnFormula>'Advanced Setup Planner'!AK15</calculatedColumnFormula>
    </tableColumn>
    <tableColumn id="10" name="R" totalsRowFunction="custom">
      <calculatedColumnFormula>'Advanced Setup Planner'!AM15</calculatedColumnFormula>
      <totalsRowFormula>IFERROR(Table18[[#Totals],[Reward $]]/Table18[[#Totals],[Risk $]],"")</totalsRowFormula>
    </tableColumn>
    <tableColumn id="11" name="R2">
      <calculatedColumnFormula>'Advanced Setup Planner'!AM15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19" displayName="Table19" ref="A65:K69" headerRowCount="1" totalsRowCount="1">
  <autoFilter ref="A65:K68"/>
  <tableColumns count="11">
    <tableColumn id="1" name="Rung" totalsRowLabel="Total"/>
    <tableColumn id="2" name="Entry" totalsRowFunction="custom">
      <calculatedColumnFormula>'Advanced Setup Planner'!AD28</calculatedColumnFormula>
      <totalsRowFormula>IFERROR(SUBTOTAL(101,Table19[Entry]),"")</totalsRowFormula>
    </tableColumn>
    <tableColumn id="3" name="TP" totalsRowFunction="custom">
      <calculatedColumnFormula>'Advanced Setup Planner'!AE28</calculatedColumnFormula>
      <totalsRowFormula>IFERROR(SUBTOTAL(101,Table19[TP]),"")</totalsRowFormula>
    </tableColumn>
    <tableColumn id="4" name="SL" totalsRowFunction="custom">
      <calculatedColumnFormula>'Advanced Setup Planner'!AF28</calculatedColumnFormula>
      <totalsRowFormula>IFERROR(SUBTOTAL(101,Table19[SL]),"")</totalsRowFormula>
    </tableColumn>
    <tableColumn id="5" name="Pips→TP" totalsRowFunction="custom">
      <calculatedColumnFormula>'Advanced Setup Planner'!AG28</calculatedColumnFormula>
      <totalsRowFormula>IFERROR(SUBTOTAL(101,Table19[Pips→TP]),"")</totalsRowFormula>
    </tableColumn>
    <tableColumn id="6" name="EffPips→SL" totalsRowFunction="custom">
      <calculatedColumnFormula>'Advanced Setup Planner'!AH28</calculatedColumnFormula>
      <totalsRowFormula>IFERROR(SUBTOTAL(101,Table19[EffPips→SL]),"")</totalsRowFormula>
    </tableColumn>
    <tableColumn id="7" name="Units" totalsRowFunction="sum">
      <calculatedColumnFormula>'Advanced Setup Planner'!AL28</calculatedColumnFormula>
    </tableColumn>
    <tableColumn id="8" name="Risk $" totalsRowFunction="sum">
      <calculatedColumnFormula>'Advanced Setup Planner'!AJ28</calculatedColumnFormula>
    </tableColumn>
    <tableColumn id="9" name="Reward $" totalsRowFunction="sum">
      <calculatedColumnFormula>'Advanced Setup Planner'!AK28</calculatedColumnFormula>
    </tableColumn>
    <tableColumn id="10" name="R" totalsRowFunction="custom">
      <calculatedColumnFormula>'Advanced Setup Planner'!AM28</calculatedColumnFormula>
      <totalsRowFormula>IFERROR(Table19[[#Totals],[Reward $]]/Table19[[#Totals],[Risk $]],"")</totalsRowFormula>
    </tableColumn>
    <tableColumn id="11" name="Column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6" displayName="Table6" ref="A1:A55" headerRowCount="1">
  <autoFilter ref="A1:A55"/>
  <tableColumns count="1">
    <tableColumn id="1" name="Lis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1" displayName="Table11" ref="A130:J163" headerRowCount="1">
  <autoFilter ref="A130:J163"/>
  <tableColumns count="10">
    <tableColumn id="1" name="Date"/>
    <tableColumn id="2" name="CentralBank"/>
    <tableColumn id="3" name="Person"/>
    <tableColumn id="4" name="Role"/>
    <tableColumn id="5" name="Event"/>
    <tableColumn id="6" name="Topic"/>
    <tableColumn id="7" name="Tone"/>
    <tableColumn id="8" name="Tone_Score">
      <calculatedColumnFormula>IF(G131="","",VLOOKUP(G131,$L$130:$M$132,2,FALSE))</calculatedColumnFormula>
    </tableColumn>
    <tableColumn id="9" name="Notes"/>
    <tableColumn id="10" name="Link/Sourc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8" displayName="Table8" ref="A180:J191" headerRowCount="1">
  <autoFilter ref="A180:J191"/>
  <tableColumns count="10">
    <tableColumn id="1" name="Date"/>
    <tableColumn id="2" name="Currency"/>
    <tableColumn id="3" name="Rate1_mid 350-375)"/>
    <tableColumn id="4" name="Prob1"/>
    <tableColumn id="5" name="Rate2_mid (375-400)"/>
    <tableColumn id="6" name="Prob2"/>
    <tableColumn id="7" name="Rate3_mid (325-350)"/>
    <tableColumn id="8" name="Prob3"/>
    <tableColumn id="9" name="ExpRate">
      <calculatedColumnFormula>IF(B181="","",IF(SUM(D181,F181,H181)=0,"",(C181*D181+E181*F181+G181*H181)/SUM(D181,F181,H181)))</calculatedColumnFormula>
    </tableColumn>
    <tableColumn id="10" name="CutsVsToday">
      <calculatedColumnFormula>IF(I181="","",ROUND((IF(B181="US",Backend!$Z$211,IF(B181="ECB",Backend!$Z$212,""))-I181)/0.25,0))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9" displayName="Table9" ref="A210:L299" headerRowCount="1">
  <autoFilter ref="A210:L299"/>
  <tableColumns count="12">
    <tableColumn id="1" name="Date"/>
    <tableColumn id="2" name="Category"/>
    <tableColumn id="3" name="Event"/>
    <tableColumn id="4" name="Actual"/>
    <tableColumn id="5" name="Forecast"/>
    <tableColumn id="6" name="Previous"/>
    <tableColumn id="7" name="Surprise vs Forecast">
      <calculatedColumnFormula>IF(NOT(ISNUMBER(Table9[[#This Row],[Actual]])),"",IF(NOT(ISNUMBER(Table9[[#This Row],[Forecast]])),"",Table9[[#This Row],[Actual]]-Table9[[#This Row],[Forecast]]))</calculatedColumnFormula>
    </tableColumn>
    <tableColumn id="8" name="Change vs Prev">
      <calculatedColumnFormula>IF(NOT(ISNUMBER(Table9[[#This Row],[Actual]])),"",IF(NOT(ISNUMBER(Table9[[#This Row],[Previous]])),"",Table9[[#This Row],[Actual]]-Table9[[#This Row],[Previous]]))</calculatedColumnFormula>
    </tableColumn>
    <tableColumn id="9" name="Qualitative">
      <calculatedColumnFormula>IF(AND(K211="",L211=""),"N/A",IF(AND(ABS(N(K211))&lt;0.0005,ABS(N(L211))&lt;0.0005),"Stable",IF(AND(L211="",ABS(N(K211))&gt;=0.0005),IF(N(K211)&gt;0,"Accelerating","Slowing"),IF(AND(K211="",ABS(N(L211))&gt;=0.0005),IF(N(L211)&gt;0,"Accelerating","Slowing"),IF(AND(N(K211)&gt;0,N(L211)&gt;=0),"Accelerating",IF(AND(N(K211)&lt;0,N(L211)&lt;=0),"Slowing","Mixed"))))))</calculatedColumnFormula>
    </tableColumn>
    <tableColumn id="10" name="EffectDirection">
      <calculatedColumnFormula>IF(OR(ISNUMBER(SEARCH("Unemployment",C211)),ISNUMBER(SEARCH("Claims",C211)),ISNUMBER(SEARCH("Jobless",C211)),ISNUMBER(SEARCH("Inventories",C211)),ISNUMBER(SEARCH("Wholesale Inventories",C211)),ISNUMBER(SEARCH("JOLTS Job Openings",C211)),ISNUMBER(SEARCH("Inflation Expectations",C211))),-1,1)</calculatedColumnFormula>
    </tableColumn>
    <tableColumn id="11" name="Adj_Surprise">
      <calculatedColumnFormula>IF(OR(G211="",G211="(NA)"),"",J211*G211)</calculatedColumnFormula>
    </tableColumn>
    <tableColumn id="12" name="Adj_ChangeAdj_ChangeAdj_ChangeAdj_ChangeAdj_ChangeAdj_ChangeAdj_ChangeAdj_ChangeAdj_Change">
      <calculatedColumnFormula>IF(OR(H211="",H211="(NA)"),"",J211*H211)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12" displayName="Table12" ref="N210:X214" headerRowCount="1">
  <autoFilter ref="N210:X214"/>
  <tableColumns count="11">
    <tableColumn id="1" name="Date"/>
    <tableColumn id="2" name="Tenor"/>
    <tableColumn id="3" name="today's yield"/>
    <tableColumn id="4" name="yield 1 trading day ago"/>
    <tableColumn id="5" name="yield 5 trading day ago"/>
    <tableColumn id="6" name="yield 20 trading day ago"/>
    <tableColumn id="7" name="Δd (1d)">
      <calculatedColumnFormula>IF(OR(P211="",Q211=""),"",P211-Q211)</calculatedColumnFormula>
    </tableColumn>
    <tableColumn id="8" name=" Δ5d">
      <calculatedColumnFormula>IF(OR(P211="",R211=""),"",P211-R211)</calculatedColumnFormula>
    </tableColumn>
    <tableColumn id="9" name="Δ20d">
      <calculatedColumnFormula>IF(OR(P211="",S211=""),"",P211-S211)</calculatedColumnFormula>
    </tableColumn>
    <tableColumn id="10" name="Trend">
      <calculatedColumnFormula>IF(P211="","",IF(AND(U211&gt;0.03,V211&gt;0),"Rising",IF(AND(U211&lt;-0.03,V211&lt;0),"Falling","Flat")))</calculatedColumnFormula>
    </tableColumn>
    <tableColumn id="11" name="TrendScore">
      <calculatedColumnFormula>IF(W211="","",IFERROR(VLOOKUP(W211,Backend!$D$324:$E$337,2,FALSE)*1,0))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13" displayName="Table13" ref="N215:X217" headerRowCount="1">
  <autoFilter ref="N215:X217"/>
  <tableColumns count="11">
    <tableColumn id="1" name="Date"/>
    <tableColumn id="2" name="Tenor"/>
    <tableColumn id="3" name="today's yield">
      <calculatedColumnFormula>IF(OR(P211="",P213=""),"",P213-P211)</calculatedColumnFormula>
    </tableColumn>
    <tableColumn id="4" name="yield 1 trading day ago">
      <calculatedColumnFormula>IF(OR(Q211="",Q213=""),"",Q213-Q211)</calculatedColumnFormula>
    </tableColumn>
    <tableColumn id="5" name="yield 5 trading day ago">
      <calculatedColumnFormula>IF(OR(R211="",R213=""),"",R213-R211)</calculatedColumnFormula>
    </tableColumn>
    <tableColumn id="6" name="yield 20 trading day ago">
      <calculatedColumnFormula>IF(OR(S211="",S213=""),"",S213-S211)</calculatedColumnFormula>
    </tableColumn>
    <tableColumn id="7" name="Δd (1d)">
      <calculatedColumnFormula>IF(OR(P216="",Q216=""),"",P216-Q216)</calculatedColumnFormula>
    </tableColumn>
    <tableColumn id="8" name=" Δ5d">
      <calculatedColumnFormula>IF(OR(P216="",R216=""),"",P216-R216)</calculatedColumnFormula>
    </tableColumn>
    <tableColumn id="9" name="Δ20d">
      <calculatedColumnFormula>IF(OR(P216="",S216=""),"",P216-S216)</calculatedColumnFormula>
    </tableColumn>
    <tableColumn id="10" name="Column1">
      <calculatedColumnFormula>IF(P216="","",IF(AND(U216&gt;0.03,V216&gt;0),"Rising",IF(AND(U216&lt;-0.03,V216&lt;0),"Falling","Flat")))</calculatedColumnFormula>
    </tableColumn>
    <tableColumn id="11" name="Column12">
      <calculatedColumnFormula>IF(W216="","",IFERROR(VLOOKUP(W216,Backend!$D$324:$E$337,2,FALSE)*1,0))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20" displayName="Table20" ref="N219:X226" headerRowCount="1" totalsRowShown="0">
  <autoFilter ref="N219:X226"/>
  <tableColumns count="11">
    <tableColumn id="1" name="Date"/>
    <tableColumn id="2" name="Tenor"/>
    <tableColumn id="3" name="today's yield">
      <calculatedColumnFormula>IF(OR(P215="",P217=""),"",(P217-P215)*100)</calculatedColumnFormula>
    </tableColumn>
    <tableColumn id="4" name="yield 1 trading day ago">
      <calculatedColumnFormula>IF(OR(Q215="",Q217=""),"",(Q217-Q215)*100)</calculatedColumnFormula>
    </tableColumn>
    <tableColumn id="5" name="yield 5 trading day ago">
      <calculatedColumnFormula>IF(OR(R215="",R217=""),"",(R217-R215)*100)</calculatedColumnFormula>
    </tableColumn>
    <tableColumn id="6" name="yield 20 trading day ago">
      <calculatedColumnFormula>IF(OR(S215="",S217=""),"",(S217-S215)*100)</calculatedColumnFormula>
    </tableColumn>
    <tableColumn id="7" name="Δd (1d)">
      <calculatedColumnFormula>IF(OR(P220="",Q220=""),"",P220-Q220)</calculatedColumnFormula>
    </tableColumn>
    <tableColumn id="8" name=" Δ5d">
      <calculatedColumnFormula>IF(OR(P220="",R220=""),"",P220-R220)</calculatedColumnFormula>
    </tableColumn>
    <tableColumn id="9" name="Δ20d">
      <calculatedColumnFormula>IF(OR(P220="",S220=""),"",P220-S220)</calculatedColumnFormula>
    </tableColumn>
    <tableColumn id="10" name="Column1">
      <calculatedColumnFormula>IF(P220="","",IF(AND(U220&gt;3,V220&gt;0),"Rising",IF(AND(U220&lt;-3,V220&lt;0),"Falling","Flat")))</calculatedColumnFormula>
    </tableColumn>
    <tableColumn id="11" name="Column1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21" displayName="Table21" ref="N228:X235" headerRowCount="1" totalsRowShown="0">
  <autoFilter ref="N228:X235"/>
  <tableColumns count="11">
    <tableColumn id="1" name="Date"/>
    <tableColumn id="2" name="Tenor"/>
    <tableColumn id="3" name="today's yield">
      <calculatedColumnFormula>IF(OR(P224="",P226=""),"",(P226-P224)*100)</calculatedColumnFormula>
    </tableColumn>
    <tableColumn id="4" name="yield 1 trading day ago">
      <calculatedColumnFormula>IF(OR(Q224="",Q226=""),"",(Q226-Q224)*100)</calculatedColumnFormula>
    </tableColumn>
    <tableColumn id="5" name="yield 5 trading day ago">
      <calculatedColumnFormula>IF(OR(R224="",R226=""),"",(R226-R224)*100)</calculatedColumnFormula>
    </tableColumn>
    <tableColumn id="6" name="yield 20 trading day ago">
      <calculatedColumnFormula>IF(OR(S224="",S226=""),"",(S226-S224)*100)</calculatedColumnFormula>
    </tableColumn>
    <tableColumn id="7" name="Δd (1d)">
      <calculatedColumnFormula>IF(OR(P229="",Q229=""),"",P229-Q229)</calculatedColumnFormula>
    </tableColumn>
    <tableColumn id="8" name=" Δ5d">
      <calculatedColumnFormula>IF(OR(P229="",R229=""),"",P229-R229)</calculatedColumnFormula>
    </tableColumn>
    <tableColumn id="9" name="Δ20d">
      <calculatedColumnFormula>IF(OR(P229="",S229=""),"",P229-S229)</calculatedColumnFormula>
    </tableColumn>
    <tableColumn id="10" name="Column1">
      <calculatedColumnFormula>IF(P229="","",IF(AND(U229&gt;3,V229&gt;0),"Rising",IF(AND(U229&lt;-3,V229&lt;0),"Falling","Flat")))</calculatedColumnFormula>
    </tableColumn>
    <tableColumn id="11" name="Column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Relationship Type="http://schemas.openxmlformats.org/officeDocument/2006/relationships/table" Target="/xl/tables/table15.xml" Id="rId7" /><Relationship Type="http://schemas.openxmlformats.org/officeDocument/2006/relationships/table" Target="/xl/tables/table16.xml" Id="rId8" /></Relationships>
</file>

<file path=xl/worksheets/sheet1.xml><?xml version="1.0" encoding="utf-8"?>
<worksheet xmlns="http://schemas.openxmlformats.org/spreadsheetml/2006/main">
  <sheetPr>
    <tabColor rgb="FF95A5A6"/>
    <outlinePr summaryBelow="1" summaryRight="1"/>
    <pageSetUpPr/>
  </sheetPr>
  <dimension ref="A1:H68"/>
  <sheetViews>
    <sheetView topLeftCell="A4" workbookViewId="0">
      <selection activeCell="A1" sqref="A1:H1"/>
    </sheetView>
  </sheetViews>
  <sheetFormatPr baseColWidth="8" defaultColWidth="8.7265625" defaultRowHeight="14.5"/>
  <cols>
    <col width="28.6328125" customWidth="1" style="175" min="1" max="1"/>
    <col width="60.6328125" customWidth="1" style="175" min="2" max="2"/>
    <col width="8.6328125" customWidth="1" style="175" min="3" max="8"/>
  </cols>
  <sheetData>
    <row r="1" ht="44" customHeight="1" s="175">
      <c r="A1" s="192" t="inlineStr">
        <is>
          <t>FOREX TRADING WORKBOOK — USER GUIDE</t>
        </is>
      </c>
    </row>
    <row r="2" ht="16" customHeight="1" s="175">
      <c r="A2" s="197" t="inlineStr">
        <is>
          <t>Version 1.0  |  Ready for distribution</t>
        </is>
      </c>
    </row>
    <row r="4" ht="24" customHeight="1" s="175">
      <c r="A4" s="186" t="inlineStr">
        <is>
          <t>SECTION 1 — COLOR GUIDE</t>
        </is>
      </c>
    </row>
    <row r="5" ht="18" customHeight="1" s="175">
      <c r="A5" s="198" t="inlineStr">
        <is>
          <t>Blue cells  = YOU enter data here — click and type freely</t>
        </is>
      </c>
    </row>
    <row r="6" ht="18" customHeight="1" s="175">
      <c r="A6" s="193" t="inlineStr">
        <is>
          <t>Grey cells  = Auto-calculated — do NOT edit</t>
        </is>
      </c>
    </row>
    <row r="8" ht="24" customHeight="1" s="175">
      <c r="A8" s="186" t="inlineStr">
        <is>
          <t>SECTION 2 — THE 5 TABS (what each one does)</t>
        </is>
      </c>
    </row>
    <row r="9" ht="18" customHeight="1" s="175">
      <c r="A9" s="171" t="inlineStr">
        <is>
          <t>Instructions</t>
        </is>
      </c>
      <c r="B9" s="188" t="inlineStr">
        <is>
          <t>This page. Read first.</t>
        </is>
      </c>
    </row>
    <row r="10" ht="18" customHeight="1" s="175">
      <c r="A10" s="171" t="inlineStr">
        <is>
          <t>Summary</t>
        </is>
      </c>
      <c r="B10" s="188" t="inlineStr">
        <is>
          <t>Monthly performance dashboard. Fill 6 cells at start of month.</t>
        </is>
      </c>
    </row>
    <row r="11" ht="18" customHeight="1" s="175">
      <c r="A11" s="171" t="inlineStr">
        <is>
          <t>Daily Log</t>
        </is>
      </c>
      <c r="B11" s="188" t="inlineStr">
        <is>
          <t>Daily trading journal. Fill 4 columns per day.</t>
        </is>
      </c>
    </row>
    <row r="12" ht="18" customHeight="1" s="175">
      <c r="A12" s="171" t="inlineStr">
        <is>
          <t>Raw daily data</t>
        </is>
      </c>
      <c r="B12" s="188" t="inlineStr">
        <is>
          <t>Paste broker export here daily. Columns A–H only.</t>
        </is>
      </c>
    </row>
    <row r="13" ht="18" customHeight="1" s="175">
      <c r="A13" s="171" t="inlineStr">
        <is>
          <t>Advanced Setup Planner</t>
        </is>
      </c>
      <c r="B13" s="188" t="inlineStr">
        <is>
          <t>Fill every morning before your session.</t>
        </is>
      </c>
    </row>
    <row r="15" ht="24" customHeight="1" s="175">
      <c r="A15" s="186" t="inlineStr">
        <is>
          <t>SECTION 3 — SUMMARY TAB</t>
        </is>
      </c>
    </row>
    <row r="16" ht="18" customHeight="1" s="175">
      <c r="A16" s="195" t="inlineStr">
        <is>
          <t>Fill these 6 blue cells at the start of each month:</t>
        </is>
      </c>
    </row>
    <row r="17" ht="18" customHeight="1" s="175">
      <c r="A17" s="196" t="inlineStr">
        <is>
          <t>Monthly Profit Target ($)     → How much you aim to make</t>
        </is>
      </c>
    </row>
    <row r="18" ht="18" customHeight="1" s="175">
      <c r="A18" s="196" t="inlineStr">
        <is>
          <t>Planned Active Trading Days   → Days you plan to trade</t>
        </is>
      </c>
    </row>
    <row r="19" ht="18" customHeight="1" s="175">
      <c r="A19" s="196" t="inlineStr">
        <is>
          <t>Weeks in Cycle                → Usually 4</t>
        </is>
      </c>
    </row>
    <row r="20" ht="18" customHeight="1" s="175">
      <c r="A20" s="196" t="inlineStr">
        <is>
          <t>Risk % per trade              → e.g. 0.07 = 7% of NAV</t>
        </is>
      </c>
    </row>
    <row r="21" ht="18" customHeight="1" s="175">
      <c r="A21" s="196" t="inlineStr">
        <is>
          <t>Max Daily Loss (R multiples)  → e.g. 2 = stop after losing 2R</t>
        </is>
      </c>
    </row>
    <row r="22" ht="18" customHeight="1" s="175">
      <c r="A22" s="196" t="inlineStr">
        <is>
          <t>Current NAV ($)               → Account balance on day 1</t>
        </is>
      </c>
    </row>
    <row r="24" ht="24" customHeight="1" s="175">
      <c r="A24" s="186" t="inlineStr">
        <is>
          <t>SECTION 4 — DAILY LOG TAB</t>
        </is>
      </c>
    </row>
    <row r="25" ht="18" customHeight="1" s="175">
      <c r="A25" s="195" t="inlineStr">
        <is>
          <t>Each trading day, fill ONLY these 4 columns:</t>
        </is>
      </c>
    </row>
    <row r="26" ht="18" customHeight="1" s="175">
      <c r="A26" s="196" t="inlineStr">
        <is>
          <t>Column A → Today's date</t>
        </is>
      </c>
    </row>
    <row r="27" ht="18" customHeight="1" s="175">
      <c r="A27" s="196" t="inlineStr">
        <is>
          <t>Column B → Week number in cycle (1, 2, 3 or 4)</t>
        </is>
      </c>
    </row>
    <row r="28" ht="18" customHeight="1" s="175">
      <c r="A28" s="196" t="inlineStr">
        <is>
          <t>Column D → Y = traded today, N = did not trade</t>
        </is>
      </c>
    </row>
    <row r="29" ht="18" customHeight="1" s="175">
      <c r="A29" s="196" t="inlineStr">
        <is>
          <t>Column M → Notes (psychology, lessons, market conditions)</t>
        </is>
      </c>
    </row>
    <row r="30" ht="18" customHeight="1" s="175">
      <c r="A30" s="187" t="inlineStr">
        <is>
          <t>Do NOT touch columns E, F, G, H, I, J, K, L, N–Y — they auto-calculate.</t>
        </is>
      </c>
    </row>
    <row r="32" ht="24" customHeight="1" s="175">
      <c r="A32" s="186" t="inlineStr">
        <is>
          <t>SECTION 5 — RAW DAILY DATA TAB</t>
        </is>
      </c>
    </row>
    <row r="33" ht="18" customHeight="1" s="175">
      <c r="A33" s="189" t="inlineStr">
        <is>
          <t>Step 1: In MT4/MT5 → Account History → right-click → Save as Report</t>
        </is>
      </c>
    </row>
    <row r="34" ht="18" customHeight="1" s="175">
      <c r="A34" s="189" t="inlineStr">
        <is>
          <t>Step 2: Copy columns: Symbol | Name | Side | Quantity | Price | Profit | Deal ID | Time</t>
        </is>
      </c>
    </row>
    <row r="35" ht="18" customHeight="1" s="175">
      <c r="A35" s="189" t="inlineStr">
        <is>
          <t>Step 3: Delete rows 2+ in 'Raw daily data', paste starting at A2</t>
        </is>
      </c>
    </row>
    <row r="36" ht="18" customHeight="1" s="175">
      <c r="A36" s="191" t="inlineStr">
        <is>
          <t>NOTE:   Column H (Time) must be: "Wed, 23 Apr 2026 09:00:00 GMT" format</t>
        </is>
      </c>
    </row>
    <row r="37" ht="18" customHeight="1" s="175">
      <c r="A37" s="191" t="inlineStr">
        <is>
          <t>NOTE:   Columns I and J are formulas — never overwrite them</t>
        </is>
      </c>
    </row>
    <row r="39" ht="24" customHeight="1" s="175">
      <c r="A39" s="186" t="inlineStr">
        <is>
          <t>SECTION 6 — ADVANCED SETUP PLANNER TAB</t>
        </is>
      </c>
    </row>
    <row r="40" ht="18" customHeight="1" s="175">
      <c r="A40" s="195" t="inlineStr">
        <is>
          <t>Fill this every morning BEFORE your trading session.</t>
        </is>
      </c>
    </row>
    <row r="41" ht="28" customHeight="1" s="175">
      <c r="A41" s="171" t="inlineStr">
        <is>
          <t>Step 1 — EMAs</t>
        </is>
      </c>
      <c r="B41" s="194" t="inlineStr">
        <is>
          <t>EMA9/21/50 on 15m, SMA200 on 15m, EMA50 on 1H/4H/1D/1W, EMA100/200 on 1D, EMA20 on 1M, Current Price</t>
        </is>
      </c>
    </row>
    <row r="42" ht="28" customHeight="1" s="175">
      <c r="A42" s="171" t="inlineStr">
        <is>
          <t>Step 2 — RSI &amp; ATR</t>
        </is>
      </c>
      <c r="B42" s="194" t="inlineStr">
        <is>
          <t>RSI(14) from 15m, 1H, 4H. ATR(14) from 15m. ADR(14).</t>
        </is>
      </c>
    </row>
    <row r="43" ht="28" customHeight="1" s="175">
      <c r="A43" s="171" t="inlineStr">
        <is>
          <t>Step 3 — Price Levels</t>
        </is>
      </c>
      <c r="B43" s="194" t="inlineStr">
        <is>
          <t>PWH/PWL, PDH/PDL, EQH/EQL, LTF Leg, Session High/Low, HTF Swing High/Low.</t>
        </is>
      </c>
    </row>
    <row r="44" ht="28" customHeight="1" s="175">
      <c r="A44" s="171" t="inlineStr">
        <is>
          <t>Step 4 — FVG Zones</t>
        </is>
      </c>
      <c r="B44" s="194" t="inlineStr">
        <is>
          <t>Daily FVG high/low, 1H FVG high/low. Leave blank if no clear FVG.</t>
        </is>
      </c>
    </row>
    <row r="45" ht="28" customHeight="1" s="175">
      <c r="A45" s="171" t="inlineStr">
        <is>
          <t>Step 5 — Options Gamma</t>
        </is>
      </c>
      <c r="B45" s="194" t="inlineStr">
        <is>
          <t>Up to 4 strike prices with open interest (bn). Leave blank if unavailable.</t>
        </is>
      </c>
    </row>
    <row r="46" ht="28" customHeight="1" s="175">
      <c r="A46" s="171" t="inlineStr">
        <is>
          <t>Step 6 — Outputs</t>
        </is>
      </c>
      <c r="B46" s="194" t="inlineStr">
        <is>
          <t>SIDE, TRADE MODE, 4 LADDERS, NARRATIVE are auto-calculated — do not edit.</t>
        </is>
      </c>
    </row>
    <row r="48" ht="24" customHeight="1" s="175">
      <c r="A48" s="186" t="inlineStr">
        <is>
          <t>SECTION 7 — NEW MONTH RESET</t>
        </is>
      </c>
    </row>
    <row r="49" ht="18" customHeight="1" s="175">
      <c r="A49" s="189" t="inlineStr">
        <is>
          <t>1. Save current file as Trading_[Month][Year].xlsx (e.g. Trading_Apr2026.xlsx)</t>
        </is>
      </c>
    </row>
    <row r="50" ht="18" customHeight="1" s="175">
      <c r="A50" s="189" t="inlineStr">
        <is>
          <t>2. Open this master template</t>
        </is>
      </c>
    </row>
    <row r="51" ht="18" customHeight="1" s="175">
      <c r="A51" s="189" t="inlineStr">
        <is>
          <t>3. Update Summary → Current NAV = ending balance of last month</t>
        </is>
      </c>
    </row>
    <row r="52" ht="18" customHeight="1" s="175">
      <c r="A52" s="189" t="inlineStr">
        <is>
          <t>4. Clear Daily Log columns A, B, D, M (keep formulas in other columns)</t>
        </is>
      </c>
    </row>
    <row r="53" ht="18" customHeight="1" s="175">
      <c r="A53" s="189" t="inlineStr">
        <is>
          <t>5. Delete rows 2+ in Raw daily data</t>
        </is>
      </c>
    </row>
    <row r="54" ht="18" customHeight="1" s="175">
      <c r="A54" s="189" t="inlineStr">
        <is>
          <t>6. Clear all blue input cells in Advanced Setup Planner</t>
        </is>
      </c>
    </row>
    <row r="55" ht="18" customHeight="1" s="175">
      <c r="A55" s="189" t="inlineStr">
        <is>
          <t>7. Save — ready for new month</t>
        </is>
      </c>
    </row>
    <row r="57" ht="24" customHeight="1" s="175">
      <c r="A57" s="186" t="inlineStr">
        <is>
          <t>SECTION 8 — FAQs</t>
        </is>
      </c>
    </row>
    <row r="58" ht="18" customHeight="1" s="175">
      <c r="A58" s="190" t="inlineStr">
        <is>
          <t>Q: Some cells show "" (empty) — is that a bug?</t>
        </is>
      </c>
    </row>
    <row r="59" ht="18" customHeight="1" s="175">
      <c r="A59" s="189" t="inlineStr">
        <is>
          <t>A: No. Cells are intentionally blank until you enter data.</t>
        </is>
      </c>
    </row>
    <row r="60" ht="18" customHeight="1" s="175">
      <c r="A60" s="190" t="inlineStr">
        <is>
          <t>Q: CT Ladder shows "CT inactive"?</t>
        </is>
      </c>
    </row>
    <row r="61" ht="18" customHeight="1" s="175">
      <c r="A61" s="189" t="inlineStr">
        <is>
          <t>A: CT trades only apply when SIDE = SHORT. When LONG, CT is disabled.</t>
        </is>
      </c>
    </row>
    <row r="62" ht="18" customHeight="1" s="175">
      <c r="A62" s="190" t="inlineStr">
        <is>
          <t>Q: Macro Bias shows "Neutral" — should I trade?</t>
        </is>
      </c>
    </row>
    <row r="63" ht="18" customHeight="1" s="175">
      <c r="A63" s="189" t="inlineStr">
        <is>
          <t>A: Neutral = no clear macro edge. If Trade Mode = Avoid, do not trade.</t>
        </is>
      </c>
    </row>
    <row r="64" ht="18" customHeight="1" s="175">
      <c r="A64" s="190" t="inlineStr">
        <is>
          <t>Q: Can I add more rows to Daily Log?</t>
        </is>
      </c>
    </row>
    <row r="65" ht="18" customHeight="1" s="175">
      <c r="A65" s="189" t="inlineStr">
        <is>
          <t>A: Yes. Insert a row, copy formulas from the row above.</t>
        </is>
      </c>
    </row>
    <row r="67" ht="24" customHeight="1" s="175">
      <c r="A67" s="186" t="inlineStr">
        <is>
          <t>NAVIGATION</t>
        </is>
      </c>
    </row>
    <row r="68">
      <c r="A68" s="172" t="inlineStr">
        <is>
          <t>Summary!A1</t>
        </is>
      </c>
      <c r="C68" s="173" t="inlineStr">
        <is>
          <t>Daily Log'!A1</t>
        </is>
      </c>
      <c r="E68" s="173" t="inlineStr">
        <is>
          <t>Raw daily data'!A1</t>
        </is>
      </c>
      <c r="G68" s="173" t="inlineStr">
        <is>
          <t>Advanced Setup Planner'!A1</t>
        </is>
      </c>
    </row>
  </sheetData>
  <mergeCells count="58">
    <mergeCell ref="A67:H67"/>
    <mergeCell ref="A48:H48"/>
    <mergeCell ref="A30:H30"/>
    <mergeCell ref="A39:H39"/>
    <mergeCell ref="B9:H9"/>
    <mergeCell ref="A15:H15"/>
    <mergeCell ref="A59:H59"/>
    <mergeCell ref="A24:H24"/>
    <mergeCell ref="A51:H51"/>
    <mergeCell ref="A64:H64"/>
    <mergeCell ref="A60:H60"/>
    <mergeCell ref="A36:H36"/>
    <mergeCell ref="A49:H49"/>
    <mergeCell ref="A1:H1"/>
    <mergeCell ref="A61:H61"/>
    <mergeCell ref="A6:H6"/>
    <mergeCell ref="B45:H45"/>
    <mergeCell ref="B41:H41"/>
    <mergeCell ref="A25:H25"/>
    <mergeCell ref="A65:H65"/>
    <mergeCell ref="A16:H16"/>
    <mergeCell ref="A54:H54"/>
    <mergeCell ref="A37:H37"/>
    <mergeCell ref="A27:H27"/>
    <mergeCell ref="B46:H46"/>
    <mergeCell ref="A18:H18"/>
    <mergeCell ref="A50:H50"/>
    <mergeCell ref="A26:H26"/>
    <mergeCell ref="A21:H21"/>
    <mergeCell ref="A55:H55"/>
    <mergeCell ref="A57:H57"/>
    <mergeCell ref="A2:H2"/>
    <mergeCell ref="B43:H43"/>
    <mergeCell ref="B12:H12"/>
    <mergeCell ref="A33:H33"/>
    <mergeCell ref="A5:H5"/>
    <mergeCell ref="B11:H11"/>
    <mergeCell ref="A32:H32"/>
    <mergeCell ref="B42:H42"/>
    <mergeCell ref="A8:H8"/>
    <mergeCell ref="A22:H22"/>
    <mergeCell ref="A17:H17"/>
    <mergeCell ref="A4:H4"/>
    <mergeCell ref="A62:H62"/>
    <mergeCell ref="A53:H53"/>
    <mergeCell ref="A29:H29"/>
    <mergeCell ref="B13:H13"/>
    <mergeCell ref="A35:H35"/>
    <mergeCell ref="A20:H20"/>
    <mergeCell ref="B44:H44"/>
    <mergeCell ref="A34:H34"/>
    <mergeCell ref="A63:H63"/>
    <mergeCell ref="A52:H52"/>
    <mergeCell ref="A28:H28"/>
    <mergeCell ref="A19:H19"/>
    <mergeCell ref="B10:H10"/>
    <mergeCell ref="A58:H58"/>
    <mergeCell ref="A40:H40"/>
  </mergeCells>
  <hyperlinks>
    <hyperlink ref="A68" location="Summary!A1" display="Summary!A1"/>
    <hyperlink ref="C68" location="'Daily Log'!A1" display="Daily Log'!A1"/>
    <hyperlink ref="E68" location="'Raw daily data'!A1" display="Raw daily data'!A1"/>
    <hyperlink ref="G68" location="'Advanced Setup Planner'!A1" display="Advanced Setup Planner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H9" sqref="H9"/>
    </sheetView>
  </sheetViews>
  <sheetFormatPr baseColWidth="8" defaultColWidth="90.54296875" defaultRowHeight="14.5"/>
  <cols>
    <col width="32" customWidth="1" style="175" min="1" max="1"/>
    <col width="15.7265625" customWidth="1" style="175" min="2" max="2"/>
    <col width="16.26953125" customWidth="1" style="175" min="3" max="3"/>
    <col width="15" customWidth="1" style="175" min="4" max="4"/>
    <col width="16.08984375" customWidth="1" style="175" min="5" max="5"/>
    <col width="18.7265625" customWidth="1" style="175" min="6" max="6"/>
    <col width="18.54296875" customWidth="1" style="175" min="7" max="7"/>
    <col width="22.08984375" customWidth="1" style="175" min="8" max="8"/>
    <col width="19.54296875" customWidth="1" style="175" min="9" max="9"/>
    <col width="20.26953125" customWidth="1" style="175" min="10" max="10"/>
    <col width="11.54296875" customWidth="1" style="175" min="11" max="11"/>
    <col width="17.7265625" customWidth="1" style="175" min="12" max="12"/>
  </cols>
  <sheetData>
    <row r="1">
      <c r="A1" s="159" t="inlineStr">
        <is>
          <t>Label</t>
        </is>
      </c>
      <c r="B1" s="160" t="inlineStr">
        <is>
          <t>Value</t>
        </is>
      </c>
    </row>
    <row r="2">
      <c r="A2" s="82" t="inlineStr">
        <is>
          <t>Monthly Target ($)</t>
        </is>
      </c>
      <c r="B2" s="201" t="n">
        <v>20000</v>
      </c>
    </row>
    <row r="3">
      <c r="A3" s="82" t="inlineStr">
        <is>
          <t>Planned Active Trading Days</t>
        </is>
      </c>
      <c r="B3" s="162" t="n">
        <v>17</v>
      </c>
    </row>
    <row r="4">
      <c r="A4" s="82" t="inlineStr">
        <is>
          <t>Average Target per Trading Day ($)</t>
        </is>
      </c>
      <c r="B4" s="202">
        <f>B2/B3</f>
        <v/>
      </c>
    </row>
    <row r="5">
      <c r="A5" s="82" t="inlineStr">
        <is>
          <t>Weeks in Cycle</t>
        </is>
      </c>
      <c r="B5" s="162" t="n">
        <v>4</v>
      </c>
    </row>
    <row r="6">
      <c r="A6" s="82" t="inlineStr">
        <is>
          <t>Average Target per Week ($)</t>
        </is>
      </c>
      <c r="B6" s="202">
        <f>B2/B5</f>
        <v/>
      </c>
    </row>
    <row r="7">
      <c r="A7" s="82" t="inlineStr">
        <is>
          <t>Required R per week</t>
        </is>
      </c>
      <c r="B7" s="164">
        <f>B6/B17</f>
        <v/>
      </c>
    </row>
    <row r="8">
      <c r="A8" s="82" t="inlineStr">
        <is>
          <t>Risk % of NAV per trade</t>
        </is>
      </c>
      <c r="B8" s="165" t="n">
        <v>0.07000000000000001</v>
      </c>
    </row>
    <row r="9">
      <c r="A9" s="82" t="inlineStr">
        <is>
          <t>Max Daily Loss (R multiples)</t>
        </is>
      </c>
      <c r="B9" s="166" t="n">
        <v>2</v>
      </c>
    </row>
    <row r="10">
      <c r="A10" t="inlineStr">
        <is>
          <t>Current NAV ($)</t>
        </is>
      </c>
      <c r="B10" s="203" t="n">
        <v>7175.38</v>
      </c>
    </row>
    <row r="11">
      <c r="A11" s="82" t="inlineStr">
        <is>
          <t>Cumulative P&amp;L Month ($)</t>
        </is>
      </c>
      <c r="B11" s="204">
        <f>IFERROR(LOOKUP(2,1/('Daily Log'!$I:$I&lt;&gt;""),'Daily Log'!$I:$I),"")</f>
        <v/>
      </c>
    </row>
    <row r="12">
      <c r="A12" s="82" t="inlineStr">
        <is>
          <t>Remaining Target ($)</t>
        </is>
      </c>
      <c r="B12" s="205">
        <f>B2-B11</f>
        <v/>
      </c>
    </row>
    <row r="13">
      <c r="A13" s="82" t="inlineStr">
        <is>
          <t>Trading Days Used</t>
        </is>
      </c>
      <c r="B13">
        <f>COUNTIFS('Daily Log'!D:D,"Y")</f>
        <v/>
      </c>
    </row>
    <row r="14">
      <c r="A14" s="82" t="inlineStr">
        <is>
          <t>Trading Days Remaining</t>
        </is>
      </c>
      <c r="B14">
        <f>B3-B13</f>
        <v/>
      </c>
    </row>
    <row r="15">
      <c r="A15" s="82" t="inlineStr">
        <is>
          <t>Required P&amp;L per Remaining Day</t>
        </is>
      </c>
      <c r="B15" s="205">
        <f>IF(B14&gt;0,B12/B14,"")</f>
        <v/>
      </c>
    </row>
    <row r="16">
      <c r="A16" s="82" t="inlineStr">
        <is>
          <t>Target R per Day (approx)</t>
        </is>
      </c>
      <c r="B16" s="91">
        <f>IF(AND(B14&gt;0,B18&gt;0),B15/B18,"")</f>
        <v/>
      </c>
    </row>
    <row r="17">
      <c r="A17" s="82" t="inlineStr">
        <is>
          <t>Projected Month P&amp;L ($)</t>
        </is>
      </c>
      <c r="B17" s="204">
        <f>B11+(B14*B16)</f>
        <v/>
      </c>
    </row>
    <row r="18">
      <c r="A18" s="82" t="inlineStr">
        <is>
          <t>Average R value ($)</t>
        </is>
      </c>
      <c r="B18" s="204">
        <f>IF(K22&gt;0,B11/K22,"")</f>
        <v/>
      </c>
    </row>
    <row r="19">
      <c r="A19" s="82" t="inlineStr">
        <is>
          <t>Today’s expected plan P&amp;L ($)</t>
        </is>
      </c>
      <c r="B19" s="202">
        <f>'Advanced Setup Planner'!EE18</f>
        <v/>
      </c>
    </row>
    <row r="21">
      <c r="A21" s="169" t="inlineStr">
        <is>
          <t>Week #</t>
        </is>
      </c>
      <c r="B21" s="169" t="inlineStr">
        <is>
          <t>Active Days</t>
        </is>
      </c>
      <c r="C21" s="169" t="inlineStr">
        <is>
          <t>Total Trades</t>
        </is>
      </c>
      <c r="D21" s="169" t="inlineStr">
        <is>
          <t>Total Wins</t>
        </is>
      </c>
      <c r="E21" s="169" t="inlineStr">
        <is>
          <t>Total Losses</t>
        </is>
      </c>
      <c r="F21" s="169" t="inlineStr">
        <is>
          <t>Week Net P&amp;L</t>
        </is>
      </c>
      <c r="G21" s="169" t="inlineStr">
        <is>
          <t>Weekly Target</t>
        </is>
      </c>
      <c r="H21" s="169" t="inlineStr">
        <is>
          <t>Week Variance ($)</t>
        </is>
      </c>
      <c r="I21" s="169" t="inlineStr">
        <is>
          <t>Avg Win Rate %</t>
        </is>
      </c>
      <c r="J21" s="169" t="inlineStr">
        <is>
          <t>Avg Reward:Risk</t>
        </is>
      </c>
      <c r="K21" s="169" t="inlineStr">
        <is>
          <t>Total R</t>
        </is>
      </c>
      <c r="L21" s="169" t="inlineStr">
        <is>
          <t>Avg R per Day</t>
        </is>
      </c>
    </row>
    <row r="22">
      <c r="A22" s="1" t="n">
        <v>1</v>
      </c>
      <c r="B22" s="1">
        <f>COUNTIFS('Daily Log'!$B:$B,$A22,'Daily Log'!$D:$D,"Y")</f>
        <v/>
      </c>
      <c r="C22" s="1">
        <f>SUMIFS('Daily Log'!$N:$N,'Daily Log'!$B:$B,$A22)</f>
        <v/>
      </c>
      <c r="D22" s="1">
        <f>SUMIFS('Daily Log'!$O:$O,'Daily Log'!$B:$B,$A22)</f>
        <v/>
      </c>
      <c r="E22" s="1">
        <f>SUMIFS('Daily Log'!$P:$P,'Daily Log'!$B:$B,$A22)</f>
        <v/>
      </c>
      <c r="F22" s="206">
        <f>SUMIFS('Daily Log'!$H:$H,'Daily Log'!$B:$B,$A22)</f>
        <v/>
      </c>
      <c r="G22" s="206">
        <f>$B$6</f>
        <v/>
      </c>
      <c r="H22" s="206">
        <f>F22-G22</f>
        <v/>
      </c>
      <c r="I22" s="170">
        <f>IF(B22&gt;0,AVERAGEIFS('Daily Log'!$S:$S,'Daily Log'!$B:$B,$A22,'Daily Log'!$D:$D,"Y"),"")</f>
        <v/>
      </c>
      <c r="J22" s="120">
        <f>IF(B22&gt;0,IFERROR(AVERAGEIFS('Daily Log'!$T:$T,'Daily Log'!$B:$B,$A22,'Daily Log'!$D:$D,"Y",'Daily Log'!$T:$T,"&gt;0"),""),"")</f>
        <v/>
      </c>
      <c r="K22" s="120">
        <f>SUMIFS('Daily Log'!$U:$U,'Daily Log'!$B:$B,$A22,'Daily Log'!$D:$D,"Y")</f>
        <v/>
      </c>
      <c r="L22" s="120">
        <f>IF(B22&gt;0,K22/B22,"")</f>
        <v/>
      </c>
    </row>
    <row r="23">
      <c r="A23" s="1" t="n">
        <v>2</v>
      </c>
      <c r="B23" s="1">
        <f>COUNTIFS('Daily Log'!$B:$B,$A23,'Daily Log'!$D:$D,"Y")</f>
        <v/>
      </c>
      <c r="C23" s="1">
        <f>SUMIFS('Daily Log'!$N:$N,'Daily Log'!$B:$B,$A23)</f>
        <v/>
      </c>
      <c r="D23" s="1">
        <f>SUMIFS('Daily Log'!$O:$O,'Daily Log'!$B:$B,$A23)</f>
        <v/>
      </c>
      <c r="E23" s="1">
        <f>SUMIFS('Daily Log'!$P:$P,'Daily Log'!$B:$B,$A23)</f>
        <v/>
      </c>
      <c r="F23" s="206">
        <f>SUMIFS('Daily Log'!$H:$H,'Daily Log'!$B:$B,$A23)</f>
        <v/>
      </c>
      <c r="G23" s="206">
        <f>$B$6</f>
        <v/>
      </c>
      <c r="H23" s="206">
        <f>F23-G23</f>
        <v/>
      </c>
      <c r="I23" s="170">
        <f>IF(B23&gt;0,AVERAGEIFS('Daily Log'!$S:$S,'Daily Log'!$B:$B,$A23,'Daily Log'!$D:$D,"Y"),"")</f>
        <v/>
      </c>
      <c r="J23" s="120">
        <f>IF(B23&gt;0,AVERAGEIFS('Daily Log'!$T:$T,'Daily Log'!$B:$B,$A23,'Daily Log'!$D:$D,"Y",'Daily Log'!$T:$T,"&gt;0"),"")</f>
        <v/>
      </c>
      <c r="K23" s="120">
        <f>SUMIFS('Daily Log'!$U:$U,'Daily Log'!$B:$B,$A23,'Daily Log'!$D:$D,"Y")</f>
        <v/>
      </c>
      <c r="L23" s="120">
        <f>IF(B23&gt;0,K23/B23,"")</f>
        <v/>
      </c>
    </row>
    <row r="24">
      <c r="A24" s="1" t="n">
        <v>3</v>
      </c>
      <c r="B24" s="1">
        <f>COUNTIFS('Daily Log'!$B:$B,$A24,'Daily Log'!$D:$D,"Y")</f>
        <v/>
      </c>
      <c r="C24" s="1">
        <f>SUMIFS('Daily Log'!$N:$N,'Daily Log'!$B:$B,$A24)</f>
        <v/>
      </c>
      <c r="D24" s="1">
        <f>SUMIFS('Daily Log'!$O:$O,'Daily Log'!$B:$B,$A24)</f>
        <v/>
      </c>
      <c r="E24" s="1">
        <f>SUMIFS('Daily Log'!$P:$P,'Daily Log'!$B:$B,$A24)</f>
        <v/>
      </c>
      <c r="F24" s="206">
        <f>SUMIFS('Daily Log'!$H:$H,'Daily Log'!$B:$B,$A24)</f>
        <v/>
      </c>
      <c r="G24" s="206">
        <f>$B$6</f>
        <v/>
      </c>
      <c r="H24" s="206">
        <f>F24-G24</f>
        <v/>
      </c>
      <c r="I24" s="170">
        <f>IF(B24&gt;0,AVERAGEIFS('Daily Log'!$S:$S,'Daily Log'!$B:$B,$A24,'Daily Log'!$D:$D,"Y"),"")</f>
        <v/>
      </c>
      <c r="J24" s="120">
        <f>IF(B24&gt;0,AVERAGEIFS('Daily Log'!$T:$T,'Daily Log'!$B:$B,$A24,'Daily Log'!$D:$D,"Y",'Daily Log'!$T:$T,"&gt;0"),"")</f>
        <v/>
      </c>
      <c r="K24" s="120">
        <f>SUMIFS('Daily Log'!$U:$U,'Daily Log'!$B:$B,$A24,'Daily Log'!$D:$D,"Y")</f>
        <v/>
      </c>
      <c r="L24" s="120">
        <f>IF(B24&gt;0,K24/B24,"")</f>
        <v/>
      </c>
    </row>
    <row r="25">
      <c r="A25" s="1" t="n">
        <v>4</v>
      </c>
      <c r="B25" s="1">
        <f>COUNTIFS('Daily Log'!$B:$B,$A25,'Daily Log'!$D:$D,"Y")</f>
        <v/>
      </c>
      <c r="C25" s="1">
        <f>SUMIFS('Daily Log'!$N:$N,'Daily Log'!$B:$B,$A25)</f>
        <v/>
      </c>
      <c r="D25" s="1">
        <f>SUMIFS('Daily Log'!$O:$O,'Daily Log'!$B:$B,$A25)</f>
        <v/>
      </c>
      <c r="E25" s="1">
        <f>SUMIFS('Daily Log'!$P:$P,'Daily Log'!$B:$B,$A25)</f>
        <v/>
      </c>
      <c r="F25" s="206">
        <f>SUMIFS('Daily Log'!$H:$H,'Daily Log'!$B:$B,$A25)</f>
        <v/>
      </c>
      <c r="G25" s="206">
        <f>$B$6</f>
        <v/>
      </c>
      <c r="H25" s="206">
        <f>F25-G25</f>
        <v/>
      </c>
      <c r="I25" s="170">
        <f>IF(B25&gt;0,AVERAGEIFS('Daily Log'!$S:$S,'Daily Log'!$B:$B,$A25,'Daily Log'!$D:$D,"Y"),"")</f>
        <v/>
      </c>
      <c r="J25" s="120">
        <f>IF(B25&gt;0,AVERAGEIFS('Daily Log'!$T:$T,'Daily Log'!$B:$B,$A25,'Daily Log'!$D:$D,"Y",'Daily Log'!$T:$T,"&gt;0"),"")</f>
        <v/>
      </c>
      <c r="K25" s="120">
        <f>SUMIFS('Daily Log'!$U:$U,'Daily Log'!$B:$B,$A25,'Daily Log'!$D:$D,"Y")</f>
        <v/>
      </c>
      <c r="L25" s="120">
        <f>IF(B25&gt;0,K25/B25,"")</f>
        <v/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"/>
  <sheetViews>
    <sheetView topLeftCell="A22" workbookViewId="0">
      <selection activeCell="B2" sqref="B2:B41"/>
    </sheetView>
  </sheetViews>
  <sheetFormatPr baseColWidth="8" defaultColWidth="9" defaultRowHeight="14.5"/>
  <cols>
    <col width="9.26953125" customWidth="1" style="175" min="1" max="1"/>
    <col width="9.81640625" customWidth="1" style="175" min="2" max="2"/>
    <col width="14.453125" customWidth="1" style="175" min="3" max="3"/>
    <col width="25.7265625" customWidth="1" style="175" min="4" max="4"/>
    <col width="14.54296875" customWidth="1" style="175" min="5" max="5"/>
    <col width="20" customWidth="1" style="175" min="6" max="6"/>
    <col width="22.54296875" customWidth="1" style="175" min="7" max="7"/>
    <col width="13.26953125" customWidth="1" style="175" min="8" max="8"/>
    <col width="26.54296875" customWidth="1" style="175" min="9" max="9"/>
    <col width="15.26953125" customWidth="1" style="175" min="10" max="10"/>
    <col width="18.81640625" customWidth="1" style="175" min="11" max="11"/>
    <col width="27.7265625" customWidth="1" style="175" min="12" max="12"/>
    <col width="8.453125" customWidth="1" style="175" min="13" max="13"/>
    <col width="10.453125" customWidth="1" style="175" min="14" max="14"/>
    <col width="9.08984375" customWidth="1" style="175" min="15" max="15"/>
    <col width="10.26953125" customWidth="1" style="175" min="16" max="16"/>
    <col width="18.26953125" customWidth="1" style="175" min="17" max="17"/>
    <col width="16.54296875" customWidth="1" style="175" min="18" max="18"/>
    <col width="14.7265625" customWidth="1" style="175" min="19" max="19"/>
    <col width="14" customWidth="1" style="175" min="20" max="20"/>
    <col width="17.453125" customWidth="1" style="175" min="21" max="21"/>
    <col width="17.26953125" customWidth="1" style="175" min="22" max="22"/>
    <col width="27.7265625" customWidth="1" style="175" min="23" max="23"/>
    <col width="23.54296875" customWidth="1" style="175" min="24" max="24"/>
    <col width="30.26953125" customWidth="1" style="175" min="25" max="25"/>
  </cols>
  <sheetData>
    <row r="1">
      <c r="A1" s="151" t="inlineStr">
        <is>
          <t>Date</t>
        </is>
      </c>
      <c r="B1" s="151" t="inlineStr">
        <is>
          <t>Week #</t>
        </is>
      </c>
      <c r="C1" s="151" t="inlineStr">
        <is>
          <t>Day of Week</t>
        </is>
      </c>
      <c r="D1" s="151" t="inlineStr">
        <is>
          <t>Active Trading Day? (Y/N)</t>
        </is>
      </c>
      <c r="E1" s="151" t="inlineStr">
        <is>
          <t>Start NAV ($)</t>
        </is>
      </c>
      <c r="F1" s="151" t="inlineStr">
        <is>
          <t>Risk per Trade R ($)</t>
        </is>
      </c>
      <c r="G1" s="151" t="inlineStr">
        <is>
          <t>Max Daily Loss Cap ($)</t>
        </is>
      </c>
      <c r="H1" s="151" t="inlineStr">
        <is>
          <t>Net P&amp;L ($)</t>
        </is>
      </c>
      <c r="I1" s="151" t="inlineStr">
        <is>
          <t>Cumulative P&amp;L Month ($)</t>
        </is>
      </c>
      <c r="J1" s="151" t="inlineStr">
        <is>
          <t>Week P&amp;L ($)</t>
        </is>
      </c>
      <c r="K1" s="151" t="inlineStr">
        <is>
          <t>Weekly Target ($)</t>
        </is>
      </c>
      <c r="L1" s="151" t="inlineStr">
        <is>
          <t>Week Variance vs Target ($)</t>
        </is>
      </c>
      <c r="M1" s="151" t="inlineStr">
        <is>
          <t>Notes</t>
        </is>
      </c>
      <c r="N1" s="152" t="inlineStr">
        <is>
          <t># Trades</t>
        </is>
      </c>
      <c r="O1" s="152" t="inlineStr">
        <is>
          <t># Wins</t>
        </is>
      </c>
      <c r="P1" s="152" t="inlineStr">
        <is>
          <t># Losses</t>
        </is>
      </c>
      <c r="Q1" s="152" t="inlineStr">
        <is>
          <t>Total Wins ($)</t>
        </is>
      </c>
      <c r="R1" s="152" t="inlineStr">
        <is>
          <t>Total Losses ($)</t>
        </is>
      </c>
      <c r="S1" s="152" t="inlineStr">
        <is>
          <t>Win Rate (%)</t>
        </is>
      </c>
      <c r="T1" s="152" t="inlineStr">
        <is>
          <t>Reward:Risk</t>
        </is>
      </c>
      <c r="U1" s="152" t="inlineStr">
        <is>
          <t>Daily R-multiple</t>
        </is>
      </c>
      <c r="V1" s="152" t="inlineStr">
        <is>
          <t>Losses vs Cap</t>
        </is>
      </c>
      <c r="W1" s="152" t="inlineStr">
        <is>
          <t>Intraday Net P&amp;L (so far)</t>
        </is>
      </c>
      <c r="X1" s="152" t="inlineStr">
        <is>
          <t>% of Cap Used (Net)</t>
        </is>
      </c>
      <c r="Y1" s="152" t="inlineStr">
        <is>
          <t>Worst Intraday DD % of Cap</t>
        </is>
      </c>
    </row>
    <row r="2">
      <c r="A2" s="153" t="n">
        <v>46033</v>
      </c>
      <c r="B2" s="154" t="n">
        <v>1</v>
      </c>
      <c r="C2" s="154">
        <f>TEXT(A2,"dddd")</f>
        <v/>
      </c>
      <c r="D2" s="154" t="inlineStr">
        <is>
          <t>Y</t>
        </is>
      </c>
      <c r="E2" s="207" t="n">
        <v>7175.38</v>
      </c>
      <c r="F2" s="208">
        <f>IF($A2="","",$E2*Summary!$B$8)</f>
        <v/>
      </c>
      <c r="G2" s="208">
        <f>IF($A2="","",F2*Summary!$B$9)</f>
        <v/>
      </c>
      <c r="H2" s="209">
        <f>IF($A2="","",SUMIFS('Raw daily data'!$F:$F,'Raw daily data'!$I:$I,$A2))</f>
        <v/>
      </c>
      <c r="I2" s="209">
        <f>H2</f>
        <v/>
      </c>
      <c r="J2" s="209">
        <f>SUMIF($B$2:$B$41,B2,$H$2:$H$41)</f>
        <v/>
      </c>
      <c r="K2" s="209">
        <f>Summary!$B$6</f>
        <v/>
      </c>
      <c r="L2" s="209">
        <f>J2-K2</f>
        <v/>
      </c>
      <c r="N2">
        <f>IF($A2="","",COUNTIFS('Raw daily data'!$I:$I,$A2))</f>
        <v/>
      </c>
      <c r="O2">
        <f>IF($A2="","",COUNTIFS('Raw daily data'!$I:$I,$A2,'Raw daily data'!$F:$F,"&gt;0"))</f>
        <v/>
      </c>
      <c r="P2">
        <f>IF($A2="","",COUNTIFS('Raw daily data'!$I:$I,$A2,'Raw daily data'!$F:$F,"&lt;0"))</f>
        <v/>
      </c>
      <c r="Q2" s="205">
        <f>IF($A2="","",SUMIFS('Raw daily data'!$F:$F,'Raw daily data'!$I:$I,$A2,'Raw daily data'!$F:$F,"&gt;0"))</f>
        <v/>
      </c>
      <c r="R2" s="205">
        <f>IF($A2="","",ABS(SUMIFS('Raw daily data'!$F:$F,'Raw daily data'!$I:$I,$A2,'Raw daily data'!$F:$F,"&lt;0")))</f>
        <v/>
      </c>
      <c r="S2" s="123">
        <f>IF(N2&gt;0,O2/N2,"")</f>
        <v/>
      </c>
      <c r="T2" s="5">
        <f>IF(R2&gt;0,Q2/ABS(R2),"")</f>
        <v/>
      </c>
      <c r="U2" s="91">
        <f>IF(F2&gt;0,H2/F2,"")</f>
        <v/>
      </c>
      <c r="V2" s="123">
        <f>IF(H2&lt;0,MIN(ABS(H2)/G2,1),0)</f>
        <v/>
      </c>
      <c r="W2" s="205">
        <f>IF($A2="","",_xlfn.MAXIFS('Raw daily data'!$J:$J,'Raw daily data'!$I:$I,$A2))</f>
        <v/>
      </c>
      <c r="X2" s="123">
        <f>IF(W2&gt;=0,0,ABS(W2)/G2)</f>
        <v/>
      </c>
      <c r="Y2" s="123">
        <f>IF($A2="","",ABS(MIN(0,_xlfn.MINIFS('Raw daily data'!$J:$J,'Raw daily data'!$I:$I,$A2)))/G2)</f>
        <v/>
      </c>
    </row>
    <row r="3">
      <c r="A3" s="153" t="n">
        <v>46034</v>
      </c>
      <c r="B3" s="154" t="n">
        <v>1</v>
      </c>
      <c r="C3" s="154">
        <f>TEXT(A3,"dddd")</f>
        <v/>
      </c>
      <c r="D3" s="154" t="inlineStr">
        <is>
          <t>Y</t>
        </is>
      </c>
      <c r="E3" s="207">
        <f>E2+H2</f>
        <v/>
      </c>
      <c r="F3" s="208">
        <f>IF($A3="","",$E3*Summary!$B$8)</f>
        <v/>
      </c>
      <c r="G3" s="208">
        <f>IF($A3="","",F3*Summary!$B$9)</f>
        <v/>
      </c>
      <c r="H3" s="209">
        <f>IF($A3="","",SUMIFS('Raw daily data'!$F:$F,'Raw daily data'!$I:$I,$A3))</f>
        <v/>
      </c>
      <c r="I3" s="209">
        <f>I2+H3</f>
        <v/>
      </c>
      <c r="J3" s="209">
        <f>SUMIF($B$2:$B$41,B3,$H$2:$H$41)</f>
        <v/>
      </c>
      <c r="K3" s="209">
        <f>Summary!$B$6</f>
        <v/>
      </c>
      <c r="L3" s="209">
        <f>J3-K3</f>
        <v/>
      </c>
      <c r="N3">
        <f>IF($A3="","",COUNTIFS('Raw daily data'!$I:$I,$A3))</f>
        <v/>
      </c>
      <c r="O3">
        <f>IF($A3="","",COUNTIFS('Raw daily data'!$I:$I,$A3,'Raw daily data'!$F:$F,"&gt;0"))</f>
        <v/>
      </c>
      <c r="P3">
        <f>IF($A3="","",COUNTIFS('Raw daily data'!$I:$I,$A3,'Raw daily data'!$F:$F,"&lt;0"))</f>
        <v/>
      </c>
      <c r="Q3" s="205">
        <f>IF($A3="","",SUMIFS('Raw daily data'!$F:$F,'Raw daily data'!$I:$I,$A3,'Raw daily data'!$F:$F,"&gt;0"))</f>
        <v/>
      </c>
      <c r="R3" s="205">
        <f>IF($A3="","",ABS(SUMIFS('Raw daily data'!$F:$F,'Raw daily data'!$I:$I,$A3,'Raw daily data'!$F:$F,"&lt;0")))</f>
        <v/>
      </c>
      <c r="S3" s="123">
        <f>IF(N3&gt;0,O3/N3,"")</f>
        <v/>
      </c>
      <c r="T3" s="5">
        <f>IF(R3&gt;0,Q3/ABS(R3),"")</f>
        <v/>
      </c>
      <c r="U3" s="91">
        <f>IF(F3&gt;0,H3/F3,"")</f>
        <v/>
      </c>
      <c r="V3" s="123">
        <f>IF(H3&lt;0,MIN(ABS(H3)/G3,1),0)</f>
        <v/>
      </c>
      <c r="W3" s="205">
        <f>IF($A3="","",_xlfn.MAXIFS('Raw daily data'!$J:$J,'Raw daily data'!$I:$I,$A3))</f>
        <v/>
      </c>
      <c r="X3" s="123">
        <f>IF(W3&gt;=0,0,ABS(W3)/G3)</f>
        <v/>
      </c>
      <c r="Y3" s="123">
        <f>IF($A3="","",ABS(MIN(0,_xlfn.MINIFS('Raw daily data'!$J:$J,'Raw daily data'!$I:$I,$A3)))/G3)</f>
        <v/>
      </c>
    </row>
    <row r="4">
      <c r="A4" s="153" t="n">
        <v>46035</v>
      </c>
      <c r="B4" s="154" t="n">
        <v>1</v>
      </c>
      <c r="C4" s="154">
        <f>TEXT(A4,"dddd")</f>
        <v/>
      </c>
      <c r="D4" s="154" t="inlineStr">
        <is>
          <t>N</t>
        </is>
      </c>
      <c r="E4" s="207">
        <f>E3+H3</f>
        <v/>
      </c>
      <c r="F4" s="208">
        <f>IF($A4="","",$E4*Summary!$B$8)</f>
        <v/>
      </c>
      <c r="G4" s="208">
        <f>IF($A4="","",F4*Summary!$B$9)</f>
        <v/>
      </c>
      <c r="H4" s="209">
        <f>IF($A4="","",SUMIFS('Raw daily data'!$F:$F,'Raw daily data'!$I:$I,$A4))</f>
        <v/>
      </c>
      <c r="I4" s="209">
        <f>I3+H4</f>
        <v/>
      </c>
      <c r="J4" s="209">
        <f>SUMIF($B$2:$B$41,B4,$H$2:$H$41)</f>
        <v/>
      </c>
      <c r="K4" s="209">
        <f>Summary!$B$6</f>
        <v/>
      </c>
      <c r="L4" s="209">
        <f>J4-K4</f>
        <v/>
      </c>
      <c r="N4">
        <f>IF($A4="","",COUNTIFS('Raw daily data'!$I:$I,$A4))</f>
        <v/>
      </c>
      <c r="O4">
        <f>IF($A4="","",COUNTIFS('Raw daily data'!$I:$I,$A4,'Raw daily data'!$F:$F,"&gt;0"))</f>
        <v/>
      </c>
      <c r="P4">
        <f>IF($A4="","",COUNTIFS('Raw daily data'!$I:$I,$A4,'Raw daily data'!$F:$F,"&lt;0"))</f>
        <v/>
      </c>
      <c r="Q4" s="205">
        <f>IF($A4="","",SUMIFS('Raw daily data'!$F:$F,'Raw daily data'!$I:$I,$A4,'Raw daily data'!$F:$F,"&gt;0"))</f>
        <v/>
      </c>
      <c r="R4" s="205">
        <f>IF($A4="","",ABS(SUMIFS('Raw daily data'!$F:$F,'Raw daily data'!$I:$I,$A4,'Raw daily data'!$F:$F,"&lt;0")))</f>
        <v/>
      </c>
      <c r="S4" s="123">
        <f>IF(N4&gt;0,O4/N4,"")</f>
        <v/>
      </c>
      <c r="T4" s="5">
        <f>IF(R4&gt;0,Q4/ABS(R4),"")</f>
        <v/>
      </c>
      <c r="U4" s="91">
        <f>IF(F4&gt;0,H4/F4,"")</f>
        <v/>
      </c>
      <c r="V4" s="123">
        <f>IF(H4&lt;0,MIN(ABS(H4)/G4,1),0)</f>
        <v/>
      </c>
      <c r="W4" s="205">
        <f>IF($A4="","",_xlfn.MAXIFS('Raw daily data'!$J:$J,'Raw daily data'!$I:$I,$A4))</f>
        <v/>
      </c>
      <c r="X4" s="123">
        <f>IF(W4&gt;=0,0,ABS(W4)/G4)</f>
        <v/>
      </c>
      <c r="Y4" s="123">
        <f>IF($A4="","",ABS(MIN(0,_xlfn.MINIFS('Raw daily data'!$J:$J,'Raw daily data'!$I:$I,$A4)))/G4)</f>
        <v/>
      </c>
    </row>
    <row r="5">
      <c r="A5" s="153" t="n">
        <v>46036</v>
      </c>
      <c r="B5" s="154" t="n">
        <v>1</v>
      </c>
      <c r="C5" s="154">
        <f>TEXT(A5,"dddd")</f>
        <v/>
      </c>
      <c r="D5" s="154" t="inlineStr">
        <is>
          <t>N</t>
        </is>
      </c>
      <c r="E5" s="207">
        <f>E4+H4</f>
        <v/>
      </c>
      <c r="F5" s="208">
        <f>IF($A5="","",$E5*Summary!$B$8)</f>
        <v/>
      </c>
      <c r="G5" s="208">
        <f>IF($A5="","",F5*Summary!$B$9)</f>
        <v/>
      </c>
      <c r="H5" s="209">
        <f>IF($A5="","",SUMIFS('Raw daily data'!$F:$F,'Raw daily data'!$I:$I,$A5))</f>
        <v/>
      </c>
      <c r="I5" s="209">
        <f>I4+H5</f>
        <v/>
      </c>
      <c r="J5" s="209">
        <f>SUMIF($B$2:$B$41,B5,$H$2:$H$41)</f>
        <v/>
      </c>
      <c r="K5" s="209">
        <f>Summary!$B$6</f>
        <v/>
      </c>
      <c r="L5" s="209">
        <f>J5-K5</f>
        <v/>
      </c>
      <c r="N5">
        <f>IF($A5="","",COUNTIFS('Raw daily data'!$I:$I,$A5))</f>
        <v/>
      </c>
      <c r="O5">
        <f>IF($A5="","",COUNTIFS('Raw daily data'!$I:$I,$A5,'Raw daily data'!$F:$F,"&gt;0"))</f>
        <v/>
      </c>
      <c r="P5">
        <f>IF($A5="","",COUNTIFS('Raw daily data'!$I:$I,$A5,'Raw daily data'!$F:$F,"&lt;0"))</f>
        <v/>
      </c>
      <c r="Q5" s="205">
        <f>IF($A5="","",SUMIFS('Raw daily data'!$F:$F,'Raw daily data'!$I:$I,$A5,'Raw daily data'!$F:$F,"&gt;0"))</f>
        <v/>
      </c>
      <c r="R5" s="205">
        <f>IF($A5="","",ABS(SUMIFS('Raw daily data'!$F:$F,'Raw daily data'!$I:$I,$A5,'Raw daily data'!$F:$F,"&lt;0")))</f>
        <v/>
      </c>
      <c r="S5" s="123">
        <f>IF(N5&gt;0,O5/N5,"")</f>
        <v/>
      </c>
      <c r="T5" s="5">
        <f>IF(R5&gt;0,Q5/ABS(R5),"")</f>
        <v/>
      </c>
      <c r="U5" s="91">
        <f>IF(F5&gt;0,H5/F5,"")</f>
        <v/>
      </c>
      <c r="V5" s="123">
        <f>IF(H5&lt;0,MIN(ABS(H5)/G5,1),0)</f>
        <v/>
      </c>
      <c r="W5" s="205">
        <f>IF($A5="","",_xlfn.MAXIFS('Raw daily data'!$J:$J,'Raw daily data'!$I:$I,$A5))</f>
        <v/>
      </c>
      <c r="X5" s="123">
        <f>IF(W5&gt;=0,0,ABS(W5)/G5)</f>
        <v/>
      </c>
      <c r="Y5" s="123">
        <f>IF($A5="","",ABS(MIN(0,_xlfn.MINIFS('Raw daily data'!$J:$J,'Raw daily data'!$I:$I,$A5)))/G5)</f>
        <v/>
      </c>
    </row>
    <row r="6">
      <c r="A6" s="153" t="n">
        <v>46037</v>
      </c>
      <c r="B6" s="154" t="n">
        <v>1</v>
      </c>
      <c r="C6" s="154">
        <f>TEXT(A6,"dddd")</f>
        <v/>
      </c>
      <c r="D6" s="154" t="inlineStr">
        <is>
          <t>N</t>
        </is>
      </c>
      <c r="E6" s="207">
        <f>E5+H5</f>
        <v/>
      </c>
      <c r="F6" s="208">
        <f>IF($A6="","",$E6*Summary!$B$8)</f>
        <v/>
      </c>
      <c r="G6" s="208">
        <f>IF($A6="","",F6*Summary!$B$9)</f>
        <v/>
      </c>
      <c r="H6" s="209">
        <f>IF($A6="","",SUMIFS('Raw daily data'!$F:$F,'Raw daily data'!$I:$I,$A6))</f>
        <v/>
      </c>
      <c r="I6" s="209">
        <f>I5+H6</f>
        <v/>
      </c>
      <c r="J6" s="209">
        <f>SUMIF($B$2:$B$41,B6,$H$2:$H$41)</f>
        <v/>
      </c>
      <c r="K6" s="209">
        <f>Summary!$B$6</f>
        <v/>
      </c>
      <c r="L6" s="209">
        <f>J6-K6</f>
        <v/>
      </c>
      <c r="N6">
        <f>IF($A6="","",COUNTIFS('Raw daily data'!$I:$I,$A6))</f>
        <v/>
      </c>
      <c r="O6">
        <f>IF($A6="","",COUNTIFS('Raw daily data'!$I:$I,$A6,'Raw daily data'!$F:$F,"&gt;0"))</f>
        <v/>
      </c>
      <c r="P6">
        <f>IF($A6="","",COUNTIFS('Raw daily data'!$I:$I,$A6,'Raw daily data'!$F:$F,"&lt;0"))</f>
        <v/>
      </c>
      <c r="Q6" s="205">
        <f>IF($A6="","",SUMIFS('Raw daily data'!$F:$F,'Raw daily data'!$I:$I,$A6,'Raw daily data'!$F:$F,"&gt;0"))</f>
        <v/>
      </c>
      <c r="R6" s="205">
        <f>IF($A6="","",ABS(SUMIFS('Raw daily data'!$F:$F,'Raw daily data'!$I:$I,$A6,'Raw daily data'!$F:$F,"&lt;0")))</f>
        <v/>
      </c>
      <c r="S6" s="123">
        <f>IF(N6&gt;0,O6/N6,"")</f>
        <v/>
      </c>
      <c r="T6" s="5">
        <f>IF(R6&gt;0,Q6/ABS(R6),"")</f>
        <v/>
      </c>
      <c r="U6" s="91">
        <f>IF(F6&gt;0,H6/F6,"")</f>
        <v/>
      </c>
      <c r="V6" s="123">
        <f>IF(H6&lt;0,MIN(ABS(H6)/G6,1),0)</f>
        <v/>
      </c>
      <c r="W6" s="205">
        <f>IF($A6="","",_xlfn.MAXIFS('Raw daily data'!$J:$J,'Raw daily data'!$I:$I,$A6))</f>
        <v/>
      </c>
      <c r="X6" s="123">
        <f>IF(W6&gt;=0,0,ABS(W6)/G6)</f>
        <v/>
      </c>
      <c r="Y6" s="123">
        <f>IF($A6="","",ABS(MIN(0,_xlfn.MINIFS('Raw daily data'!$J:$J,'Raw daily data'!$I:$I,$A6)))/G6)</f>
        <v/>
      </c>
    </row>
    <row r="7">
      <c r="A7" s="153" t="n">
        <v>46038</v>
      </c>
      <c r="B7" s="154" t="n">
        <v>1</v>
      </c>
      <c r="C7" s="154">
        <f>TEXT(A7,"dddd")</f>
        <v/>
      </c>
      <c r="D7" s="154" t="inlineStr">
        <is>
          <t>N</t>
        </is>
      </c>
      <c r="E7" s="210">
        <f>E6+H6</f>
        <v/>
      </c>
      <c r="F7" s="208">
        <f>IF($A7="","",$E7*Summary!$B$8)</f>
        <v/>
      </c>
      <c r="G7" s="208">
        <f>IF($A7="","",F7*Summary!$B$9)</f>
        <v/>
      </c>
      <c r="H7" s="209">
        <f>IF($A7="","",SUMIFS('Raw daily data'!$F:$F,'Raw daily data'!$I:$I,$A7))</f>
        <v/>
      </c>
      <c r="I7" s="209">
        <f>I6+H7</f>
        <v/>
      </c>
      <c r="J7" s="209">
        <f>SUMIF($B$2:$B$41,B7,$H$2:$H$41)</f>
        <v/>
      </c>
      <c r="K7" s="209">
        <f>Summary!$B$6</f>
        <v/>
      </c>
      <c r="L7" s="209">
        <f>J7-K7</f>
        <v/>
      </c>
      <c r="N7">
        <f>IF($A7="","",COUNTIFS('Raw daily data'!$I:$I,$A7))</f>
        <v/>
      </c>
      <c r="O7">
        <f>IF($A7="","",COUNTIFS('Raw daily data'!$I:$I,$A7,'Raw daily data'!$F:$F,"&gt;0"))</f>
        <v/>
      </c>
      <c r="P7">
        <f>IF($A7="","",COUNTIFS('Raw daily data'!$I:$I,$A7,'Raw daily data'!$F:$F,"&lt;0"))</f>
        <v/>
      </c>
      <c r="Q7" s="205">
        <f>IF($A7="","",SUMIFS('Raw daily data'!$F:$F,'Raw daily data'!$I:$I,$A7,'Raw daily data'!$F:$F,"&gt;0"))</f>
        <v/>
      </c>
      <c r="R7" s="205">
        <f>IF($A7="","",ABS(SUMIFS('Raw daily data'!$F:$F,'Raw daily data'!$I:$I,$A7,'Raw daily data'!$F:$F,"&lt;0")))</f>
        <v/>
      </c>
      <c r="S7" s="123">
        <f>IF(N7&gt;0,O7/N7,"")</f>
        <v/>
      </c>
      <c r="T7" s="5">
        <f>IF(R7&gt;0,Q7/ABS(R7),"")</f>
        <v/>
      </c>
      <c r="U7" s="91">
        <f>IF(F7&gt;0,H7/F7,"")</f>
        <v/>
      </c>
      <c r="V7" s="123">
        <f>IF(H7&lt;0,MIN(ABS(H7)/G7,1),0)</f>
        <v/>
      </c>
      <c r="W7" s="205">
        <f>IF($A7="","",_xlfn.MAXIFS('Raw daily data'!$J:$J,'Raw daily data'!$I:$I,$A7))</f>
        <v/>
      </c>
      <c r="X7" s="123">
        <f>IF(W7&gt;=0,0,ABS(W7)/G7)</f>
        <v/>
      </c>
      <c r="Y7" s="123">
        <f>IF($A7="","",ABS(MIN(0,_xlfn.MINIFS('Raw daily data'!$J:$J,'Raw daily data'!$I:$I,$A7)))/G7)</f>
        <v/>
      </c>
    </row>
    <row r="8">
      <c r="A8" s="153" t="n">
        <v>46039</v>
      </c>
      <c r="B8" s="154" t="n">
        <v>1</v>
      </c>
      <c r="C8" s="154">
        <f>TEXT(A8,"dddd")</f>
        <v/>
      </c>
      <c r="D8" s="154" t="inlineStr">
        <is>
          <t>N</t>
        </is>
      </c>
      <c r="E8" s="210">
        <f>E7+H7</f>
        <v/>
      </c>
      <c r="F8" s="208">
        <f>IF($A8="","",$E8*Summary!$B$8)</f>
        <v/>
      </c>
      <c r="G8" s="208">
        <f>IF($A8="","",F8*Summary!$B$9)</f>
        <v/>
      </c>
      <c r="H8" s="209">
        <f>IF($A8="","",SUMIFS('Raw daily data'!$F:$F,'Raw daily data'!$I:$I,$A8))</f>
        <v/>
      </c>
      <c r="I8" s="209">
        <f>I7+H8</f>
        <v/>
      </c>
      <c r="J8" s="209">
        <f>SUMIF($B$2:$B$41,B8,$H$2:$H$41)</f>
        <v/>
      </c>
      <c r="K8" s="209">
        <f>Summary!$B$6</f>
        <v/>
      </c>
      <c r="L8" s="209">
        <f>J8-K8</f>
        <v/>
      </c>
      <c r="N8">
        <f>IF($A8="","",COUNTIFS('Raw daily data'!$I:$I,$A8))</f>
        <v/>
      </c>
      <c r="O8">
        <f>IF($A8="","",COUNTIFS('Raw daily data'!$I:$I,$A8,'Raw daily data'!$F:$F,"&gt;0"))</f>
        <v/>
      </c>
      <c r="P8">
        <f>IF($A8="","",COUNTIFS('Raw daily data'!$I:$I,$A8,'Raw daily data'!$F:$F,"&lt;0"))</f>
        <v/>
      </c>
      <c r="Q8" s="205">
        <f>IF($A8="","",SUMIFS('Raw daily data'!$F:$F,'Raw daily data'!$I:$I,$A8,'Raw daily data'!$F:$F,"&gt;0"))</f>
        <v/>
      </c>
      <c r="R8" s="205">
        <f>IF($A8="","",ABS(SUMIFS('Raw daily data'!$F:$F,'Raw daily data'!$I:$I,$A8,'Raw daily data'!$F:$F,"&lt;0")))</f>
        <v/>
      </c>
      <c r="S8" s="123">
        <f>IF(N8&gt;0,O8/N8,"")</f>
        <v/>
      </c>
      <c r="T8" s="5">
        <f>IF(R8&gt;0,Q8/ABS(R8),"")</f>
        <v/>
      </c>
      <c r="U8" s="91">
        <f>IF(F8&gt;0,H8/F8,"")</f>
        <v/>
      </c>
      <c r="V8" s="123">
        <f>IF(H8&lt;0,MIN(ABS(H8)/G8,1),0)</f>
        <v/>
      </c>
      <c r="W8" s="205">
        <f>IF($A8="","",_xlfn.MAXIFS('Raw daily data'!$J:$J,'Raw daily data'!$I:$I,$A8))</f>
        <v/>
      </c>
      <c r="X8" s="123">
        <f>IF(W8&gt;=0,0,ABS(W8)/G8)</f>
        <v/>
      </c>
      <c r="Y8" s="123">
        <f>IF($A8="","",ABS(MIN(0,_xlfn.MINIFS('Raw daily data'!$J:$J,'Raw daily data'!$I:$I,$A8)))/G8)</f>
        <v/>
      </c>
    </row>
    <row r="9">
      <c r="A9" s="153" t="n">
        <v>46040</v>
      </c>
      <c r="B9" s="154" t="n">
        <v>2</v>
      </c>
      <c r="C9" s="154">
        <f>TEXT(A9,"dddd")</f>
        <v/>
      </c>
      <c r="D9" s="154" t="inlineStr">
        <is>
          <t>N</t>
        </is>
      </c>
      <c r="E9" s="210">
        <f>E8+H8</f>
        <v/>
      </c>
      <c r="F9" s="208">
        <f>IF($A9="","",$E9*Summary!$B$8)</f>
        <v/>
      </c>
      <c r="G9" s="208">
        <f>IF($A9="","",F9*Summary!$B$9)</f>
        <v/>
      </c>
      <c r="H9" s="209">
        <f>IF($A9="","",SUMIFS('Raw daily data'!$F:$F,'Raw daily data'!$I:$I,$A9))</f>
        <v/>
      </c>
      <c r="I9" s="209">
        <f>I8+H9</f>
        <v/>
      </c>
      <c r="J9" s="209">
        <f>SUMIF($B$2:$B$41,B9,$H$2:$H$41)</f>
        <v/>
      </c>
      <c r="K9" s="209">
        <f>Summary!$B$6</f>
        <v/>
      </c>
      <c r="L9" s="209">
        <f>J9-K9</f>
        <v/>
      </c>
      <c r="N9">
        <f>IF($A9="","",COUNTIFS('Raw daily data'!$I:$I,$A9))</f>
        <v/>
      </c>
      <c r="O9">
        <f>IF($A9="","",COUNTIFS('Raw daily data'!$I:$I,$A9,'Raw daily data'!$F:$F,"&gt;0"))</f>
        <v/>
      </c>
      <c r="P9">
        <f>IF($A9="","",COUNTIFS('Raw daily data'!$I:$I,$A9,'Raw daily data'!$F:$F,"&lt;0"))</f>
        <v/>
      </c>
      <c r="Q9" s="205">
        <f>IF($A9="","",SUMIFS('Raw daily data'!$F:$F,'Raw daily data'!$I:$I,$A9,'Raw daily data'!$F:$F,"&gt;0"))</f>
        <v/>
      </c>
      <c r="R9" s="205">
        <f>IF($A9="","",ABS(SUMIFS('Raw daily data'!$F:$F,'Raw daily data'!$I:$I,$A9,'Raw daily data'!$F:$F,"&lt;0")))</f>
        <v/>
      </c>
      <c r="S9" s="123">
        <f>IF(N9&gt;0,O9/N9,"")</f>
        <v/>
      </c>
      <c r="T9" s="5">
        <f>IF(R9&gt;0,Q9/ABS(R9),"")</f>
        <v/>
      </c>
      <c r="U9" s="91">
        <f>IF(F9&gt;0,H9/F9,"")</f>
        <v/>
      </c>
      <c r="V9" s="123">
        <f>IF(H9&lt;0,MIN(ABS(H9)/G9,1),0)</f>
        <v/>
      </c>
      <c r="W9" s="205">
        <f>IF($A9="","",_xlfn.MAXIFS('Raw daily data'!$J:$J,'Raw daily data'!$I:$I,$A9))</f>
        <v/>
      </c>
      <c r="X9" s="123">
        <f>IF(W9&gt;=0,0,ABS(W9)/G9)</f>
        <v/>
      </c>
      <c r="Y9" s="123">
        <f>IF($A9="","",ABS(MIN(0,_xlfn.MINIFS('Raw daily data'!$J:$J,'Raw daily data'!$I:$I,$A9)))/G9)</f>
        <v/>
      </c>
    </row>
    <row r="10">
      <c r="A10" s="153" t="n">
        <v>46041</v>
      </c>
      <c r="B10" s="154" t="n">
        <v>2</v>
      </c>
      <c r="C10" s="154">
        <f>TEXT(A10,"dddd")</f>
        <v/>
      </c>
      <c r="D10" s="154" t="n"/>
      <c r="E10" s="210">
        <f>E9+H9</f>
        <v/>
      </c>
      <c r="F10" s="208">
        <f>IF($A10="","",$E10*Summary!$B$8)</f>
        <v/>
      </c>
      <c r="G10" s="208">
        <f>IF($A10="","",F10*Summary!$B$9)</f>
        <v/>
      </c>
      <c r="H10" s="209">
        <f>IF($A10="","",SUMIFS('Raw daily data'!$F:$F,'Raw daily data'!$I:$I,$A10))</f>
        <v/>
      </c>
      <c r="I10" s="209">
        <f>I9+H10</f>
        <v/>
      </c>
      <c r="J10" s="209">
        <f>SUMIF($B$2:$B$41,B10,$H$2:$H$41)</f>
        <v/>
      </c>
      <c r="K10" s="209">
        <f>Summary!$B$6</f>
        <v/>
      </c>
      <c r="L10" s="209">
        <f>J10-K10</f>
        <v/>
      </c>
      <c r="N10">
        <f>IF($A10="","",COUNTIFS('Raw daily data'!$I:$I,$A10))</f>
        <v/>
      </c>
      <c r="O10">
        <f>IF($A10="","",COUNTIFS('Raw daily data'!$I:$I,$A10,'Raw daily data'!$F:$F,"&gt;0"))</f>
        <v/>
      </c>
      <c r="P10">
        <f>IF($A10="","",COUNTIFS('Raw daily data'!$I:$I,$A10,'Raw daily data'!$F:$F,"&lt;0"))</f>
        <v/>
      </c>
      <c r="Q10" s="205">
        <f>IF($A10="","",SUMIFS('Raw daily data'!$F:$F,'Raw daily data'!$I:$I,$A10,'Raw daily data'!$F:$F,"&gt;0"))</f>
        <v/>
      </c>
      <c r="R10" s="205">
        <f>IF($A10="","",ABS(SUMIFS('Raw daily data'!$F:$F,'Raw daily data'!$I:$I,$A10,'Raw daily data'!$F:$F,"&lt;0")))</f>
        <v/>
      </c>
      <c r="S10" s="123">
        <f>IF(N10&gt;0,O10/N10,"")</f>
        <v/>
      </c>
      <c r="T10" s="5">
        <f>IF(R10&gt;0,Q10/ABS(R10),"")</f>
        <v/>
      </c>
      <c r="U10" s="91">
        <f>IF(F10&gt;0,H10/F10,"")</f>
        <v/>
      </c>
      <c r="V10" s="123">
        <f>IF(H10&lt;0,MIN(ABS(H10)/G10,1),0)</f>
        <v/>
      </c>
      <c r="W10" s="205">
        <f>IF($A10="","",_xlfn.MAXIFS('Raw daily data'!$J:$J,'Raw daily data'!$I:$I,$A10))</f>
        <v/>
      </c>
      <c r="X10" s="123">
        <f>IF(W10&gt;=0,0,ABS(W10)/G10)</f>
        <v/>
      </c>
      <c r="Y10" s="123">
        <f>IF($A10="","",ABS(MIN(0,_xlfn.MINIFS('Raw daily data'!$J:$J,'Raw daily data'!$I:$I,$A10)))/G10)</f>
        <v/>
      </c>
    </row>
    <row r="11">
      <c r="A11" s="153" t="n">
        <v>46042</v>
      </c>
      <c r="B11" s="154" t="n">
        <v>2</v>
      </c>
      <c r="C11" s="154">
        <f>TEXT(A11,"dddd")</f>
        <v/>
      </c>
      <c r="D11" s="154" t="n"/>
      <c r="E11" s="210">
        <f>E10+H10</f>
        <v/>
      </c>
      <c r="F11" s="208">
        <f>IF($A11="","",$E11*Summary!$B$8)</f>
        <v/>
      </c>
      <c r="G11" s="208">
        <f>IF($A11="","",F11*Summary!$B$9)</f>
        <v/>
      </c>
      <c r="H11" s="209">
        <f>IF($A11="","",SUMIFS('Raw daily data'!$F:$F,'Raw daily data'!$I:$I,$A11))</f>
        <v/>
      </c>
      <c r="I11" s="209">
        <f>I10+H11</f>
        <v/>
      </c>
      <c r="J11" s="209">
        <f>SUMIF($B$2:$B$41,B11,$H$2:$H$41)</f>
        <v/>
      </c>
      <c r="K11" s="209">
        <f>Summary!$B$6</f>
        <v/>
      </c>
      <c r="L11" s="209">
        <f>J11-K11</f>
        <v/>
      </c>
      <c r="N11">
        <f>IF($A11="","",COUNTIFS('Raw daily data'!$I:$I,$A11))</f>
        <v/>
      </c>
      <c r="O11">
        <f>IF($A11="","",COUNTIFS('Raw daily data'!$I:$I,$A11,'Raw daily data'!$F:$F,"&gt;0"))</f>
        <v/>
      </c>
      <c r="P11">
        <f>IF($A11="","",COUNTIFS('Raw daily data'!$I:$I,$A11,'Raw daily data'!$F:$F,"&lt;0"))</f>
        <v/>
      </c>
      <c r="Q11" s="205">
        <f>IF($A11="","",SUMIFS('Raw daily data'!$F:$F,'Raw daily data'!$I:$I,$A11,'Raw daily data'!$F:$F,"&gt;0"))</f>
        <v/>
      </c>
      <c r="R11" s="205">
        <f>IF($A11="","",ABS(SUMIFS('Raw daily data'!$F:$F,'Raw daily data'!$I:$I,$A11,'Raw daily data'!$F:$F,"&lt;0")))</f>
        <v/>
      </c>
      <c r="S11" s="123">
        <f>IF(N11&gt;0,O11/N11,"")</f>
        <v/>
      </c>
      <c r="T11" s="5">
        <f>IF(R11&gt;0,Q11/ABS(R11),"")</f>
        <v/>
      </c>
      <c r="U11" s="91">
        <f>IF(F11&gt;0,H11/F11,"")</f>
        <v/>
      </c>
      <c r="V11" s="123">
        <f>IF(H11&lt;0,MIN(ABS(H11)/G11,1),0)</f>
        <v/>
      </c>
      <c r="W11" s="205">
        <f>IF($A11="","",_xlfn.MAXIFS('Raw daily data'!$J:$J,'Raw daily data'!$I:$I,$A11))</f>
        <v/>
      </c>
      <c r="X11" s="123">
        <f>IF(W11&gt;=0,0,ABS(W11)/G11)</f>
        <v/>
      </c>
      <c r="Y11" s="123">
        <f>IF($A11="","",ABS(MIN(0,_xlfn.MINIFS('Raw daily data'!$J:$J,'Raw daily data'!$I:$I,$A11)))/G11)</f>
        <v/>
      </c>
    </row>
    <row r="12">
      <c r="A12" s="153" t="n">
        <v>46043</v>
      </c>
      <c r="B12" s="154" t="n">
        <v>2</v>
      </c>
      <c r="C12" s="154">
        <f>TEXT(A12,"dddd")</f>
        <v/>
      </c>
      <c r="D12" s="154" t="n"/>
      <c r="E12" s="210">
        <f>E11+H11</f>
        <v/>
      </c>
      <c r="F12" s="208">
        <f>IF($A12="","",$E12*Summary!$B$8)</f>
        <v/>
      </c>
      <c r="G12" s="208">
        <f>IF($A12="","",F12*Summary!$B$9)</f>
        <v/>
      </c>
      <c r="H12" s="209">
        <f>IF($A12="","",SUMIFS('Raw daily data'!$F:$F,'Raw daily data'!$I:$I,$A12))</f>
        <v/>
      </c>
      <c r="I12" s="209">
        <f>I11+H12</f>
        <v/>
      </c>
      <c r="J12" s="209">
        <f>SUMIF($B$2:$B$41,B12,$H$2:$H$41)</f>
        <v/>
      </c>
      <c r="K12" s="209">
        <f>Summary!$B$6</f>
        <v/>
      </c>
      <c r="L12" s="209">
        <f>J12-K12</f>
        <v/>
      </c>
      <c r="N12">
        <f>IF($A12="","",COUNTIFS('Raw daily data'!$I:$I,$A12))</f>
        <v/>
      </c>
      <c r="O12">
        <f>IF($A12="","",COUNTIFS('Raw daily data'!$I:$I,$A12,'Raw daily data'!$F:$F,"&gt;0"))</f>
        <v/>
      </c>
      <c r="P12">
        <f>IF($A12="","",COUNTIFS('Raw daily data'!$I:$I,$A12,'Raw daily data'!$F:$F,"&lt;0"))</f>
        <v/>
      </c>
      <c r="Q12" s="205">
        <f>IF($A12="","",SUMIFS('Raw daily data'!$F:$F,'Raw daily data'!$I:$I,$A12,'Raw daily data'!$F:$F,"&gt;0"))</f>
        <v/>
      </c>
      <c r="R12" s="205">
        <f>IF($A12="","",ABS(SUMIFS('Raw daily data'!$F:$F,'Raw daily data'!$I:$I,$A12,'Raw daily data'!$F:$F,"&lt;0")))</f>
        <v/>
      </c>
      <c r="S12" s="123">
        <f>IF(N12&gt;0,O12/N12,"")</f>
        <v/>
      </c>
      <c r="T12" s="5">
        <f>IF(R12&gt;0,Q12/ABS(R12),"")</f>
        <v/>
      </c>
      <c r="U12" s="91">
        <f>IF(F12&gt;0,H12/F12,"")</f>
        <v/>
      </c>
      <c r="V12" s="123">
        <f>IF(H12&lt;0,MIN(ABS(H12)/G12,1),0)</f>
        <v/>
      </c>
      <c r="W12" s="205">
        <f>IF($A12="","",_xlfn.MAXIFS('Raw daily data'!$J:$J,'Raw daily data'!$I:$I,$A12))</f>
        <v/>
      </c>
      <c r="X12" s="123">
        <f>IF(W12&gt;=0,0,ABS(W12)/G12)</f>
        <v/>
      </c>
      <c r="Y12" s="123">
        <f>IF($A12="","",ABS(MIN(0,_xlfn.MINIFS('Raw daily data'!$J:$J,'Raw daily data'!$I:$I,$A12)))/G12)</f>
        <v/>
      </c>
    </row>
    <row r="13">
      <c r="A13" s="153" t="n">
        <v>46044</v>
      </c>
      <c r="B13" s="154" t="n">
        <v>2</v>
      </c>
      <c r="C13" s="154">
        <f>TEXT(A13,"dddd")</f>
        <v/>
      </c>
      <c r="D13" s="154" t="n"/>
      <c r="E13" s="210">
        <f>E12+H12</f>
        <v/>
      </c>
      <c r="F13" s="208">
        <f>IF($A13="","",$E13*Summary!$B$8)</f>
        <v/>
      </c>
      <c r="G13" s="208">
        <f>IF($A13="","",F13*Summary!$B$9)</f>
        <v/>
      </c>
      <c r="H13" s="209">
        <f>IF($A13="","",SUMIFS('Raw daily data'!$F:$F,'Raw daily data'!$I:$I,$A13))</f>
        <v/>
      </c>
      <c r="I13" s="209">
        <f>I12+H13</f>
        <v/>
      </c>
      <c r="J13" s="209">
        <f>SUMIF($B$2:$B$41,B13,$H$2:$H$41)</f>
        <v/>
      </c>
      <c r="K13" s="209">
        <f>Summary!$B$6</f>
        <v/>
      </c>
      <c r="L13" s="209">
        <f>J13-K13</f>
        <v/>
      </c>
      <c r="N13">
        <f>IF($A13="","",COUNTIFS('Raw daily data'!$I:$I,$A13))</f>
        <v/>
      </c>
      <c r="O13">
        <f>IF($A13="","",COUNTIFS('Raw daily data'!$I:$I,$A13,'Raw daily data'!$F:$F,"&gt;0"))</f>
        <v/>
      </c>
      <c r="P13">
        <f>IF($A13="","",COUNTIFS('Raw daily data'!$I:$I,$A13,'Raw daily data'!$F:$F,"&lt;0"))</f>
        <v/>
      </c>
      <c r="Q13" s="205">
        <f>IF($A13="","",SUMIFS('Raw daily data'!$F:$F,'Raw daily data'!$I:$I,$A13,'Raw daily data'!$F:$F,"&gt;0"))</f>
        <v/>
      </c>
      <c r="R13" s="205">
        <f>IF($A13="","",ABS(SUMIFS('Raw daily data'!$F:$F,'Raw daily data'!$I:$I,$A13,'Raw daily data'!$F:$F,"&lt;0")))</f>
        <v/>
      </c>
      <c r="S13" s="123">
        <f>IF(N13&gt;0,O13/N13,"")</f>
        <v/>
      </c>
      <c r="T13" s="5">
        <f>IF(R13&gt;0,Q13/ABS(R13),"")</f>
        <v/>
      </c>
      <c r="U13" s="91">
        <f>IF(F13&gt;0,H13/F13,"")</f>
        <v/>
      </c>
      <c r="V13" s="123">
        <f>IF(H13&lt;0,MIN(ABS(H13)/G13,1),0)</f>
        <v/>
      </c>
      <c r="W13" s="205">
        <f>IF($A13="","",_xlfn.MAXIFS('Raw daily data'!$J:$J,'Raw daily data'!$I:$I,$A13))</f>
        <v/>
      </c>
      <c r="X13" s="123">
        <f>IF(W13&gt;=0,0,ABS(W13)/G13)</f>
        <v/>
      </c>
      <c r="Y13" s="123">
        <f>IF($A13="","",ABS(MIN(0,_xlfn.MINIFS('Raw daily data'!$J:$J,'Raw daily data'!$I:$I,$A13)))/G13)</f>
        <v/>
      </c>
    </row>
    <row r="14">
      <c r="A14" s="153" t="n">
        <v>46045</v>
      </c>
      <c r="B14" s="154" t="n">
        <v>2</v>
      </c>
      <c r="C14" s="154">
        <f>TEXT(A14,"dddd")</f>
        <v/>
      </c>
      <c r="D14" s="154" t="n"/>
      <c r="E14" s="210">
        <f>E13+H13</f>
        <v/>
      </c>
      <c r="F14" s="208">
        <f>IF($A14="","",$E14*Summary!$B$8)</f>
        <v/>
      </c>
      <c r="G14" s="208">
        <f>IF($A14="","",F14*Summary!$B$9)</f>
        <v/>
      </c>
      <c r="H14" s="209">
        <f>IF($A14="","",SUMIFS('Raw daily data'!$F:$F,'Raw daily data'!$I:$I,$A14))</f>
        <v/>
      </c>
      <c r="I14" s="209">
        <f>I13+H14</f>
        <v/>
      </c>
      <c r="J14" s="209">
        <f>SUMIF($B$2:$B$41,B14,$H$2:$H$41)</f>
        <v/>
      </c>
      <c r="K14" s="209">
        <f>Summary!$B$6</f>
        <v/>
      </c>
      <c r="L14" s="209">
        <f>J14-K14</f>
        <v/>
      </c>
      <c r="N14">
        <f>IF($A14="","",COUNTIFS('Raw daily data'!$I:$I,$A14))</f>
        <v/>
      </c>
      <c r="O14">
        <f>IF($A14="","",COUNTIFS('Raw daily data'!$I:$I,$A14,'Raw daily data'!$F:$F,"&gt;0"))</f>
        <v/>
      </c>
      <c r="P14">
        <f>IF($A14="","",COUNTIFS('Raw daily data'!$I:$I,$A14,'Raw daily data'!$F:$F,"&lt;0"))</f>
        <v/>
      </c>
      <c r="Q14" s="205">
        <f>IF($A14="","",SUMIFS('Raw daily data'!$F:$F,'Raw daily data'!$I:$I,$A14,'Raw daily data'!$F:$F,"&gt;0"))</f>
        <v/>
      </c>
      <c r="R14" s="205">
        <f>IF($A14="","",ABS(SUMIFS('Raw daily data'!$F:$F,'Raw daily data'!$I:$I,$A14,'Raw daily data'!$F:$F,"&lt;0")))</f>
        <v/>
      </c>
      <c r="S14" s="123">
        <f>IF(N14&gt;0,O14/N14,"")</f>
        <v/>
      </c>
      <c r="T14" s="5">
        <f>IF(R14&gt;0,Q14/ABS(R14),"")</f>
        <v/>
      </c>
      <c r="U14" s="91">
        <f>IF(F14&gt;0,H14/F14,"")</f>
        <v/>
      </c>
      <c r="V14" s="123">
        <f>IF(H14&lt;0,MIN(ABS(H14)/G14,1),0)</f>
        <v/>
      </c>
      <c r="W14" s="205">
        <f>IF($A14="","",_xlfn.MAXIFS('Raw daily data'!$J:$J,'Raw daily data'!$I:$I,$A14))</f>
        <v/>
      </c>
      <c r="X14" s="123">
        <f>IF(W14&gt;=0,0,ABS(W14)/G14)</f>
        <v/>
      </c>
      <c r="Y14" s="123">
        <f>IF($A14="","",ABS(MIN(0,_xlfn.MINIFS('Raw daily data'!$J:$J,'Raw daily data'!$I:$I,$A14)))/G14)</f>
        <v/>
      </c>
    </row>
    <row r="15">
      <c r="A15" s="153" t="n">
        <v>46046</v>
      </c>
      <c r="B15" s="154" t="n">
        <v>2</v>
      </c>
      <c r="C15" s="154">
        <f>TEXT(A15,"dddd")</f>
        <v/>
      </c>
      <c r="D15" s="154" t="inlineStr">
        <is>
          <t>N</t>
        </is>
      </c>
      <c r="E15" s="210">
        <f>E14+H14</f>
        <v/>
      </c>
      <c r="F15" s="208">
        <f>IF($A15="","",$E15*Summary!$B$8)</f>
        <v/>
      </c>
      <c r="G15" s="208">
        <f>IF($A15="","",F15*Summary!$B$9)</f>
        <v/>
      </c>
      <c r="H15" s="209">
        <f>IF($A15="","",SUMIFS('Raw daily data'!$F:$F,'Raw daily data'!$I:$I,$A15))</f>
        <v/>
      </c>
      <c r="I15" s="209">
        <f>I14+H15</f>
        <v/>
      </c>
      <c r="J15" s="209">
        <f>SUMIF($B$2:$B$41,B15,$H$2:$H$41)</f>
        <v/>
      </c>
      <c r="K15" s="209">
        <f>Summary!$B$6</f>
        <v/>
      </c>
      <c r="L15" s="209">
        <f>J15-K15</f>
        <v/>
      </c>
      <c r="N15">
        <f>IF($A15="","",COUNTIFS('Raw daily data'!$I:$I,$A15))</f>
        <v/>
      </c>
      <c r="O15">
        <f>IF($A15="","",COUNTIFS('Raw daily data'!$I:$I,$A15,'Raw daily data'!$F:$F,"&gt;0"))</f>
        <v/>
      </c>
      <c r="P15">
        <f>IF($A15="","",COUNTIFS('Raw daily data'!$I:$I,$A15,'Raw daily data'!$F:$F,"&lt;0"))</f>
        <v/>
      </c>
      <c r="Q15" s="205">
        <f>IF($A15="","",SUMIFS('Raw daily data'!$F:$F,'Raw daily data'!$I:$I,$A15,'Raw daily data'!$F:$F,"&gt;0"))</f>
        <v/>
      </c>
      <c r="R15" s="205">
        <f>IF($A15="","",ABS(SUMIFS('Raw daily data'!$F:$F,'Raw daily data'!$I:$I,$A15,'Raw daily data'!$F:$F,"&lt;0")))</f>
        <v/>
      </c>
      <c r="S15" s="123">
        <f>IF(N15&gt;0,O15/N15,"")</f>
        <v/>
      </c>
      <c r="T15" s="5">
        <f>IF(R15&gt;0,Q15/ABS(R15),"")</f>
        <v/>
      </c>
      <c r="U15" s="91">
        <f>IF(F15&gt;0,H15/F15,"")</f>
        <v/>
      </c>
      <c r="V15" s="123">
        <f>IF(H15&lt;0,MIN(ABS(H15)/G15,1),0)</f>
        <v/>
      </c>
      <c r="W15" s="205">
        <f>IF($A15="","",_xlfn.MAXIFS('Raw daily data'!$J:$J,'Raw daily data'!$I:$I,$A15))</f>
        <v/>
      </c>
      <c r="X15" s="123">
        <f>IF(W15&gt;=0,0,ABS(W15)/G15)</f>
        <v/>
      </c>
      <c r="Y15" s="123">
        <f>IF($A15="","",ABS(MIN(0,_xlfn.MINIFS('Raw daily data'!$J:$J,'Raw daily data'!$I:$I,$A15)))/G15)</f>
        <v/>
      </c>
    </row>
    <row r="16">
      <c r="A16" s="153" t="n">
        <v>46047</v>
      </c>
      <c r="B16" s="154" t="n">
        <v>3</v>
      </c>
      <c r="C16" s="154">
        <f>TEXT(A16,"dddd")</f>
        <v/>
      </c>
      <c r="D16" s="154" t="inlineStr">
        <is>
          <t>N</t>
        </is>
      </c>
      <c r="E16" s="210">
        <f>E15+H15</f>
        <v/>
      </c>
      <c r="F16" s="208">
        <f>IF($A16="","",$E16*Summary!$B$8)</f>
        <v/>
      </c>
      <c r="G16" s="208">
        <f>IF($A16="","",F16*Summary!$B$9)</f>
        <v/>
      </c>
      <c r="H16" s="209">
        <f>IF($A16="","",SUMIFS('Raw daily data'!$F:$F,'Raw daily data'!$I:$I,$A16))</f>
        <v/>
      </c>
      <c r="I16" s="209">
        <f>I15+H16</f>
        <v/>
      </c>
      <c r="J16" s="209">
        <f>SUMIF($B$2:$B$41,B16,$H$2:$H$41)</f>
        <v/>
      </c>
      <c r="K16" s="209">
        <f>Summary!$B$6</f>
        <v/>
      </c>
      <c r="L16" s="209">
        <f>J16-K16</f>
        <v/>
      </c>
      <c r="N16">
        <f>IF($A16="","",COUNTIFS('Raw daily data'!$I:$I,$A16))</f>
        <v/>
      </c>
      <c r="O16">
        <f>IF($A16="","",COUNTIFS('Raw daily data'!$I:$I,$A16,'Raw daily data'!$F:$F,"&gt;0"))</f>
        <v/>
      </c>
      <c r="P16">
        <f>IF($A16="","",COUNTIFS('Raw daily data'!$I:$I,$A16,'Raw daily data'!$F:$F,"&lt;0"))</f>
        <v/>
      </c>
      <c r="Q16" s="205">
        <f>IF($A16="","",SUMIFS('Raw daily data'!$F:$F,'Raw daily data'!$I:$I,$A16,'Raw daily data'!$F:$F,"&gt;0"))</f>
        <v/>
      </c>
      <c r="R16" s="205">
        <f>IF($A16="","",ABS(SUMIFS('Raw daily data'!$F:$F,'Raw daily data'!$I:$I,$A16,'Raw daily data'!$F:$F,"&lt;0")))</f>
        <v/>
      </c>
      <c r="S16" s="123">
        <f>IF(N16&gt;0,O16/N16,"")</f>
        <v/>
      </c>
      <c r="T16" s="5">
        <f>IF(R16&gt;0,Q16/ABS(R16),"")</f>
        <v/>
      </c>
      <c r="U16" s="91">
        <f>IF(F16&gt;0,H16/F16,"")</f>
        <v/>
      </c>
      <c r="V16" s="123">
        <f>IF(H16&lt;0,MIN(ABS(H16)/G16,1),0)</f>
        <v/>
      </c>
      <c r="W16" s="205">
        <f>IF($A16="","",_xlfn.MAXIFS('Raw daily data'!$J:$J,'Raw daily data'!$I:$I,$A16))</f>
        <v/>
      </c>
      <c r="X16" s="123">
        <f>IF(W16&gt;=0,0,ABS(W16)/G16)</f>
        <v/>
      </c>
      <c r="Y16" s="123">
        <f>IF($A16="","",ABS(MIN(0,_xlfn.MINIFS('Raw daily data'!$J:$J,'Raw daily data'!$I:$I,$A16)))/G16)</f>
        <v/>
      </c>
    </row>
    <row r="17">
      <c r="A17" s="153" t="n">
        <v>46048</v>
      </c>
      <c r="B17" s="154" t="n">
        <v>3</v>
      </c>
      <c r="C17" s="154">
        <f>TEXT(A17,"dddd")</f>
        <v/>
      </c>
      <c r="D17" s="154" t="n"/>
      <c r="E17" s="210">
        <f>E16+H16</f>
        <v/>
      </c>
      <c r="F17" s="208">
        <f>IF($A17="","",$E17*Summary!$B$8)</f>
        <v/>
      </c>
      <c r="G17" s="208">
        <f>IF($A17="","",F17*Summary!$B$9)</f>
        <v/>
      </c>
      <c r="H17" s="209">
        <f>IF($A17="","",SUMIFS('Raw daily data'!$F:$F,'Raw daily data'!$I:$I,$A17))</f>
        <v/>
      </c>
      <c r="I17" s="209">
        <f>I16+H17</f>
        <v/>
      </c>
      <c r="J17" s="209">
        <f>SUMIF($B$2:$B$41,B17,$H$2:$H$41)</f>
        <v/>
      </c>
      <c r="K17" s="209">
        <f>Summary!$B$6</f>
        <v/>
      </c>
      <c r="L17" s="209">
        <f>J17-K17</f>
        <v/>
      </c>
      <c r="N17">
        <f>IF($A17="","",COUNTIFS('Raw daily data'!$I:$I,$A17))</f>
        <v/>
      </c>
      <c r="O17">
        <f>IF($A17="","",COUNTIFS('Raw daily data'!$I:$I,$A17,'Raw daily data'!$F:$F,"&gt;0"))</f>
        <v/>
      </c>
      <c r="P17">
        <f>IF($A17="","",COUNTIFS('Raw daily data'!$I:$I,$A17,'Raw daily data'!$F:$F,"&lt;0"))</f>
        <v/>
      </c>
      <c r="Q17" s="205">
        <f>IF($A17="","",SUMIFS('Raw daily data'!$F:$F,'Raw daily data'!$I:$I,$A17,'Raw daily data'!$F:$F,"&gt;0"))</f>
        <v/>
      </c>
      <c r="R17" s="205">
        <f>IF($A17="","",ABS(SUMIFS('Raw daily data'!$F:$F,'Raw daily data'!$I:$I,$A17,'Raw daily data'!$F:$F,"&lt;0")))</f>
        <v/>
      </c>
      <c r="S17" s="123">
        <f>IF(N17&gt;0,O17/N17,"")</f>
        <v/>
      </c>
      <c r="T17" s="5">
        <f>IF(R17&gt;0,Q17/ABS(R17),"")</f>
        <v/>
      </c>
      <c r="U17" s="91">
        <f>IF(F17&gt;0,H17/F17,"")</f>
        <v/>
      </c>
      <c r="V17" s="123">
        <f>IF(H17&lt;0,MIN(ABS(H17)/G17,1),0)</f>
        <v/>
      </c>
      <c r="W17" s="205">
        <f>IF($A17="","",_xlfn.MAXIFS('Raw daily data'!$J:$J,'Raw daily data'!$I:$I,$A17))</f>
        <v/>
      </c>
      <c r="X17" s="123">
        <f>IF(W17&gt;=0,0,ABS(W17)/G17)</f>
        <v/>
      </c>
      <c r="Y17" s="123">
        <f>IF($A17="","",ABS(MIN(0,_xlfn.MINIFS('Raw daily data'!$J:$J,'Raw daily data'!$I:$I,$A17)))/G17)</f>
        <v/>
      </c>
    </row>
    <row r="18">
      <c r="A18" s="153" t="n">
        <v>46049</v>
      </c>
      <c r="B18" s="154" t="n">
        <v>3</v>
      </c>
      <c r="C18" s="154">
        <f>TEXT(A18,"dddd")</f>
        <v/>
      </c>
      <c r="D18" s="154" t="n"/>
      <c r="E18" s="210">
        <f>E17+H17</f>
        <v/>
      </c>
      <c r="F18" s="208">
        <f>IF($A18="","",$E18*Summary!$B$8)</f>
        <v/>
      </c>
      <c r="G18" s="208">
        <f>IF($A18="","",F18*Summary!$B$9)</f>
        <v/>
      </c>
      <c r="H18" s="209">
        <f>IF($A18="","",SUMIFS('Raw daily data'!$F:$F,'Raw daily data'!$I:$I,$A18))</f>
        <v/>
      </c>
      <c r="I18" s="209">
        <f>I17+H18</f>
        <v/>
      </c>
      <c r="J18" s="209">
        <f>SUMIF($B$2:$B$41,B18,$H$2:$H$41)</f>
        <v/>
      </c>
      <c r="K18" s="209">
        <f>Summary!$B$6</f>
        <v/>
      </c>
      <c r="L18" s="209">
        <f>J18-K18</f>
        <v/>
      </c>
      <c r="N18">
        <f>IF($A18="","",COUNTIFS('Raw daily data'!$I:$I,$A18))</f>
        <v/>
      </c>
      <c r="O18">
        <f>IF($A18="","",COUNTIFS('Raw daily data'!$I:$I,$A18,'Raw daily data'!$F:$F,"&gt;0"))</f>
        <v/>
      </c>
      <c r="P18">
        <f>IF($A18="","",COUNTIFS('Raw daily data'!$I:$I,$A18,'Raw daily data'!$F:$F,"&lt;0"))</f>
        <v/>
      </c>
      <c r="Q18" s="205">
        <f>IF($A18="","",SUMIFS('Raw daily data'!$F:$F,'Raw daily data'!$I:$I,$A18,'Raw daily data'!$F:$F,"&gt;0"))</f>
        <v/>
      </c>
      <c r="R18" s="205">
        <f>IF($A18="","",ABS(SUMIFS('Raw daily data'!$F:$F,'Raw daily data'!$I:$I,$A18,'Raw daily data'!$F:$F,"&lt;0")))</f>
        <v/>
      </c>
      <c r="S18" s="123">
        <f>IF(N18&gt;0,O18/N18,"")</f>
        <v/>
      </c>
      <c r="T18" s="5">
        <f>IF(R18&gt;0,Q18/ABS(R18),"")</f>
        <v/>
      </c>
      <c r="U18" s="91">
        <f>IF(F18&gt;0,H18/F18,"")</f>
        <v/>
      </c>
      <c r="V18" s="123">
        <f>IF(H18&lt;0,MIN(ABS(H18)/G18,1),0)</f>
        <v/>
      </c>
      <c r="W18" s="205">
        <f>IF($A18="","",_xlfn.MAXIFS('Raw daily data'!$J:$J,'Raw daily data'!$I:$I,$A18))</f>
        <v/>
      </c>
      <c r="X18" s="123">
        <f>IF(W18&gt;=0,0,ABS(W18)/G18)</f>
        <v/>
      </c>
      <c r="Y18" s="123">
        <f>IF($A18="","",ABS(MIN(0,_xlfn.MINIFS('Raw daily data'!$J:$J,'Raw daily data'!$I:$I,$A18)))/G18)</f>
        <v/>
      </c>
    </row>
    <row r="19">
      <c r="A19" s="153" t="n">
        <v>46050</v>
      </c>
      <c r="B19" s="154" t="n">
        <v>3</v>
      </c>
      <c r="C19" s="154">
        <f>TEXT(A19,"dddd")</f>
        <v/>
      </c>
      <c r="D19" s="154" t="n"/>
      <c r="E19" s="210">
        <f>E18+H18</f>
        <v/>
      </c>
      <c r="F19" s="208">
        <f>IF($A19="","",$E19*Summary!$B$8)</f>
        <v/>
      </c>
      <c r="G19" s="208">
        <f>IF($A19="","",F19*Summary!$B$9)</f>
        <v/>
      </c>
      <c r="H19" s="209">
        <f>IF($A19="","",SUMIFS('Raw daily data'!$F:$F,'Raw daily data'!$I:$I,$A19))</f>
        <v/>
      </c>
      <c r="I19" s="209">
        <f>I18+H19</f>
        <v/>
      </c>
      <c r="J19" s="209">
        <f>SUMIF($B$2:$B$41,B19,$H$2:$H$41)</f>
        <v/>
      </c>
      <c r="K19" s="209">
        <f>Summary!$B$6</f>
        <v/>
      </c>
      <c r="L19" s="209">
        <f>J19-K19</f>
        <v/>
      </c>
      <c r="N19">
        <f>IF($A19="","",COUNTIFS('Raw daily data'!$I:$I,$A19))</f>
        <v/>
      </c>
      <c r="O19">
        <f>IF($A19="","",COUNTIFS('Raw daily data'!$I:$I,$A19,'Raw daily data'!$F:$F,"&gt;0"))</f>
        <v/>
      </c>
      <c r="P19">
        <f>IF($A19="","",COUNTIFS('Raw daily data'!$I:$I,$A19,'Raw daily data'!$F:$F,"&lt;0"))</f>
        <v/>
      </c>
      <c r="Q19" s="205">
        <f>IF($A19="","",SUMIFS('Raw daily data'!$F:$F,'Raw daily data'!$I:$I,$A19,'Raw daily data'!$F:$F,"&gt;0"))</f>
        <v/>
      </c>
      <c r="R19" s="205">
        <f>IF($A19="","",ABS(SUMIFS('Raw daily data'!$F:$F,'Raw daily data'!$I:$I,$A19,'Raw daily data'!$F:$F,"&lt;0")))</f>
        <v/>
      </c>
      <c r="S19" s="123">
        <f>IF(N19&gt;0,O19/N19,"")</f>
        <v/>
      </c>
      <c r="T19" s="5">
        <f>IF(R19&gt;0,Q19/ABS(R19),"")</f>
        <v/>
      </c>
      <c r="U19" s="91">
        <f>IF(F19&gt;0,H19/F19,"")</f>
        <v/>
      </c>
      <c r="V19" s="123">
        <f>IF(H19&lt;0,MIN(ABS(H19)/G19,1),0)</f>
        <v/>
      </c>
      <c r="W19" s="205">
        <f>IF($A19="","",_xlfn.MAXIFS('Raw daily data'!$J:$J,'Raw daily data'!$I:$I,$A19))</f>
        <v/>
      </c>
      <c r="X19" s="123">
        <f>IF(W19&gt;=0,0,ABS(W19)/G19)</f>
        <v/>
      </c>
      <c r="Y19" s="123">
        <f>IF($A19="","",ABS(MIN(0,_xlfn.MINIFS('Raw daily data'!$J:$J,'Raw daily data'!$I:$I,$A19)))/G19)</f>
        <v/>
      </c>
    </row>
    <row r="20">
      <c r="A20" s="153" t="n">
        <v>46051</v>
      </c>
      <c r="B20" s="154" t="n">
        <v>3</v>
      </c>
      <c r="C20" s="154">
        <f>TEXT(A20,"dddd")</f>
        <v/>
      </c>
      <c r="D20" s="154" t="n"/>
      <c r="E20" s="210">
        <f>E19+H19</f>
        <v/>
      </c>
      <c r="F20" s="208">
        <f>IF($A20="","",$E20*Summary!$B$8)</f>
        <v/>
      </c>
      <c r="G20" s="208">
        <f>IF($A20="","",F20*Summary!$B$9)</f>
        <v/>
      </c>
      <c r="H20" s="209">
        <f>IF($A20="","",SUMIFS('Raw daily data'!$F:$F,'Raw daily data'!$I:$I,$A20))</f>
        <v/>
      </c>
      <c r="I20" s="209">
        <f>I19+H20</f>
        <v/>
      </c>
      <c r="J20" s="209">
        <f>SUMIF($B$2:$B$41,B20,$H$2:$H$41)</f>
        <v/>
      </c>
      <c r="K20" s="209">
        <f>Summary!$B$6</f>
        <v/>
      </c>
      <c r="L20" s="209">
        <f>J20-K20</f>
        <v/>
      </c>
      <c r="N20">
        <f>IF($A20="","",COUNTIFS('Raw daily data'!$I:$I,$A20))</f>
        <v/>
      </c>
      <c r="O20">
        <f>IF($A20="","",COUNTIFS('Raw daily data'!$I:$I,$A20,'Raw daily data'!$F:$F,"&gt;0"))</f>
        <v/>
      </c>
      <c r="P20">
        <f>IF($A20="","",COUNTIFS('Raw daily data'!$I:$I,$A20,'Raw daily data'!$F:$F,"&lt;0"))</f>
        <v/>
      </c>
      <c r="Q20" s="205">
        <f>IF($A20="","",SUMIFS('Raw daily data'!$F:$F,'Raw daily data'!$I:$I,$A20,'Raw daily data'!$F:$F,"&gt;0"))</f>
        <v/>
      </c>
      <c r="R20" s="205">
        <f>IF($A20="","",ABS(SUMIFS('Raw daily data'!$F:$F,'Raw daily data'!$I:$I,$A20,'Raw daily data'!$F:$F,"&lt;0")))</f>
        <v/>
      </c>
      <c r="S20" s="123">
        <f>IF(N20&gt;0,O20/N20,"")</f>
        <v/>
      </c>
      <c r="T20" s="5">
        <f>IF(R20&gt;0,Q20/ABS(R20),"")</f>
        <v/>
      </c>
      <c r="U20" s="91">
        <f>IF(F20&gt;0,H20/F20,"")</f>
        <v/>
      </c>
      <c r="V20" s="123">
        <f>IF(H20&lt;0,MIN(ABS(H20)/G20,1),0)</f>
        <v/>
      </c>
      <c r="W20" s="205">
        <f>IF($A20="","",_xlfn.MAXIFS('Raw daily data'!$J:$J,'Raw daily data'!$I:$I,$A20))</f>
        <v/>
      </c>
      <c r="X20" s="123">
        <f>IF(W20&gt;=0,0,ABS(W20)/G20)</f>
        <v/>
      </c>
      <c r="Y20" s="123">
        <f>IF($A20="","",ABS(MIN(0,_xlfn.MINIFS('Raw daily data'!$J:$J,'Raw daily data'!$I:$I,$A20)))/G20)</f>
        <v/>
      </c>
    </row>
    <row r="21">
      <c r="A21" s="153" t="n">
        <v>46052</v>
      </c>
      <c r="B21" s="154" t="n">
        <v>3</v>
      </c>
      <c r="C21" s="154">
        <f>TEXT(A21,"dddd")</f>
        <v/>
      </c>
      <c r="D21" s="154" t="n"/>
      <c r="E21" s="210">
        <f>E20+H20</f>
        <v/>
      </c>
      <c r="F21" s="208">
        <f>IF($A21="","",$E21*Summary!$B$8)</f>
        <v/>
      </c>
      <c r="G21" s="208">
        <f>IF($A21="","",F21*Summary!$B$9)</f>
        <v/>
      </c>
      <c r="H21" s="209">
        <f>IF($A21="","",SUMIFS('Raw daily data'!$F:$F,'Raw daily data'!$I:$I,$A21))</f>
        <v/>
      </c>
      <c r="I21" s="209">
        <f>I20+H21</f>
        <v/>
      </c>
      <c r="J21" s="209">
        <f>SUMIF($B$2:$B$41,B21,$H$2:$H$41)</f>
        <v/>
      </c>
      <c r="K21" s="209">
        <f>Summary!$B$6</f>
        <v/>
      </c>
      <c r="L21" s="209">
        <f>J21-K21</f>
        <v/>
      </c>
      <c r="N21">
        <f>IF($A21="","",COUNTIFS('Raw daily data'!$I:$I,$A21))</f>
        <v/>
      </c>
      <c r="O21">
        <f>IF($A21="","",COUNTIFS('Raw daily data'!$I:$I,$A21,'Raw daily data'!$F:$F,"&gt;0"))</f>
        <v/>
      </c>
      <c r="P21">
        <f>IF($A21="","",COUNTIFS('Raw daily data'!$I:$I,$A21,'Raw daily data'!$F:$F,"&lt;0"))</f>
        <v/>
      </c>
      <c r="Q21" s="205">
        <f>IF($A21="","",SUMIFS('Raw daily data'!$F:$F,'Raw daily data'!$I:$I,$A21,'Raw daily data'!$F:$F,"&gt;0"))</f>
        <v/>
      </c>
      <c r="R21" s="205">
        <f>IF($A21="","",ABS(SUMIFS('Raw daily data'!$F:$F,'Raw daily data'!$I:$I,$A21,'Raw daily data'!$F:$F,"&lt;0")))</f>
        <v/>
      </c>
      <c r="S21" s="123">
        <f>IF(N21&gt;0,O21/N21,"")</f>
        <v/>
      </c>
      <c r="T21" s="5">
        <f>IF(R21&gt;0,Q21/ABS(R21),"")</f>
        <v/>
      </c>
      <c r="U21" s="91">
        <f>IF(F21&gt;0,H21/F21,"")</f>
        <v/>
      </c>
      <c r="V21" s="123">
        <f>IF(H21&lt;0,MIN(ABS(H21)/G21,1),0)</f>
        <v/>
      </c>
      <c r="W21" s="205">
        <f>IF($A21="","",_xlfn.MAXIFS('Raw daily data'!$J:$J,'Raw daily data'!$I:$I,$A21))</f>
        <v/>
      </c>
      <c r="X21" s="123">
        <f>IF(W21&gt;=0,0,ABS(W21)/G21)</f>
        <v/>
      </c>
      <c r="Y21" s="123">
        <f>IF($A21="","",ABS(MIN(0,_xlfn.MINIFS('Raw daily data'!$J:$J,'Raw daily data'!$I:$I,$A21)))/G21)</f>
        <v/>
      </c>
    </row>
    <row r="22">
      <c r="A22" s="153" t="n">
        <v>46053</v>
      </c>
      <c r="B22" s="154" t="n">
        <v>3</v>
      </c>
      <c r="C22" s="154">
        <f>TEXT(A22,"dddd")</f>
        <v/>
      </c>
      <c r="D22" s="154" t="inlineStr">
        <is>
          <t>N</t>
        </is>
      </c>
      <c r="E22" s="210">
        <f>E21+H21</f>
        <v/>
      </c>
      <c r="F22" s="208">
        <f>IF($A22="","",$E22*Summary!$B$8)</f>
        <v/>
      </c>
      <c r="G22" s="208">
        <f>IF($A22="","",F22*Summary!$B$9)</f>
        <v/>
      </c>
      <c r="H22" s="209">
        <f>IF($A22="","",SUMIFS('Raw daily data'!$F:$F,'Raw daily data'!$I:$I,$A22))</f>
        <v/>
      </c>
      <c r="I22" s="209">
        <f>I21+H22</f>
        <v/>
      </c>
      <c r="J22" s="209">
        <f>SUMIF($B$2:$B$41,B22,$H$2:$H$41)</f>
        <v/>
      </c>
      <c r="K22" s="209">
        <f>Summary!$B$6</f>
        <v/>
      </c>
      <c r="L22" s="209">
        <f>J22-K22</f>
        <v/>
      </c>
      <c r="N22">
        <f>IF($A22="","",COUNTIFS('Raw daily data'!$I:$I,$A22))</f>
        <v/>
      </c>
      <c r="O22">
        <f>IF($A22="","",COUNTIFS('Raw daily data'!$I:$I,$A22,'Raw daily data'!$F:$F,"&gt;0"))</f>
        <v/>
      </c>
      <c r="P22">
        <f>IF($A22="","",COUNTIFS('Raw daily data'!$I:$I,$A22,'Raw daily data'!$F:$F,"&lt;0"))</f>
        <v/>
      </c>
      <c r="Q22" s="205">
        <f>IF($A22="","",SUMIFS('Raw daily data'!$F:$F,'Raw daily data'!$I:$I,$A22,'Raw daily data'!$F:$F,"&gt;0"))</f>
        <v/>
      </c>
      <c r="R22" s="205">
        <f>IF($A22="","",ABS(SUMIFS('Raw daily data'!$F:$F,'Raw daily data'!$I:$I,$A22,'Raw daily data'!$F:$F,"&lt;0")))</f>
        <v/>
      </c>
      <c r="S22" s="123">
        <f>IF(N22&gt;0,O22/N22,"")</f>
        <v/>
      </c>
      <c r="T22" s="5">
        <f>IF(R22&gt;0,Q22/ABS(R22),"")</f>
        <v/>
      </c>
      <c r="U22" s="91">
        <f>IF(F22&gt;0,H22/F22,"")</f>
        <v/>
      </c>
      <c r="V22" s="123">
        <f>IF(H22&lt;0,MIN(ABS(H22)/G22,1),0)</f>
        <v/>
      </c>
      <c r="W22" s="205">
        <f>IF($A22="","",_xlfn.MAXIFS('Raw daily data'!$J:$J,'Raw daily data'!$I:$I,$A22))</f>
        <v/>
      </c>
      <c r="X22" s="123">
        <f>IF(W22&gt;=0,0,ABS(W22)/G22)</f>
        <v/>
      </c>
      <c r="Y22" s="123">
        <f>IF($A22="","",ABS(MIN(0,_xlfn.MINIFS('Raw daily data'!$J:$J,'Raw daily data'!$I:$I,$A22)))/G22)</f>
        <v/>
      </c>
    </row>
    <row r="23">
      <c r="A23" s="153" t="n">
        <v>46054</v>
      </c>
      <c r="B23" s="154" t="n">
        <v>4</v>
      </c>
      <c r="C23" s="154">
        <f>TEXT(A23,"dddd")</f>
        <v/>
      </c>
      <c r="D23" s="154" t="inlineStr">
        <is>
          <t>N</t>
        </is>
      </c>
      <c r="E23" s="210">
        <f>E22+H22</f>
        <v/>
      </c>
      <c r="F23" s="208">
        <f>IF($A23="","",$E23*Summary!$B$8)</f>
        <v/>
      </c>
      <c r="G23" s="208">
        <f>IF($A23="","",F23*Summary!$B$9)</f>
        <v/>
      </c>
      <c r="H23" s="209">
        <f>IF($A23="","",SUMIFS('Raw daily data'!$F:$F,'Raw daily data'!$I:$I,$A23))</f>
        <v/>
      </c>
      <c r="I23" s="209">
        <f>I22+H23</f>
        <v/>
      </c>
      <c r="J23" s="209">
        <f>SUMIF($B$2:$B$41,B23,$H$2:$H$41)</f>
        <v/>
      </c>
      <c r="K23" s="209">
        <f>Summary!$B$6</f>
        <v/>
      </c>
      <c r="L23" s="209">
        <f>J23-K23</f>
        <v/>
      </c>
      <c r="N23">
        <f>IF($A23="","",COUNTIFS('Raw daily data'!$I:$I,$A23))</f>
        <v/>
      </c>
      <c r="O23">
        <f>IF($A23="","",COUNTIFS('Raw daily data'!$I:$I,$A23,'Raw daily data'!$F:$F,"&gt;0"))</f>
        <v/>
      </c>
      <c r="P23">
        <f>IF($A23="","",COUNTIFS('Raw daily data'!$I:$I,$A23,'Raw daily data'!$F:$F,"&lt;0"))</f>
        <v/>
      </c>
      <c r="Q23" s="205">
        <f>IF($A23="","",SUMIFS('Raw daily data'!$F:$F,'Raw daily data'!$I:$I,$A23,'Raw daily data'!$F:$F,"&gt;0"))</f>
        <v/>
      </c>
      <c r="R23" s="205">
        <f>IF($A23="","",ABS(SUMIFS('Raw daily data'!$F:$F,'Raw daily data'!$I:$I,$A23,'Raw daily data'!$F:$F,"&lt;0")))</f>
        <v/>
      </c>
      <c r="S23" s="123">
        <f>IF(N23&gt;0,O23/N23,"")</f>
        <v/>
      </c>
      <c r="T23" s="5">
        <f>IF(R23&gt;0,Q23/ABS(R23),"")</f>
        <v/>
      </c>
      <c r="U23" s="91">
        <f>IF(F23&gt;0,H23/F23,"")</f>
        <v/>
      </c>
      <c r="V23" s="123">
        <f>IF(H23&lt;0,MIN(ABS(H23)/G23,1),0)</f>
        <v/>
      </c>
      <c r="W23" s="205">
        <f>IF($A23="","",_xlfn.MAXIFS('Raw daily data'!$J:$J,'Raw daily data'!$I:$I,$A23))</f>
        <v/>
      </c>
      <c r="X23" s="123">
        <f>IF(W23&gt;=0,0,ABS(W23)/G23)</f>
        <v/>
      </c>
      <c r="Y23" s="123">
        <f>IF($A23="","",ABS(MIN(0,_xlfn.MINIFS('Raw daily data'!$J:$J,'Raw daily data'!$I:$I,$A23)))/G23)</f>
        <v/>
      </c>
    </row>
    <row r="24">
      <c r="A24" s="153" t="n">
        <v>46055</v>
      </c>
      <c r="B24" s="154" t="n">
        <v>4</v>
      </c>
      <c r="C24" s="154">
        <f>TEXT(A24,"dddd")</f>
        <v/>
      </c>
      <c r="D24" s="154" t="n"/>
      <c r="E24" s="154" t="n"/>
      <c r="F24" s="208">
        <f>IF($A24="","",$E24*Summary!$B$8)</f>
        <v/>
      </c>
      <c r="G24" s="208">
        <f>IF($A24="","",F24*Summary!$B$9)</f>
        <v/>
      </c>
      <c r="H24" s="209">
        <f>IF($A24="","",SUMIFS('Raw daily data'!$F:$F,'Raw daily data'!$I:$I,$A24))</f>
        <v/>
      </c>
      <c r="I24" s="209">
        <f>I23+H24</f>
        <v/>
      </c>
      <c r="J24" s="209">
        <f>SUMIF($B$2:$B$41,B24,$H$2:$H$41)</f>
        <v/>
      </c>
      <c r="K24" s="209">
        <f>Summary!$B$6</f>
        <v/>
      </c>
      <c r="L24" s="209">
        <f>J24-K24</f>
        <v/>
      </c>
      <c r="N24">
        <f>IF($A24="","",COUNTIFS('Raw daily data'!$I:$I,$A24))</f>
        <v/>
      </c>
      <c r="O24">
        <f>IF($A24="","",COUNTIFS('Raw daily data'!$I:$I,$A24,'Raw daily data'!$F:$F,"&gt;0"))</f>
        <v/>
      </c>
      <c r="P24">
        <f>IF($A24="","",COUNTIFS('Raw daily data'!$I:$I,$A24,'Raw daily data'!$F:$F,"&lt;0"))</f>
        <v/>
      </c>
      <c r="Q24" s="205">
        <f>IF($A24="","",SUMIFS('Raw daily data'!$F:$F,'Raw daily data'!$I:$I,$A24,'Raw daily data'!$F:$F,"&gt;0"))</f>
        <v/>
      </c>
      <c r="R24" s="205">
        <f>IF($A24="","",ABS(SUMIFS('Raw daily data'!$F:$F,'Raw daily data'!$I:$I,$A24,'Raw daily data'!$F:$F,"&lt;0")))</f>
        <v/>
      </c>
      <c r="S24" s="123">
        <f>IF(N24&gt;0,O24/N24,"")</f>
        <v/>
      </c>
      <c r="T24" s="5">
        <f>IF(R24&gt;0,Q24/ABS(R24),"")</f>
        <v/>
      </c>
      <c r="U24" s="91">
        <f>IF(F24&gt;0,H24/F24,"")</f>
        <v/>
      </c>
      <c r="V24" s="123">
        <f>IF(H24&lt;0,MIN(ABS(H24)/G24,1),0)</f>
        <v/>
      </c>
      <c r="W24" s="205">
        <f>IF($A24="","",_xlfn.MAXIFS('Raw daily data'!$J:$J,'Raw daily data'!$I:$I,$A24))</f>
        <v/>
      </c>
      <c r="X24" s="123">
        <f>IF(W24&gt;=0,0,ABS(W24)/G24)</f>
        <v/>
      </c>
      <c r="Y24" s="123">
        <f>IFERROR(IF($A24="","",ABS(MIN(0,_xlfn.MINIFS('Raw daily data'!$J:$J,'Raw daily data'!$I:$I,$A24)))/G24),"")</f>
        <v/>
      </c>
    </row>
    <row r="25">
      <c r="A25" s="153" t="n">
        <v>46056</v>
      </c>
      <c r="B25" s="154" t="n">
        <v>4</v>
      </c>
      <c r="C25" s="154">
        <f>TEXT(A25,"dddd")</f>
        <v/>
      </c>
      <c r="D25" s="154" t="n"/>
      <c r="E25" s="154" t="n"/>
      <c r="F25" s="208">
        <f>IF($A25="","",$E25*Summary!$B$8)</f>
        <v/>
      </c>
      <c r="G25" s="208">
        <f>IF($A25="","",F25*Summary!$B$9)</f>
        <v/>
      </c>
      <c r="H25" s="209">
        <f>IF($A25="","",SUMIFS('Raw daily data'!$F:$F,'Raw daily data'!$I:$I,$A25))</f>
        <v/>
      </c>
      <c r="I25" s="209">
        <f>I24+H25</f>
        <v/>
      </c>
      <c r="J25" s="209">
        <f>SUMIF($B$2:$B$41,B25,$H$2:$H$41)</f>
        <v/>
      </c>
      <c r="K25" s="209">
        <f>Summary!$B$6</f>
        <v/>
      </c>
      <c r="L25" s="209">
        <f>J25-K25</f>
        <v/>
      </c>
      <c r="N25">
        <f>IF($A25="","",COUNTIFS('Raw daily data'!$I:$I,$A25))</f>
        <v/>
      </c>
      <c r="O25">
        <f>IF($A25="","",COUNTIFS('Raw daily data'!$I:$I,$A25,'Raw daily data'!$F:$F,"&gt;0"))</f>
        <v/>
      </c>
      <c r="P25">
        <f>IF($A25="","",COUNTIFS('Raw daily data'!$I:$I,$A25,'Raw daily data'!$F:$F,"&lt;0"))</f>
        <v/>
      </c>
      <c r="Q25" s="205">
        <f>IF($A25="","",SUMIFS('Raw daily data'!$F:$F,'Raw daily data'!$I:$I,$A25,'Raw daily data'!$F:$F,"&gt;0"))</f>
        <v/>
      </c>
      <c r="R25" s="205">
        <f>IF($A25="","",ABS(SUMIFS('Raw daily data'!$F:$F,'Raw daily data'!$I:$I,$A25,'Raw daily data'!$F:$F,"&lt;0")))</f>
        <v/>
      </c>
      <c r="S25" s="123">
        <f>IF(N25&gt;0,O25/N25,"")</f>
        <v/>
      </c>
      <c r="T25" s="5">
        <f>IF(R25&gt;0,Q25/ABS(R25),"")</f>
        <v/>
      </c>
      <c r="U25" s="91">
        <f>IF(F25&gt;0,H25/F25,"")</f>
        <v/>
      </c>
      <c r="V25" s="123">
        <f>IF(H25&lt;0,MIN(ABS(H25)/G25,1),0)</f>
        <v/>
      </c>
      <c r="W25" s="205">
        <f>IF($A25="","",_xlfn.MAXIFS('Raw daily data'!$J:$J,'Raw daily data'!$I:$I,$A25))</f>
        <v/>
      </c>
      <c r="X25" s="123">
        <f>IF(W25&gt;=0,0,ABS(W25)/G25)</f>
        <v/>
      </c>
      <c r="Y25" s="123">
        <f>IFERROR(IF($A25="","",ABS(MIN(0,_xlfn.MINIFS('Raw daily data'!$J:$J,'Raw daily data'!$I:$I,$A25)))/G25),"")</f>
        <v/>
      </c>
    </row>
    <row r="26">
      <c r="A26" s="153" t="n">
        <v>46057</v>
      </c>
      <c r="B26" s="154" t="n">
        <v>4</v>
      </c>
      <c r="C26" s="154">
        <f>TEXT(A26,"dddd")</f>
        <v/>
      </c>
      <c r="D26" s="154" t="n"/>
      <c r="E26" s="154" t="n"/>
      <c r="F26" s="208">
        <f>IF($A26="","",$E26*Summary!$B$8)</f>
        <v/>
      </c>
      <c r="G26" s="208">
        <f>IF($A26="","",F26*Summary!$B$9)</f>
        <v/>
      </c>
      <c r="H26" s="209">
        <f>IF($A26="","",SUMIFS('Raw daily data'!$F:$F,'Raw daily data'!$I:$I,$A26))</f>
        <v/>
      </c>
      <c r="I26" s="209">
        <f>I25+H26</f>
        <v/>
      </c>
      <c r="J26" s="209">
        <f>SUMIF($B$2:$B$41,B26,$H$2:$H$41)</f>
        <v/>
      </c>
      <c r="K26" s="209">
        <f>Summary!$B$6</f>
        <v/>
      </c>
      <c r="L26" s="209">
        <f>J26-K26</f>
        <v/>
      </c>
      <c r="N26">
        <f>IF($A26="","",COUNTIFS('Raw daily data'!$I:$I,$A26))</f>
        <v/>
      </c>
      <c r="O26">
        <f>IF($A26="","",COUNTIFS('Raw daily data'!$I:$I,$A26,'Raw daily data'!$F:$F,"&gt;0"))</f>
        <v/>
      </c>
      <c r="P26">
        <f>IF($A26="","",COUNTIFS('Raw daily data'!$I:$I,$A26,'Raw daily data'!$F:$F,"&lt;0"))</f>
        <v/>
      </c>
      <c r="Q26" s="205">
        <f>IF($A26="","",SUMIFS('Raw daily data'!$F:$F,'Raw daily data'!$I:$I,$A26,'Raw daily data'!$F:$F,"&gt;0"))</f>
        <v/>
      </c>
      <c r="R26" s="205">
        <f>IF($A26="","",ABS(SUMIFS('Raw daily data'!$F:$F,'Raw daily data'!$I:$I,$A26,'Raw daily data'!$F:$F,"&lt;0")))</f>
        <v/>
      </c>
      <c r="S26" s="123">
        <f>IF(N26&gt;0,O26/N26,"")</f>
        <v/>
      </c>
      <c r="T26" s="5">
        <f>IF(R26&gt;0,Q26/ABS(R26),"")</f>
        <v/>
      </c>
      <c r="U26" s="91">
        <f>IF(F26&gt;0,H26/F26,"")</f>
        <v/>
      </c>
      <c r="V26" s="123">
        <f>IF(H26&lt;0,MIN(ABS(H26)/G26,1),0)</f>
        <v/>
      </c>
      <c r="W26" s="205">
        <f>IF($A26="","",_xlfn.MAXIFS('Raw daily data'!$J:$J,'Raw daily data'!$I:$I,$A26))</f>
        <v/>
      </c>
      <c r="X26" s="123">
        <f>IF(W26&gt;=0,0,ABS(W26)/G26)</f>
        <v/>
      </c>
      <c r="Y26" s="123">
        <f>IFERROR(IF($A26="","",ABS(MIN(0,_xlfn.MINIFS('Raw daily data'!$J:$J,'Raw daily data'!$I:$I,$A26)))/G26),"")</f>
        <v/>
      </c>
    </row>
    <row r="27">
      <c r="A27" s="153" t="n">
        <v>46058</v>
      </c>
      <c r="B27" s="154" t="n">
        <v>4</v>
      </c>
      <c r="C27" s="154">
        <f>TEXT(A27,"dddd")</f>
        <v/>
      </c>
      <c r="D27" s="154" t="n"/>
      <c r="E27" s="154" t="n"/>
      <c r="F27" s="208">
        <f>IF($A27="","",$E27*Summary!$B$8)</f>
        <v/>
      </c>
      <c r="G27" s="208">
        <f>IF($A27="","",F27*Summary!$B$9)</f>
        <v/>
      </c>
      <c r="H27" s="209">
        <f>IF($A27="","",SUMIFS('Raw daily data'!$F:$F,'Raw daily data'!$I:$I,$A27))</f>
        <v/>
      </c>
      <c r="I27" s="209">
        <f>I26+H27</f>
        <v/>
      </c>
      <c r="J27" s="209">
        <f>SUMIF($B$2:$B$41,B27,$H$2:$H$41)</f>
        <v/>
      </c>
      <c r="K27" s="209">
        <f>Summary!$B$6</f>
        <v/>
      </c>
      <c r="L27" s="209">
        <f>J27-K27</f>
        <v/>
      </c>
      <c r="N27">
        <f>IF($A27="","",COUNTIFS('Raw daily data'!$I:$I,$A27))</f>
        <v/>
      </c>
      <c r="O27">
        <f>IF($A27="","",COUNTIFS('Raw daily data'!$I:$I,$A27,'Raw daily data'!$F:$F,"&gt;0"))</f>
        <v/>
      </c>
      <c r="P27">
        <f>IF($A27="","",COUNTIFS('Raw daily data'!$I:$I,$A27,'Raw daily data'!$F:$F,"&lt;0"))</f>
        <v/>
      </c>
      <c r="Q27" s="205">
        <f>IF($A27="","",SUMIFS('Raw daily data'!$F:$F,'Raw daily data'!$I:$I,$A27,'Raw daily data'!$F:$F,"&gt;0"))</f>
        <v/>
      </c>
      <c r="R27" s="205">
        <f>IF($A27="","",ABS(SUMIFS('Raw daily data'!$F:$F,'Raw daily data'!$I:$I,$A27,'Raw daily data'!$F:$F,"&lt;0")))</f>
        <v/>
      </c>
      <c r="S27" s="123">
        <f>IF(N27&gt;0,O27/N27,"")</f>
        <v/>
      </c>
      <c r="T27" s="5">
        <f>IF(R27&gt;0,Q27/ABS(R27),"")</f>
        <v/>
      </c>
      <c r="U27" s="91">
        <f>IF(F27&gt;0,H27/F27,"")</f>
        <v/>
      </c>
      <c r="V27" s="123">
        <f>IF(H27&lt;0,MIN(ABS(H27)/G27,1),0)</f>
        <v/>
      </c>
      <c r="W27" s="205">
        <f>IF($A27="","",_xlfn.MAXIFS('Raw daily data'!$J:$J,'Raw daily data'!$I:$I,$A27))</f>
        <v/>
      </c>
      <c r="X27" s="123">
        <f>IF(W27&gt;=0,0,ABS(W27)/G27)</f>
        <v/>
      </c>
      <c r="Y27" s="123">
        <f>IFERROR(IF($A27="","",ABS(MIN(0,_xlfn.MINIFS('Raw daily data'!$J:$J,'Raw daily data'!$I:$I,$A27)))/G27),"")</f>
        <v/>
      </c>
    </row>
    <row r="28">
      <c r="A28" s="153" t="n">
        <v>46059</v>
      </c>
      <c r="B28" s="154" t="n">
        <v>4</v>
      </c>
      <c r="C28" s="154">
        <f>TEXT(A28,"dddd")</f>
        <v/>
      </c>
      <c r="D28" s="154" t="n"/>
      <c r="E28" s="154" t="n"/>
      <c r="F28" s="208">
        <f>IF($A28="","",$E28*Summary!$B$8)</f>
        <v/>
      </c>
      <c r="G28" s="208">
        <f>IF($A28="","",F28*Summary!$B$9)</f>
        <v/>
      </c>
      <c r="H28" s="209">
        <f>IF($A28="","",SUMIFS('Raw daily data'!$F:$F,'Raw daily data'!$I:$I,$A28))</f>
        <v/>
      </c>
      <c r="I28" s="209">
        <f>I27+H28</f>
        <v/>
      </c>
      <c r="J28" s="209">
        <f>SUMIF($B$2:$B$41,B28,$H$2:$H$41)</f>
        <v/>
      </c>
      <c r="K28" s="209">
        <f>Summary!$B$6</f>
        <v/>
      </c>
      <c r="L28" s="209">
        <f>J28-K28</f>
        <v/>
      </c>
      <c r="N28">
        <f>IF($A28="","",COUNTIFS('Raw daily data'!$I:$I,$A28))</f>
        <v/>
      </c>
      <c r="O28">
        <f>IF($A28="","",COUNTIFS('Raw daily data'!$I:$I,$A28,'Raw daily data'!$F:$F,"&gt;0"))</f>
        <v/>
      </c>
      <c r="P28">
        <f>IF($A28="","",COUNTIFS('Raw daily data'!$I:$I,$A28,'Raw daily data'!$F:$F,"&lt;0"))</f>
        <v/>
      </c>
      <c r="Q28" s="205">
        <f>IF($A28="","",SUMIFS('Raw daily data'!$F:$F,'Raw daily data'!$I:$I,$A28,'Raw daily data'!$F:$F,"&gt;0"))</f>
        <v/>
      </c>
      <c r="R28" s="205">
        <f>IF($A28="","",ABS(SUMIFS('Raw daily data'!$F:$F,'Raw daily data'!$I:$I,$A28,'Raw daily data'!$F:$F,"&lt;0")))</f>
        <v/>
      </c>
      <c r="S28" s="123">
        <f>IF(N28&gt;0,O28/N28,"")</f>
        <v/>
      </c>
      <c r="T28" s="5">
        <f>IF(R28&gt;0,Q28/ABS(R28),"")</f>
        <v/>
      </c>
      <c r="U28" s="91">
        <f>IF(F28&gt;0,H28/F28,"")</f>
        <v/>
      </c>
      <c r="V28" s="123">
        <f>IF(H28&lt;0,MIN(ABS(H28)/G28,1),0)</f>
        <v/>
      </c>
      <c r="W28" s="205">
        <f>IF($A28="","",_xlfn.MAXIFS('Raw daily data'!$J:$J,'Raw daily data'!$I:$I,$A28))</f>
        <v/>
      </c>
      <c r="X28" s="123">
        <f>IF(W28&gt;=0,0,ABS(W28)/G28)</f>
        <v/>
      </c>
      <c r="Y28" s="123">
        <f>IFERROR(IF($A28="","",ABS(MIN(0,_xlfn.MINIFS('Raw daily data'!$J:$J,'Raw daily data'!$I:$I,$A28)))/G28),"")</f>
        <v/>
      </c>
    </row>
    <row r="29">
      <c r="A29" s="153" t="n">
        <v>46060</v>
      </c>
      <c r="B29" s="154" t="n">
        <v>4</v>
      </c>
      <c r="C29" s="154">
        <f>TEXT(A29,"dddd")</f>
        <v/>
      </c>
      <c r="D29" s="154" t="inlineStr">
        <is>
          <t>N</t>
        </is>
      </c>
      <c r="E29" s="154" t="n"/>
      <c r="F29" s="208">
        <f>IF($A29="","",$E29*Summary!$B$8)</f>
        <v/>
      </c>
      <c r="G29" s="208">
        <f>IF($A29="","",F29*Summary!$B$9)</f>
        <v/>
      </c>
      <c r="H29" s="209">
        <f>IF($A29="","",SUMIFS('Raw daily data'!$F:$F,'Raw daily data'!$I:$I,$A29))</f>
        <v/>
      </c>
      <c r="I29" s="209">
        <f>I28+H29</f>
        <v/>
      </c>
      <c r="J29" s="209">
        <f>SUMIF($B$2:$B$41,B29,$H$2:$H$41)</f>
        <v/>
      </c>
      <c r="K29" s="209">
        <f>Summary!$B$6</f>
        <v/>
      </c>
      <c r="L29" s="209">
        <f>J29-K29</f>
        <v/>
      </c>
      <c r="N29">
        <f>IF($A29="","",COUNTIFS('Raw daily data'!$I:$I,$A29))</f>
        <v/>
      </c>
      <c r="O29">
        <f>IF($A29="","",COUNTIFS('Raw daily data'!$I:$I,$A29,'Raw daily data'!$F:$F,"&gt;0"))</f>
        <v/>
      </c>
      <c r="P29">
        <f>IF($A29="","",COUNTIFS('Raw daily data'!$I:$I,$A29,'Raw daily data'!$F:$F,"&lt;0"))</f>
        <v/>
      </c>
      <c r="Q29" s="205">
        <f>IF($A29="","",SUMIFS('Raw daily data'!$F:$F,'Raw daily data'!$I:$I,$A29,'Raw daily data'!$F:$F,"&gt;0"))</f>
        <v/>
      </c>
      <c r="R29" s="205">
        <f>IF($A29="","",ABS(SUMIFS('Raw daily data'!$F:$F,'Raw daily data'!$I:$I,$A29,'Raw daily data'!$F:$F,"&lt;0")))</f>
        <v/>
      </c>
      <c r="S29" s="123">
        <f>IF(N29&gt;0,O29/N29,"")</f>
        <v/>
      </c>
      <c r="T29" s="5">
        <f>IF(R29&gt;0,Q29/ABS(R29),"")</f>
        <v/>
      </c>
      <c r="U29" s="91">
        <f>IF(F29&gt;0,H29/F29,"")</f>
        <v/>
      </c>
      <c r="V29" s="123">
        <f>IF(H29&lt;0,MIN(ABS(H29)/G29,1),0)</f>
        <v/>
      </c>
      <c r="W29" s="205">
        <f>IF($A29="","",_xlfn.MAXIFS('Raw daily data'!$J:$J,'Raw daily data'!$I:$I,$A29))</f>
        <v/>
      </c>
      <c r="X29" s="123">
        <f>IF(W29&gt;=0,0,ABS(W29)/G29)</f>
        <v/>
      </c>
      <c r="Y29" s="123">
        <f>IFERROR(IF($A29="","",ABS(MIN(0,_xlfn.MINIFS('Raw daily data'!$J:$J,'Raw daily data'!$I:$I,$A29)))/G29),"")</f>
        <v/>
      </c>
    </row>
    <row r="30">
      <c r="A30" s="153" t="n">
        <v>46061</v>
      </c>
      <c r="B30" s="154" t="n">
        <v>4</v>
      </c>
      <c r="C30" s="154">
        <f>TEXT(A30,"dddd")</f>
        <v/>
      </c>
      <c r="D30" s="154" t="inlineStr">
        <is>
          <t>N</t>
        </is>
      </c>
      <c r="E30" s="154" t="n"/>
      <c r="F30" s="208">
        <f>IF($A30="","",$E30*Summary!$B$8)</f>
        <v/>
      </c>
      <c r="G30" s="208">
        <f>IF($A30="","",F30*Summary!$B$9)</f>
        <v/>
      </c>
      <c r="H30" s="209">
        <f>IF($A30="","",SUMIFS('Raw daily data'!$F:$F,'Raw daily data'!$I:$I,$A30))</f>
        <v/>
      </c>
      <c r="I30" s="209">
        <f>I29+H30</f>
        <v/>
      </c>
      <c r="J30" s="209">
        <f>SUMIF($B$2:$B$41,B30,$H$2:$H$41)</f>
        <v/>
      </c>
      <c r="K30" s="209">
        <f>Summary!$B$6</f>
        <v/>
      </c>
      <c r="L30" s="209">
        <f>J30-K30</f>
        <v/>
      </c>
      <c r="N30">
        <f>IF($A30="","",COUNTIFS('Raw daily data'!$I:$I,$A30))</f>
        <v/>
      </c>
      <c r="O30">
        <f>IF($A30="","",COUNTIFS('Raw daily data'!$I:$I,$A30,'Raw daily data'!$F:$F,"&gt;0"))</f>
        <v/>
      </c>
      <c r="P30">
        <f>IF($A30="","",COUNTIFS('Raw daily data'!$I:$I,$A30,'Raw daily data'!$F:$F,"&lt;0"))</f>
        <v/>
      </c>
      <c r="Q30" s="205">
        <f>IF($A30="","",SUMIFS('Raw daily data'!$F:$F,'Raw daily data'!$I:$I,$A30,'Raw daily data'!$F:$F,"&gt;0"))</f>
        <v/>
      </c>
      <c r="R30" s="205">
        <f>IF($A30="","",ABS(SUMIFS('Raw daily data'!$F:$F,'Raw daily data'!$I:$I,$A30,'Raw daily data'!$F:$F,"&lt;0")))</f>
        <v/>
      </c>
      <c r="S30" s="123">
        <f>IF(N30&gt;0,O30/N30,"")</f>
        <v/>
      </c>
      <c r="T30" s="5">
        <f>IF(R30&gt;0,Q30/ABS(R30),"")</f>
        <v/>
      </c>
      <c r="U30" s="91">
        <f>IF(F30&gt;0,H30/F30,"")</f>
        <v/>
      </c>
      <c r="V30" s="123">
        <f>IF(H30&lt;0,MIN(ABS(H30)/G30,1),0)</f>
        <v/>
      </c>
      <c r="W30" s="205">
        <f>IF($A30="","",_xlfn.MAXIFS('Raw daily data'!$J:$J,'Raw daily data'!$I:$I,$A30))</f>
        <v/>
      </c>
      <c r="X30" s="123">
        <f>IF(W30&gt;=0,0,ABS(W30)/G30)</f>
        <v/>
      </c>
      <c r="Y30" s="123">
        <f>IFERROR(IF($A30="","",ABS(MIN(0,_xlfn.MINIFS('Raw daily data'!$J:$J,'Raw daily data'!$I:$I,$A30)))/G30),"")</f>
        <v/>
      </c>
    </row>
    <row r="31">
      <c r="A31" s="153" t="n">
        <v>46062</v>
      </c>
      <c r="B31" s="154" t="n"/>
      <c r="C31" s="154">
        <f>TEXT(A31,"dddd")</f>
        <v/>
      </c>
      <c r="D31" s="154" t="n"/>
      <c r="E31" s="154" t="n"/>
      <c r="F31" s="208">
        <f>IF($A31="","",$E31*Summary!$B$8)</f>
        <v/>
      </c>
      <c r="G31" s="208">
        <f>IF($A31="","",F31*Summary!$B$9)</f>
        <v/>
      </c>
      <c r="H31" s="209">
        <f>IF($A31="","",SUMIFS('Raw daily data'!$F:$F,'Raw daily data'!$I:$I,$A31))</f>
        <v/>
      </c>
      <c r="I31" s="209">
        <f>I30+H31</f>
        <v/>
      </c>
      <c r="J31" s="209">
        <f>SUMIF($B$2:$B$41,B31,$H$2:$H$41)</f>
        <v/>
      </c>
      <c r="K31" s="209">
        <f>Summary!$B$6</f>
        <v/>
      </c>
      <c r="L31" s="209">
        <f>J31-K31</f>
        <v/>
      </c>
      <c r="N31">
        <f>IF($A31="","",COUNTIFS('Raw daily data'!$I:$I,$A31))</f>
        <v/>
      </c>
      <c r="O31">
        <f>IF($A31="","",COUNTIFS('Raw daily data'!$I:$I,$A31,'Raw daily data'!$F:$F,"&gt;0"))</f>
        <v/>
      </c>
      <c r="P31">
        <f>IF($A31="","",COUNTIFS('Raw daily data'!$I:$I,$A31,'Raw daily data'!$F:$F,"&lt;0"))</f>
        <v/>
      </c>
      <c r="Q31" s="205">
        <f>IF($A31="","",SUMIFS('Raw daily data'!$F:$F,'Raw daily data'!$I:$I,$A31,'Raw daily data'!$F:$F,"&gt;0"))</f>
        <v/>
      </c>
      <c r="R31" s="205">
        <f>IF($A31="","",ABS(SUMIFS('Raw daily data'!$F:$F,'Raw daily data'!$I:$I,$A31,'Raw daily data'!$F:$F,"&lt;0")))</f>
        <v/>
      </c>
      <c r="S31" s="123">
        <f>IF(N31&gt;0,O31/N31,"")</f>
        <v/>
      </c>
      <c r="T31" s="5">
        <f>IF(R31&gt;0,Q31/ABS(R31),"")</f>
        <v/>
      </c>
      <c r="U31" s="91">
        <f>IF(F31&gt;0,H31/F31,"")</f>
        <v/>
      </c>
      <c r="V31" s="123">
        <f>IF(H31&lt;0,MIN(ABS(H31)/G31,1),0)</f>
        <v/>
      </c>
      <c r="W31" s="205">
        <f>IF($A31="","",_xlfn.MAXIFS('Raw daily data'!$J:$J,'Raw daily data'!$I:$I,$A31))</f>
        <v/>
      </c>
      <c r="X31" s="123">
        <f>IF(W31&gt;=0,0,ABS(W31)/G31)</f>
        <v/>
      </c>
      <c r="Y31" s="123">
        <f>IFERROR(IF($A31="","",ABS(MIN(0,_xlfn.MINIFS('Raw daily data'!$J:$J,'Raw daily data'!$I:$I,$A31)))/G31),"")</f>
        <v/>
      </c>
    </row>
    <row r="32">
      <c r="A32" s="153" t="n">
        <v>46063</v>
      </c>
      <c r="B32" s="154" t="n"/>
      <c r="C32" s="154">
        <f>TEXT(A32,"dddd")</f>
        <v/>
      </c>
      <c r="D32" s="154" t="n"/>
      <c r="E32" s="154" t="n"/>
      <c r="F32" s="208">
        <f>IF($A32="","",$E32*Summary!$B$8)</f>
        <v/>
      </c>
      <c r="G32" s="208">
        <f>IF($A32="","",F32*Summary!$B$9)</f>
        <v/>
      </c>
      <c r="H32" s="209">
        <f>IF($A32="","",SUMIFS('Raw daily data'!$F:$F,'Raw daily data'!$I:$I,$A32))</f>
        <v/>
      </c>
      <c r="I32" s="209">
        <f>I31+H32</f>
        <v/>
      </c>
      <c r="J32" s="209">
        <f>SUMIF($B$2:$B$41,B32,$H$2:$H$41)</f>
        <v/>
      </c>
      <c r="K32" s="209">
        <f>Summary!$B$6</f>
        <v/>
      </c>
      <c r="L32" s="209">
        <f>J32-K32</f>
        <v/>
      </c>
      <c r="N32">
        <f>IF($A32="","",COUNTIFS('Raw daily data'!$I:$I,$A32))</f>
        <v/>
      </c>
      <c r="O32">
        <f>IF($A32="","",COUNTIFS('Raw daily data'!$I:$I,$A32,'Raw daily data'!$F:$F,"&gt;0"))</f>
        <v/>
      </c>
      <c r="P32">
        <f>IF($A32="","",COUNTIFS('Raw daily data'!$I:$I,$A32,'Raw daily data'!$F:$F,"&lt;0"))</f>
        <v/>
      </c>
      <c r="Q32" s="205">
        <f>IF($A32="","",SUMIFS('Raw daily data'!$F:$F,'Raw daily data'!$I:$I,$A32,'Raw daily data'!$F:$F,"&gt;0"))</f>
        <v/>
      </c>
      <c r="R32" s="205">
        <f>IF($A32="","",ABS(SUMIFS('Raw daily data'!$F:$F,'Raw daily data'!$I:$I,$A32,'Raw daily data'!$F:$F,"&lt;0")))</f>
        <v/>
      </c>
      <c r="S32" s="123">
        <f>IF(N32&gt;0,O32/N32,"")</f>
        <v/>
      </c>
      <c r="T32" s="5">
        <f>IF(R32&gt;0,Q32/ABS(R32),"")</f>
        <v/>
      </c>
      <c r="U32" s="91">
        <f>IF(F32&gt;0,H32/F32,"")</f>
        <v/>
      </c>
      <c r="V32" s="123">
        <f>IF(H32&lt;0,MIN(ABS(H32)/G32,1),0)</f>
        <v/>
      </c>
      <c r="W32" s="205">
        <f>IF($A32="","",_xlfn.MAXIFS('Raw daily data'!$J:$J,'Raw daily data'!$I:$I,$A32))</f>
        <v/>
      </c>
      <c r="X32" s="123">
        <f>IF(W32&gt;=0,0,ABS(W32)/G32)</f>
        <v/>
      </c>
      <c r="Y32" s="123">
        <f>IFERROR(IF($A32="","",ABS(MIN(0,_xlfn.MINIFS('Raw daily data'!$J:$J,'Raw daily data'!$I:$I,$A32)))/G32),"")</f>
        <v/>
      </c>
    </row>
    <row r="33">
      <c r="A33" s="153" t="n">
        <v>46064</v>
      </c>
      <c r="B33" s="154" t="n"/>
      <c r="C33" s="154">
        <f>TEXT(A33,"dddd")</f>
        <v/>
      </c>
      <c r="D33" s="154" t="n"/>
      <c r="E33" s="154" t="n"/>
      <c r="F33" s="208">
        <f>IF($A33="","",$E33*Summary!$B$8)</f>
        <v/>
      </c>
      <c r="G33" s="208">
        <f>IF($A33="","",F33*Summary!$B$9)</f>
        <v/>
      </c>
      <c r="H33" s="209">
        <f>IF($A33="","",SUMIFS('Raw daily data'!$F:$F,'Raw daily data'!$I:$I,$A33))</f>
        <v/>
      </c>
      <c r="I33" s="209">
        <f>I32+H33</f>
        <v/>
      </c>
      <c r="J33" s="209">
        <f>SUMIF($B$2:$B$41,B33,$H$2:$H$41)</f>
        <v/>
      </c>
      <c r="K33" s="209">
        <f>Summary!$B$6</f>
        <v/>
      </c>
      <c r="L33" s="209">
        <f>J33-K33</f>
        <v/>
      </c>
      <c r="N33">
        <f>IF($A33="","",COUNTIFS('Raw daily data'!$I:$I,$A33))</f>
        <v/>
      </c>
      <c r="O33">
        <f>IF($A33="","",COUNTIFS('Raw daily data'!$I:$I,$A33,'Raw daily data'!$F:$F,"&gt;0"))</f>
        <v/>
      </c>
      <c r="P33">
        <f>IF($A33="","",COUNTIFS('Raw daily data'!$I:$I,$A33,'Raw daily data'!$F:$F,"&lt;0"))</f>
        <v/>
      </c>
      <c r="Q33" s="205">
        <f>IF($A33="","",SUMIFS('Raw daily data'!$F:$F,'Raw daily data'!$I:$I,$A33,'Raw daily data'!$F:$F,"&gt;0"))</f>
        <v/>
      </c>
      <c r="R33" s="205">
        <f>IF($A33="","",ABS(SUMIFS('Raw daily data'!$F:$F,'Raw daily data'!$I:$I,$A33,'Raw daily data'!$F:$F,"&lt;0")))</f>
        <v/>
      </c>
      <c r="S33" s="123">
        <f>IF(N33&gt;0,O33/N33,"")</f>
        <v/>
      </c>
      <c r="T33" s="5">
        <f>IF(R33&gt;0,Q33/ABS(R33),"")</f>
        <v/>
      </c>
      <c r="U33" s="91">
        <f>IF(F33&gt;0,H33/F33,"")</f>
        <v/>
      </c>
      <c r="V33" s="123">
        <f>IF(H33&lt;0,MIN(ABS(H33)/G33,1),0)</f>
        <v/>
      </c>
      <c r="W33" s="205">
        <f>IF($A33="","",_xlfn.MAXIFS('Raw daily data'!$J:$J,'Raw daily data'!$I:$I,$A33))</f>
        <v/>
      </c>
      <c r="X33" s="123">
        <f>IF(W33&gt;=0,0,ABS(W33)/G33)</f>
        <v/>
      </c>
      <c r="Y33" s="123">
        <f>IFERROR(IF($A33="","",ABS(MIN(0,_xlfn.MINIFS('Raw daily data'!$J:$J,'Raw daily data'!$I:$I,$A33)))/G33),"")</f>
        <v/>
      </c>
    </row>
    <row r="34">
      <c r="A34" s="153" t="n">
        <v>46065</v>
      </c>
      <c r="B34" s="154" t="n"/>
      <c r="C34" s="154">
        <f>TEXT(A34,"dddd")</f>
        <v/>
      </c>
      <c r="D34" s="154" t="n"/>
      <c r="E34" s="154" t="n"/>
      <c r="F34" s="208">
        <f>IF($A34="","",$E34*Summary!$B$8)</f>
        <v/>
      </c>
      <c r="G34" s="208">
        <f>IF($A34="","",F34*Summary!$B$9)</f>
        <v/>
      </c>
      <c r="H34" s="209">
        <f>IF($A34="","",SUMIFS('Raw daily data'!$F:$F,'Raw daily data'!$I:$I,$A34))</f>
        <v/>
      </c>
      <c r="I34" s="209">
        <f>I33+H34</f>
        <v/>
      </c>
      <c r="J34" s="209">
        <f>SUMIF($B$2:$B$41,B34,$H$2:$H$41)</f>
        <v/>
      </c>
      <c r="K34" s="209">
        <f>Summary!$B$6</f>
        <v/>
      </c>
      <c r="L34" s="209">
        <f>J34-K34</f>
        <v/>
      </c>
      <c r="N34">
        <f>IF($A34="","",COUNTIFS('Raw daily data'!$I:$I,$A34))</f>
        <v/>
      </c>
      <c r="O34">
        <f>IF($A34="","",COUNTIFS('Raw daily data'!$I:$I,$A34,'Raw daily data'!$F:$F,"&gt;0"))</f>
        <v/>
      </c>
      <c r="P34">
        <f>IF($A34="","",COUNTIFS('Raw daily data'!$I:$I,$A34,'Raw daily data'!$F:$F,"&lt;0"))</f>
        <v/>
      </c>
      <c r="Q34" s="205">
        <f>IF($A34="","",SUMIFS('Raw daily data'!$F:$F,'Raw daily data'!$I:$I,$A34,'Raw daily data'!$F:$F,"&gt;0"))</f>
        <v/>
      </c>
      <c r="R34" s="205">
        <f>IF($A34="","",ABS(SUMIFS('Raw daily data'!$F:$F,'Raw daily data'!$I:$I,$A34,'Raw daily data'!$F:$F,"&lt;0")))</f>
        <v/>
      </c>
      <c r="S34" s="123">
        <f>IF(N34&gt;0,O34/N34,"")</f>
        <v/>
      </c>
      <c r="T34" s="5">
        <f>IF(R34&gt;0,Q34/ABS(R34),"")</f>
        <v/>
      </c>
      <c r="U34" s="91">
        <f>IF(F34&gt;0,H34/F34,"")</f>
        <v/>
      </c>
      <c r="V34" s="123">
        <f>IF(H34&lt;0,MIN(ABS(H34)/G34,1),0)</f>
        <v/>
      </c>
      <c r="W34" s="205">
        <f>IF($A34="","",_xlfn.MAXIFS('Raw daily data'!$J:$J,'Raw daily data'!$I:$I,$A34))</f>
        <v/>
      </c>
      <c r="X34" s="123">
        <f>IF(W34&gt;=0,0,ABS(W34)/G34)</f>
        <v/>
      </c>
      <c r="Y34" s="123">
        <f>IFERROR(IF($A34="","",ABS(MIN(0,_xlfn.MINIFS('Raw daily data'!$J:$J,'Raw daily data'!$I:$I,$A34)))/G34),"")</f>
        <v/>
      </c>
    </row>
    <row r="35">
      <c r="A35" s="153" t="n">
        <v>46066</v>
      </c>
      <c r="B35" s="154" t="n"/>
      <c r="C35" s="154">
        <f>TEXT(A35,"dddd")</f>
        <v/>
      </c>
      <c r="D35" s="154" t="n"/>
      <c r="E35" s="154" t="n"/>
      <c r="F35" s="208">
        <f>IF($A35="","",$E35*Summary!$B$8)</f>
        <v/>
      </c>
      <c r="G35" s="208">
        <f>IF($A35="","",F35*Summary!$B$9)</f>
        <v/>
      </c>
      <c r="H35" s="209">
        <f>IF($A35="","",SUMIFS('Raw daily data'!$F:$F,'Raw daily data'!$I:$I,$A35))</f>
        <v/>
      </c>
      <c r="I35" s="209">
        <f>I34+H35</f>
        <v/>
      </c>
      <c r="J35" s="209">
        <f>SUMIF($B$2:$B$41,B35,$H$2:$H$41)</f>
        <v/>
      </c>
      <c r="K35" s="209">
        <f>Summary!$B$6</f>
        <v/>
      </c>
      <c r="L35" s="209">
        <f>J35-K35</f>
        <v/>
      </c>
      <c r="N35">
        <f>IF($A35="","",COUNTIFS('Raw daily data'!$I:$I,$A35))</f>
        <v/>
      </c>
      <c r="O35">
        <f>IF($A35="","",COUNTIFS('Raw daily data'!$I:$I,$A35,'Raw daily data'!$F:$F,"&gt;0"))</f>
        <v/>
      </c>
      <c r="P35">
        <f>IF($A35="","",COUNTIFS('Raw daily data'!$I:$I,$A35,'Raw daily data'!$F:$F,"&lt;0"))</f>
        <v/>
      </c>
      <c r="Q35" s="205">
        <f>IF($A35="","",SUMIFS('Raw daily data'!$F:$F,'Raw daily data'!$I:$I,$A35,'Raw daily data'!$F:$F,"&gt;0"))</f>
        <v/>
      </c>
      <c r="R35" s="205">
        <f>IF($A35="","",ABS(SUMIFS('Raw daily data'!$F:$F,'Raw daily data'!$I:$I,$A35,'Raw daily data'!$F:$F,"&lt;0")))</f>
        <v/>
      </c>
      <c r="S35" s="123">
        <f>IF(N35&gt;0,O35/N35,"")</f>
        <v/>
      </c>
      <c r="T35" s="5">
        <f>IF(R35&gt;0,Q35/ABS(R35),"")</f>
        <v/>
      </c>
      <c r="U35" s="91">
        <f>IF(F35&gt;0,H35/F35,"")</f>
        <v/>
      </c>
      <c r="V35" s="123">
        <f>IF(H35&lt;0,MIN(ABS(H35)/G35,1),0)</f>
        <v/>
      </c>
      <c r="W35" s="205">
        <f>IF($A35="","",_xlfn.MAXIFS('Raw daily data'!$J:$J,'Raw daily data'!$I:$I,$A35))</f>
        <v/>
      </c>
      <c r="X35" s="123">
        <f>IF(W35&gt;=0,0,ABS(W35)/G35)</f>
        <v/>
      </c>
      <c r="Y35" s="123">
        <f>IFERROR(IF($A35="","",ABS(MIN(0,_xlfn.MINIFS('Raw daily data'!$J:$J,'Raw daily data'!$I:$I,$A35)))/G35),"")</f>
        <v/>
      </c>
    </row>
    <row r="36">
      <c r="A36" s="153" t="n">
        <v>46067</v>
      </c>
      <c r="B36" s="154" t="n"/>
      <c r="C36" s="154">
        <f>TEXT(A36,"dddd")</f>
        <v/>
      </c>
      <c r="D36" s="154" t="n"/>
      <c r="E36" s="154" t="n"/>
      <c r="F36" s="208">
        <f>IF($A36="","",$E36*Summary!$B$8)</f>
        <v/>
      </c>
      <c r="G36" s="208">
        <f>IF($A36="","",F36*Summary!$B$9)</f>
        <v/>
      </c>
      <c r="H36" s="209">
        <f>IF($A36="","",SUMIFS('Raw daily data'!$F:$F,'Raw daily data'!$I:$I,$A36))</f>
        <v/>
      </c>
      <c r="I36" s="209">
        <f>I35+H36</f>
        <v/>
      </c>
      <c r="J36" s="209">
        <f>SUMIF($B$2:$B$41,B36,$H$2:$H$41)</f>
        <v/>
      </c>
      <c r="K36" s="209">
        <f>Summary!$B$6</f>
        <v/>
      </c>
      <c r="L36" s="209">
        <f>J36-K36</f>
        <v/>
      </c>
      <c r="N36">
        <f>IF($A36="","",COUNTIFS('Raw daily data'!$I:$I,$A36))</f>
        <v/>
      </c>
      <c r="O36">
        <f>IF($A36="","",COUNTIFS('Raw daily data'!$I:$I,$A36,'Raw daily data'!$F:$F,"&gt;0"))</f>
        <v/>
      </c>
      <c r="P36">
        <f>IF($A36="","",COUNTIFS('Raw daily data'!$I:$I,$A36,'Raw daily data'!$F:$F,"&lt;0"))</f>
        <v/>
      </c>
      <c r="Q36" s="205">
        <f>IF($A36="","",SUMIFS('Raw daily data'!$F:$F,'Raw daily data'!$I:$I,$A36,'Raw daily data'!$F:$F,"&gt;0"))</f>
        <v/>
      </c>
      <c r="R36" s="205">
        <f>IF($A36="","",ABS(SUMIFS('Raw daily data'!$F:$F,'Raw daily data'!$I:$I,$A36,'Raw daily data'!$F:$F,"&lt;0")))</f>
        <v/>
      </c>
      <c r="S36" s="123">
        <f>IF(N36&gt;0,O36/N36,"")</f>
        <v/>
      </c>
      <c r="T36" s="5">
        <f>IF(R36&gt;0,Q36/ABS(R36),"")</f>
        <v/>
      </c>
      <c r="U36" s="91">
        <f>IF(F36&gt;0,H36/F36,"")</f>
        <v/>
      </c>
      <c r="V36" s="123">
        <f>IF(H36&lt;0,MIN(ABS(H36)/G36,1),0)</f>
        <v/>
      </c>
      <c r="W36" s="205">
        <f>IF($A36="","",_xlfn.MAXIFS('Raw daily data'!$J:$J,'Raw daily data'!$I:$I,$A36))</f>
        <v/>
      </c>
      <c r="X36" s="123">
        <f>IF(W36&gt;=0,0,ABS(W36)/G36)</f>
        <v/>
      </c>
      <c r="Y36" s="123">
        <f>IFERROR(IF($A36="","",ABS(MIN(0,_xlfn.MINIFS('Raw daily data'!$J:$J,'Raw daily data'!$I:$I,$A36)))/G36),"")</f>
        <v/>
      </c>
    </row>
    <row r="37">
      <c r="A37" s="153" t="n">
        <v>46068</v>
      </c>
      <c r="B37" s="154" t="n"/>
      <c r="C37" s="154">
        <f>TEXT(A37,"dddd")</f>
        <v/>
      </c>
      <c r="D37" s="154" t="n"/>
      <c r="E37" s="154" t="n"/>
      <c r="F37" s="208">
        <f>IF($A37="","",$E37*Summary!$B$8)</f>
        <v/>
      </c>
      <c r="G37" s="208">
        <f>IF($A37="","",F37*Summary!$B$9)</f>
        <v/>
      </c>
      <c r="H37" s="209">
        <f>IF($A37="","",SUMIFS('Raw daily data'!$F:$F,'Raw daily data'!$I:$I,$A37))</f>
        <v/>
      </c>
      <c r="I37" s="209">
        <f>I36+H37</f>
        <v/>
      </c>
      <c r="J37" s="209">
        <f>SUMIF($B$2:$B$41,B37,$H$2:$H$41)</f>
        <v/>
      </c>
      <c r="K37" s="209">
        <f>Summary!$B$6</f>
        <v/>
      </c>
      <c r="L37" s="209">
        <f>J37-K37</f>
        <v/>
      </c>
      <c r="N37">
        <f>IF($A37="","",COUNTIFS('Raw daily data'!$I:$I,$A37))</f>
        <v/>
      </c>
      <c r="O37">
        <f>IF($A37="","",COUNTIFS('Raw daily data'!$I:$I,$A37,'Raw daily data'!$F:$F,"&gt;0"))</f>
        <v/>
      </c>
      <c r="P37">
        <f>IF($A37="","",COUNTIFS('Raw daily data'!$I:$I,$A37,'Raw daily data'!$F:$F,"&lt;0"))</f>
        <v/>
      </c>
      <c r="Q37" s="205">
        <f>IF($A37="","",SUMIFS('Raw daily data'!$F:$F,'Raw daily data'!$I:$I,$A37,'Raw daily data'!$F:$F,"&gt;0"))</f>
        <v/>
      </c>
      <c r="R37" s="205">
        <f>IF($A37="","",ABS(SUMIFS('Raw daily data'!$F:$F,'Raw daily data'!$I:$I,$A37,'Raw daily data'!$F:$F,"&lt;0")))</f>
        <v/>
      </c>
      <c r="S37" s="123">
        <f>IF(N37&gt;0,O37/N37,"")</f>
        <v/>
      </c>
      <c r="T37" s="5">
        <f>IF(R37&gt;0,Q37/ABS(R37),"")</f>
        <v/>
      </c>
      <c r="U37" s="91">
        <f>IF(F37&gt;0,H37/F37,"")</f>
        <v/>
      </c>
      <c r="V37" s="123">
        <f>IF(H37&lt;0,MIN(ABS(H37)/G37,1),0)</f>
        <v/>
      </c>
      <c r="W37" s="205">
        <f>IF($A37="","",_xlfn.MAXIFS('Raw daily data'!$J:$J,'Raw daily data'!$I:$I,$A37))</f>
        <v/>
      </c>
      <c r="X37" s="123">
        <f>IF(W37&gt;=0,0,ABS(W37)/G37)</f>
        <v/>
      </c>
      <c r="Y37" s="123">
        <f>IFERROR(IF($A37="","",ABS(MIN(0,_xlfn.MINIFS('Raw daily data'!$J:$J,'Raw daily data'!$I:$I,$A37)))/G37),"")</f>
        <v/>
      </c>
    </row>
    <row r="38">
      <c r="A38" s="153" t="n">
        <v>46069</v>
      </c>
      <c r="B38" s="154" t="n"/>
      <c r="C38" s="154">
        <f>TEXT(A38,"dddd")</f>
        <v/>
      </c>
      <c r="D38" s="154" t="n"/>
      <c r="E38" s="154" t="n"/>
      <c r="F38" s="208">
        <f>IF($A38="","",$E38*Summary!$B$8)</f>
        <v/>
      </c>
      <c r="G38" s="208">
        <f>IF($A38="","",F38*Summary!$B$9)</f>
        <v/>
      </c>
      <c r="H38" s="209">
        <f>IF($A38="","",SUMIFS('Raw daily data'!$F:$F,'Raw daily data'!$I:$I,$A38))</f>
        <v/>
      </c>
      <c r="I38" s="209">
        <f>I37+H38</f>
        <v/>
      </c>
      <c r="J38" s="209">
        <f>SUMIF($B$2:$B$41,B38,$H$2:$H$41)</f>
        <v/>
      </c>
      <c r="K38" s="209">
        <f>Summary!$B$6</f>
        <v/>
      </c>
      <c r="L38" s="209">
        <f>J38-K38</f>
        <v/>
      </c>
      <c r="N38">
        <f>IF($A38="","",COUNTIFS('Raw daily data'!$I:$I,$A38))</f>
        <v/>
      </c>
      <c r="O38">
        <f>IF($A38="","",COUNTIFS('Raw daily data'!$I:$I,$A38,'Raw daily data'!$F:$F,"&gt;0"))</f>
        <v/>
      </c>
      <c r="P38">
        <f>IF($A38="","",COUNTIFS('Raw daily data'!$I:$I,$A38,'Raw daily data'!$F:$F,"&lt;0"))</f>
        <v/>
      </c>
      <c r="Q38" s="205">
        <f>IF($A38="","",SUMIFS('Raw daily data'!$F:$F,'Raw daily data'!$I:$I,$A38,'Raw daily data'!$F:$F,"&gt;0"))</f>
        <v/>
      </c>
      <c r="R38" s="205">
        <f>IF($A38="","",ABS(SUMIFS('Raw daily data'!$F:$F,'Raw daily data'!$I:$I,$A38,'Raw daily data'!$F:$F,"&lt;0")))</f>
        <v/>
      </c>
      <c r="S38" s="123">
        <f>IF(N38&gt;0,O38/N38,"")</f>
        <v/>
      </c>
      <c r="T38" s="5">
        <f>IF(R38&gt;0,Q38/ABS(R38),"")</f>
        <v/>
      </c>
      <c r="U38" s="91">
        <f>IF(F38&gt;0,H38/F38,"")</f>
        <v/>
      </c>
      <c r="V38" s="123">
        <f>IF(H38&lt;0,MIN(ABS(H38)/G38,1),0)</f>
        <v/>
      </c>
      <c r="W38" s="205">
        <f>IF($A38="","",_xlfn.MAXIFS('Raw daily data'!$J:$J,'Raw daily data'!$I:$I,$A38))</f>
        <v/>
      </c>
      <c r="X38" s="123">
        <f>IF(W38&gt;=0,0,ABS(W38)/G38)</f>
        <v/>
      </c>
      <c r="Y38" s="123">
        <f>IFERROR(IF($A38="","",ABS(MIN(0,_xlfn.MINIFS('Raw daily data'!$J:$J,'Raw daily data'!$I:$I,$A38)))/G38),"")</f>
        <v/>
      </c>
    </row>
    <row r="39">
      <c r="A39" s="153" t="n">
        <v>46070</v>
      </c>
      <c r="B39" s="154" t="n"/>
      <c r="C39" s="154">
        <f>TEXT(A39,"dddd")</f>
        <v/>
      </c>
      <c r="D39" s="154" t="n"/>
      <c r="E39" s="154" t="n"/>
      <c r="F39" s="208">
        <f>IF($A39="","",$E39*Summary!$B$8)</f>
        <v/>
      </c>
      <c r="G39" s="208">
        <f>IF($A39="","",F39*Summary!$B$9)</f>
        <v/>
      </c>
      <c r="H39" s="209">
        <f>IF($A39="","",SUMIFS('Raw daily data'!$F:$F,'Raw daily data'!$I:$I,$A39))</f>
        <v/>
      </c>
      <c r="I39" s="209">
        <f>I38+H39</f>
        <v/>
      </c>
      <c r="J39" s="209">
        <f>SUMIF($B$2:$B$41,B39,$H$2:$H$41)</f>
        <v/>
      </c>
      <c r="K39" s="209">
        <f>Summary!$B$6</f>
        <v/>
      </c>
      <c r="L39" s="209">
        <f>J39-K39</f>
        <v/>
      </c>
      <c r="N39">
        <f>IF($A39="","",COUNTIFS('Raw daily data'!$I:$I,$A39))</f>
        <v/>
      </c>
      <c r="O39">
        <f>IF($A39="","",COUNTIFS('Raw daily data'!$I:$I,$A39,'Raw daily data'!$F:$F,"&gt;0"))</f>
        <v/>
      </c>
      <c r="P39">
        <f>IF($A39="","",COUNTIFS('Raw daily data'!$I:$I,$A39,'Raw daily data'!$F:$F,"&lt;0"))</f>
        <v/>
      </c>
      <c r="Q39" s="205">
        <f>IF($A39="","",SUMIFS('Raw daily data'!$F:$F,'Raw daily data'!$I:$I,$A39,'Raw daily data'!$F:$F,"&gt;0"))</f>
        <v/>
      </c>
      <c r="R39" s="205">
        <f>IF($A39="","",ABS(SUMIFS('Raw daily data'!$F:$F,'Raw daily data'!$I:$I,$A39,'Raw daily data'!$F:$F,"&lt;0")))</f>
        <v/>
      </c>
      <c r="S39" s="123">
        <f>IF(N39&gt;0,O39/N39,"")</f>
        <v/>
      </c>
      <c r="T39" s="5">
        <f>IF(R39&gt;0,Q39/ABS(R39),"")</f>
        <v/>
      </c>
      <c r="U39" s="91">
        <f>IF(F39&gt;0,H39/F39,"")</f>
        <v/>
      </c>
      <c r="V39" s="123">
        <f>IF(H39&lt;0,MIN(ABS(H39)/G39,1),0)</f>
        <v/>
      </c>
      <c r="W39" s="205">
        <f>IF($A39="","",_xlfn.MAXIFS('Raw daily data'!$J:$J,'Raw daily data'!$I:$I,$A39))</f>
        <v/>
      </c>
      <c r="X39" s="123">
        <f>IF(W39&gt;=0,0,ABS(W39)/G39)</f>
        <v/>
      </c>
      <c r="Y39" s="123">
        <f>IFERROR(IF($A39="","",ABS(MIN(0,_xlfn.MINIFS('Raw daily data'!$J:$J,'Raw daily data'!$I:$I,$A39)))/G39),"")</f>
        <v/>
      </c>
    </row>
    <row r="40">
      <c r="A40" s="153" t="n">
        <v>46071</v>
      </c>
      <c r="B40" s="154" t="n"/>
      <c r="C40" s="154">
        <f>TEXT(A40,"dddd")</f>
        <v/>
      </c>
      <c r="D40" s="154" t="n"/>
      <c r="E40" s="154" t="n"/>
      <c r="F40" s="208">
        <f>IF($A40="","",$E40*Summary!$B$8)</f>
        <v/>
      </c>
      <c r="G40" s="208">
        <f>IF($A40="","",F40*Summary!$B$9)</f>
        <v/>
      </c>
      <c r="H40" s="209">
        <f>IF($A40="","",SUMIFS('Raw daily data'!$F:$F,'Raw daily data'!$I:$I,$A40))</f>
        <v/>
      </c>
      <c r="I40" s="209">
        <f>I39+H40</f>
        <v/>
      </c>
      <c r="J40" s="209">
        <f>SUMIF($B$2:$B$41,B40,$H$2:$H$41)</f>
        <v/>
      </c>
      <c r="K40" s="209">
        <f>Summary!$B$6</f>
        <v/>
      </c>
      <c r="L40" s="209">
        <f>J40-K40</f>
        <v/>
      </c>
      <c r="N40">
        <f>IF($A40="","",COUNTIFS('Raw daily data'!$I:$I,$A40))</f>
        <v/>
      </c>
      <c r="O40">
        <f>IF($A40="","",COUNTIFS('Raw daily data'!$I:$I,$A40,'Raw daily data'!$F:$F,"&gt;0"))</f>
        <v/>
      </c>
      <c r="P40">
        <f>IF($A40="","",COUNTIFS('Raw daily data'!$I:$I,$A40,'Raw daily data'!$F:$F,"&lt;0"))</f>
        <v/>
      </c>
      <c r="Q40" s="205">
        <f>IF($A40="","",SUMIFS('Raw daily data'!$F:$F,'Raw daily data'!$I:$I,$A40,'Raw daily data'!$F:$F,"&gt;0"))</f>
        <v/>
      </c>
      <c r="R40" s="205">
        <f>IF($A40="","",ABS(SUMIFS('Raw daily data'!$F:$F,'Raw daily data'!$I:$I,$A40,'Raw daily data'!$F:$F,"&lt;0")))</f>
        <v/>
      </c>
      <c r="S40" s="123">
        <f>IF(N40&gt;0,O40/N40,"")</f>
        <v/>
      </c>
      <c r="T40" s="5">
        <f>IF(R40&gt;0,Q40/ABS(R40),"")</f>
        <v/>
      </c>
      <c r="U40" s="91">
        <f>IF(F40&gt;0,H40/F40,"")</f>
        <v/>
      </c>
      <c r="V40" s="123">
        <f>IF(H40&lt;0,MIN(ABS(H40)/G40,1),0)</f>
        <v/>
      </c>
      <c r="W40" s="205">
        <f>IF($A40="","",_xlfn.MAXIFS('Raw daily data'!$J:$J,'Raw daily data'!$I:$I,$A40))</f>
        <v/>
      </c>
      <c r="X40" s="123">
        <f>IF(W40&gt;=0,0,ABS(W40)/G40)</f>
        <v/>
      </c>
      <c r="Y40" s="123">
        <f>IFERROR(IF($A40="","",ABS(MIN(0,_xlfn.MINIFS('Raw daily data'!$J:$J,'Raw daily data'!$I:$I,$A40)))/G40),"")</f>
        <v/>
      </c>
    </row>
    <row r="41">
      <c r="A41" s="153" t="n">
        <v>46072</v>
      </c>
      <c r="B41" s="154" t="n"/>
      <c r="C41" s="154">
        <f>TEXT(A41,"dddd")</f>
        <v/>
      </c>
      <c r="D41" s="154" t="n"/>
      <c r="E41" s="154" t="n"/>
      <c r="F41" s="208">
        <f>IF($A41="","",$E41*Summary!$B$8)</f>
        <v/>
      </c>
      <c r="G41" s="208">
        <f>IF($A41="","",F41*Summary!$B$9)</f>
        <v/>
      </c>
      <c r="H41" s="209">
        <f>IF($A41="","",SUMIFS('Raw daily data'!$F:$F,'Raw daily data'!$I:$I,$A41))</f>
        <v/>
      </c>
      <c r="I41" s="209">
        <f>I40+H41</f>
        <v/>
      </c>
      <c r="J41" s="209">
        <f>SUMIF($B$2:$B$41,B41,$H$2:$H$41)</f>
        <v/>
      </c>
      <c r="K41" s="209">
        <f>Summary!$B$6</f>
        <v/>
      </c>
      <c r="L41" s="209">
        <f>J41-K41</f>
        <v/>
      </c>
      <c r="N41">
        <f>IF($A41="","",COUNTIFS('Raw daily data'!$I:$I,$A41))</f>
        <v/>
      </c>
      <c r="O41">
        <f>IF($A41="","",COUNTIFS('Raw daily data'!$I:$I,$A41,'Raw daily data'!$F:$F,"&gt;0"))</f>
        <v/>
      </c>
      <c r="P41">
        <f>IF($A41="","",COUNTIFS('Raw daily data'!$I:$I,$A41,'Raw daily data'!$F:$F,"&lt;0"))</f>
        <v/>
      </c>
      <c r="Q41" s="205">
        <f>IF($A41="","",SUMIFS('Raw daily data'!$F:$F,'Raw daily data'!$I:$I,$A41,'Raw daily data'!$F:$F,"&gt;0"))</f>
        <v/>
      </c>
      <c r="R41" s="205">
        <f>IF($A41="","",ABS(SUMIFS('Raw daily data'!$F:$F,'Raw daily data'!$I:$I,$A41,'Raw daily data'!$F:$F,"&lt;0")))</f>
        <v/>
      </c>
      <c r="S41" s="123">
        <f>IF(N41&gt;0,O41/N41,"")</f>
        <v/>
      </c>
      <c r="T41" s="5">
        <f>IF(R41&gt;0,Q41/ABS(R41),"")</f>
        <v/>
      </c>
      <c r="U41" s="91">
        <f>IF(F41&gt;0,H41/F41,"")</f>
        <v/>
      </c>
      <c r="V41" s="123">
        <f>IF(H41&lt;0,MIN(ABS(H41)/G41,1),0)</f>
        <v/>
      </c>
      <c r="W41" s="205">
        <f>IF($A41="","",_xlfn.MAXIFS('Raw daily data'!$J:$J,'Raw daily data'!$I:$I,$A41))</f>
        <v/>
      </c>
      <c r="X41" s="123">
        <f>IF(W41&gt;=0,0,ABS(W41)/G41)</f>
        <v/>
      </c>
      <c r="Y41" s="123">
        <f>IFERROR(IF($A41="","",ABS(MIN(0,_xlfn.MINIFS('Raw daily data'!$J:$J,'Raw daily data'!$I:$I,$A41)))/G41),"")</f>
        <v/>
      </c>
    </row>
  </sheetData>
  <dataValidations count="1">
    <dataValidation sqref="D2:D100" showDropDown="0" showInputMessage="1" showErrorMessage="1" allowBlank="1" type="list">
      <formula1>"Y,N"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H4" sqref="H4"/>
    </sheetView>
  </sheetViews>
  <sheetFormatPr baseColWidth="8" defaultColWidth="45" defaultRowHeight="14.5"/>
  <cols>
    <col width="9.81640625" customWidth="1" style="175" min="1" max="1"/>
    <col width="11" customWidth="1" style="175" min="2" max="2"/>
    <col width="7" customWidth="1" style="175" min="3" max="3"/>
    <col width="10.81640625" customWidth="1" style="175" min="4" max="4"/>
    <col width="10" customWidth="1" style="175" min="5" max="5"/>
    <col width="12.26953125" customWidth="1" style="175" min="6" max="6"/>
    <col width="11.81640625" customWidth="1" style="175" min="7" max="7"/>
    <col width="33.54296875" customWidth="1" style="175" min="8" max="8"/>
    <col width="15.08984375" customWidth="1" style="175" min="9" max="9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Side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Profit</t>
        </is>
      </c>
      <c r="G1" s="1" t="inlineStr">
        <is>
          <t>Deal ID</t>
        </is>
      </c>
      <c r="H1" s="1" t="inlineStr">
        <is>
          <t>Time</t>
        </is>
      </c>
      <c r="I1" s="1" t="inlineStr">
        <is>
          <t>Trade Date</t>
        </is>
      </c>
      <c r="J1" s="1" t="inlineStr">
        <is>
          <t>Cumulative P&amp;L for the day</t>
        </is>
      </c>
    </row>
    <row r="2">
      <c r="A2" s="1" t="inlineStr">
        <is>
          <t>EURUSD</t>
        </is>
      </c>
      <c r="B2" s="1" t="inlineStr">
        <is>
          <t>EUR_USD</t>
        </is>
      </c>
      <c r="C2" s="1" t="inlineStr">
        <is>
          <t>sell</t>
        </is>
      </c>
      <c r="D2" s="1" t="n">
        <v>200000</v>
      </c>
      <c r="E2" s="1" t="n">
        <v>1.15899</v>
      </c>
      <c r="F2" s="1" t="n">
        <v>-60</v>
      </c>
      <c r="G2" s="1" t="n">
        <v>12607</v>
      </c>
      <c r="H2" s="1" t="inlineStr">
        <is>
          <t>Wed, 11 Jan 2026 12:06:06 GMT</t>
        </is>
      </c>
      <c r="I2" s="211">
        <f>IF(H2="","",DATEVALUE(MID(H2,6,11)))</f>
        <v/>
      </c>
      <c r="J2" s="150">
        <f>IF(F2="","",F2+IF(I2=I1,J1,0))</f>
        <v/>
      </c>
    </row>
    <row r="3">
      <c r="A3" s="1" t="inlineStr">
        <is>
          <t>EURUSD</t>
        </is>
      </c>
      <c r="B3" s="1" t="inlineStr">
        <is>
          <t>EUR_USD</t>
        </is>
      </c>
      <c r="C3" s="1" t="inlineStr">
        <is>
          <t>sell</t>
        </is>
      </c>
      <c r="D3" s="1" t="n">
        <v>500002</v>
      </c>
      <c r="E3" s="1" t="n">
        <v>1.15829</v>
      </c>
      <c r="F3" s="1" t="n">
        <v>575.0023</v>
      </c>
      <c r="G3" s="1" t="n">
        <v>12594</v>
      </c>
      <c r="H3" s="1" t="inlineStr">
        <is>
          <t>Wed, 12 Jan 2026 12:06:06 GMT</t>
        </is>
      </c>
      <c r="I3" s="211">
        <f>IF(H3="","",DATEVALUE(MID(H3,6,11)))</f>
        <v/>
      </c>
      <c r="J3" s="150">
        <f>IF(F3="","",F3+IF(I3=I2,J2,0))</f>
        <v/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211">
        <f>IF(H4="","",DATEVALUE(MID(H4,6,11)))</f>
        <v/>
      </c>
      <c r="J4" s="150">
        <f>IF(F4="","",F4+IF(I4=I3,J3,0))</f>
        <v/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211">
        <f>IF(H5="","",DATEVALUE(MID(H5,6,11)))</f>
        <v/>
      </c>
      <c r="J5" s="150">
        <f>IF(F5="","",F5+IF(I5=I4,J4,0))</f>
        <v/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211">
        <f>IF(H6="","",DATEVALUE(MID(H6,6,11)))</f>
        <v/>
      </c>
      <c r="J6" s="150">
        <f>IF(F6="","",F6+IF(I6=I5,J5,0))</f>
        <v/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211">
        <f>IF(H7="","",DATEVALUE(MID(H7,6,11)))</f>
        <v/>
      </c>
      <c r="J7" s="150">
        <f>IF(F7="","",F7+IF(I7=I6,J6,0))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211">
        <f>IF(H8="","",DATEVALUE(MID(H8,6,11)))</f>
        <v/>
      </c>
      <c r="J8" s="150">
        <f>IF(F8="","",F8+IF(I8=I7,J7,0))</f>
        <v/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211">
        <f>IF(H9="","",DATEVALUE(MID(H9,6,11)))</f>
        <v/>
      </c>
      <c r="J9" s="150">
        <f>IF(F9="","",F9+IF(I9=I8,J8,0))</f>
        <v/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211">
        <f>IF(H10="","",DATEVALUE(MID(H10,6,11)))</f>
        <v/>
      </c>
      <c r="J10" s="150">
        <f>IF(F10="","",F10+IF(I10=I9,J9,0))</f>
        <v/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211">
        <f>IF(H11="","",DATEVALUE(MID(H11,6,11)))</f>
        <v/>
      </c>
      <c r="J11" s="150">
        <f>IF(F11="","",F11+IF(I11=I10,J10,0))</f>
        <v/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211">
        <f>IF(H12="","",DATEVALUE(MID(H12,6,11)))</f>
        <v/>
      </c>
      <c r="J12" s="150">
        <f>IF(F12="","",F12+IF(I12=I11,J11,0))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211">
        <f>IF(H13="","",DATEVALUE(MID(H13,6,11)))</f>
        <v/>
      </c>
      <c r="J13" s="150">
        <f>IF(F13="","",F13+IF(I13=I12,J12,0))</f>
        <v/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211">
        <f>IF(H14="","",DATEVALUE(MID(H14,6,11)))</f>
        <v/>
      </c>
      <c r="J14" s="150">
        <f>IF(F14="","",F14+IF(I14=I13,J13,0))</f>
        <v/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211">
        <f>IF(H15="","",DATEVALUE(MID(H15,6,11)))</f>
        <v/>
      </c>
      <c r="J15" s="150">
        <f>IF(F15="","",F15+IF(I15=I14,J14,0))</f>
        <v/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211">
        <f>IF(H16="","",DATEVALUE(MID(H16,6,11)))</f>
        <v/>
      </c>
      <c r="J16" s="150">
        <f>IF(F16="","",F16+IF(I16=I15,J15,0))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211">
        <f>IF(H17="","",DATEVALUE(MID(H17,6,11)))</f>
        <v/>
      </c>
      <c r="J17" s="150">
        <f>IF(F17="","",F17+IF(I17=I16,J16,0))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211">
        <f>IF(H18="","",DATEVALUE(MID(H18,6,11)))</f>
        <v/>
      </c>
      <c r="J18" s="150">
        <f>IF(F18="","",F18+IF(I18=I17,J17,0))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211">
        <f>IF(H19="","",DATEVALUE(MID(H19,6,11)))</f>
        <v/>
      </c>
      <c r="J19" s="150">
        <f>IF(F19="","",F19+IF(I19=I18,J18,0))</f>
        <v/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211">
        <f>IF(H20="","",DATEVALUE(MID(H20,6,11)))</f>
        <v/>
      </c>
      <c r="J20" s="150">
        <f>IF(F20="","",F20+IF(I20=I19,J19,0))</f>
        <v/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211">
        <f>IF(H21="","",DATEVALUE(MID(H21,6,11)))</f>
        <v/>
      </c>
      <c r="J21" s="150">
        <f>IF(F21="","",F21+IF(I21=I20,J20,0))</f>
        <v/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11">
        <f>IF(H22="","",DATEVALUE(MID(H22,6,11)))</f>
        <v/>
      </c>
      <c r="J22" s="150">
        <f>IF(F22="","",F22+IF(I22=I21,J21,0))</f>
        <v/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211">
        <f>IF(H23="","",DATEVALUE(MID(H23,6,11)))</f>
        <v/>
      </c>
      <c r="J23" s="150">
        <f>IF(F23="","",F23+IF(I23=I22,J22,0))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211">
        <f>IF(H24="","",DATEVALUE(MID(H24,6,11)))</f>
        <v/>
      </c>
      <c r="J24" s="150">
        <f>IF(F24="","",F24+IF(I24=I23,J23,0))</f>
        <v/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211">
        <f>IF(H25="","",DATEVALUE(MID(H25,6,11)))</f>
        <v/>
      </c>
      <c r="J25" s="150">
        <f>IF(F25="","",F25+IF(I25=I24,J24,0))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211">
        <f>IF(H26="","",DATEVALUE(MID(H26,6,11)))</f>
        <v/>
      </c>
      <c r="J26" s="150">
        <f>IF(F26="","",F26+IF(I26=I25,J25,0))</f>
        <v/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211">
        <f>IF(H27="","",DATEVALUE(MID(H27,6,11)))</f>
        <v/>
      </c>
      <c r="J27" s="150">
        <f>IF(F27="","",F27+IF(I27=I26,J26,0))</f>
        <v/>
      </c>
    </row>
    <row r="28">
      <c r="I28" s="211">
        <f>IF(H28="","",DATEVALUE(MID(H28,6,11)))</f>
        <v/>
      </c>
      <c r="J28" s="150">
        <f>IF(F28="","",F28+IF(I28=I27,J27,0))</f>
        <v/>
      </c>
    </row>
    <row r="29">
      <c r="I29" s="211">
        <f>IF(H29="","",DATEVALUE(MID(H29,6,11)))</f>
        <v/>
      </c>
      <c r="J29" s="150">
        <f>IF(F29="","",F29+IF(I29=I28,J28,0))</f>
        <v/>
      </c>
    </row>
    <row r="30">
      <c r="I30" s="211">
        <f>IF(H30="","",DATEVALUE(MID(H30,6,11)))</f>
        <v/>
      </c>
      <c r="J30" s="150">
        <f>IF(F30="","",F30+IF(I30=I29,J29,0))</f>
        <v/>
      </c>
    </row>
    <row r="31">
      <c r="I31" s="211">
        <f>IF(H31="","",DATEVALUE(MID(H31,6,11)))</f>
        <v/>
      </c>
      <c r="J31" s="150">
        <f>IF(F31="","",F31+IF(I31=I30,J30,0))</f>
        <v/>
      </c>
    </row>
    <row r="32">
      <c r="I32" s="211">
        <f>IF(H32="","",DATEVALUE(MID(H32,6,11)))</f>
        <v/>
      </c>
      <c r="J32" s="150">
        <f>IF(F32="","",F32+IF(I32=I31,J31,0))</f>
        <v/>
      </c>
    </row>
    <row r="33">
      <c r="I33" s="211">
        <f>IF(H33="","",DATEVALUE(MID(H33,6,11)))</f>
        <v/>
      </c>
      <c r="J33" s="150">
        <f>IF(F33="","",F33+IF(I33=I32,J32,0))</f>
        <v/>
      </c>
    </row>
    <row r="34">
      <c r="I34" s="211">
        <f>IF(H34="","",DATEVALUE(MID(H34,6,11)))</f>
        <v/>
      </c>
      <c r="J34" s="150">
        <f>IF(F34="","",F34+IF(I34=I33,J33,0))</f>
        <v/>
      </c>
    </row>
    <row r="35">
      <c r="I35" s="211">
        <f>IF(H35="","",DATEVALUE(MID(H35,6,11)))</f>
        <v/>
      </c>
      <c r="J35" s="150">
        <f>IF(F35="","",F35+IF(I35=I34,J34,0))</f>
        <v/>
      </c>
    </row>
    <row r="36">
      <c r="I36" s="211">
        <f>IF(H36="","",DATEVALUE(MID(H36,6,11)))</f>
        <v/>
      </c>
      <c r="J36" s="150">
        <f>IF(F36="","",F36+IF(I36=I35,J35,0))</f>
        <v/>
      </c>
    </row>
    <row r="37">
      <c r="I37" s="211">
        <f>IF(H37="","",DATEVALUE(MID(H37,6,11)))</f>
        <v/>
      </c>
      <c r="J37" s="150">
        <f>IF(F37="","",F37+IF(I37=I36,J36,0))</f>
        <v/>
      </c>
    </row>
    <row r="38">
      <c r="I38" s="211">
        <f>IF(H38="","",DATEVALUE(MID(H38,6,11)))</f>
        <v/>
      </c>
      <c r="J38" s="150">
        <f>IF(F38="","",F38+IF(I38=I37,J37,0))</f>
        <v/>
      </c>
    </row>
    <row r="39">
      <c r="I39" s="211">
        <f>IF(H39="","",DATEVALUE(MID(H39,6,11)))</f>
        <v/>
      </c>
      <c r="J39" s="150">
        <f>IF(F39="","",F39+IF(I39=I38,J38,0))</f>
        <v/>
      </c>
    </row>
    <row r="40">
      <c r="I40" s="211">
        <f>IF(H40="","",DATEVALUE(MID(H40,6,11)))</f>
        <v/>
      </c>
      <c r="J40" s="150">
        <f>IF(F40="","",F40+IF(I40=I39,J39,0))</f>
        <v/>
      </c>
    </row>
    <row r="41">
      <c r="I41" s="211">
        <f>IF(H41="","",DATEVALUE(MID(H41,6,11)))</f>
        <v/>
      </c>
      <c r="J41" s="150">
        <f>IF(F41="","",F41+IF(I41=I40,J40,0))</f>
        <v/>
      </c>
    </row>
    <row r="42">
      <c r="I42" s="211">
        <f>IF(H42="","",DATEVALUE(MID(H42,6,11)))</f>
        <v/>
      </c>
      <c r="J42" s="150">
        <f>IF(F42="","",F42+IF(I42=I41,J41,0))</f>
        <v/>
      </c>
    </row>
    <row r="43">
      <c r="I43" s="211">
        <f>IF(H43="","",DATEVALUE(MID(H43,6,11)))</f>
        <v/>
      </c>
      <c r="J43" s="150">
        <f>IF(F43="","",F43+IF(I43=I42,J42,0))</f>
        <v/>
      </c>
    </row>
    <row r="44">
      <c r="I44" s="211">
        <f>IF(H44="","",DATEVALUE(MID(H44,6,11)))</f>
        <v/>
      </c>
      <c r="J44" s="150">
        <f>IF(F44="","",F44+IF(I44=I43,J43,0))</f>
        <v/>
      </c>
    </row>
    <row r="45">
      <c r="I45" s="211">
        <f>IF(H45="","",DATEVALUE(MID(H45,6,11)))</f>
        <v/>
      </c>
      <c r="J45" s="150">
        <f>IF(F45="","",F45+IF(I45=I44,J44,0))</f>
        <v/>
      </c>
    </row>
    <row r="46">
      <c r="I46" s="211">
        <f>IF(H46="","",DATEVALUE(MID(H46,6,11)))</f>
        <v/>
      </c>
      <c r="J46" s="150">
        <f>IF(F46="","",F46+IF(I46=I45,J45,0))</f>
        <v/>
      </c>
    </row>
    <row r="47">
      <c r="I47" s="211">
        <f>IF(H47="","",DATEVALUE(MID(H47,6,11)))</f>
        <v/>
      </c>
      <c r="J47" s="150">
        <f>IF(F47="","",F47+IF(I47=I46,J46,0))</f>
        <v/>
      </c>
    </row>
    <row r="48">
      <c r="I48" s="211">
        <f>IF(H48="","",DATEVALUE(MID(H48,6,11)))</f>
        <v/>
      </c>
      <c r="J48" s="150">
        <f>IF(F48="","",F48+IF(I48=I47,J47,0))</f>
        <v/>
      </c>
    </row>
    <row r="49">
      <c r="I49" s="211">
        <f>IF(H49="","",DATEVALUE(MID(H49,6,11)))</f>
        <v/>
      </c>
      <c r="J49" s="150">
        <f>IF(F49="","",F49+IF(I49=I48,J48,0))</f>
        <v/>
      </c>
    </row>
    <row r="50">
      <c r="I50" s="211">
        <f>IF(H50="","",DATEVALUE(MID(H50,6,11)))</f>
        <v/>
      </c>
      <c r="J50" s="150">
        <f>IF(F50="","",F50+IF(I50=I49,J49,0))</f>
        <v/>
      </c>
    </row>
    <row r="51">
      <c r="I51" s="211">
        <f>IF(H51="","",DATEVALUE(MID(H51,6,11)))</f>
        <v/>
      </c>
      <c r="J51" s="150">
        <f>IF(F51="","",F51+IF(I51=I50,J50,0))</f>
        <v/>
      </c>
    </row>
    <row r="52">
      <c r="I52" s="211">
        <f>IF(H52="","",DATEVALUE(MID(H52,6,11)))</f>
        <v/>
      </c>
      <c r="J52" s="150">
        <f>IF(F52="","",F52+IF(I52=I51,J51,0))</f>
        <v/>
      </c>
    </row>
  </sheetData>
  <dataValidations count="1">
    <dataValidation sqref="C2:C500" showDropDown="0" showInputMessage="1" showErrorMessage="1" allowBlank="1" type="list">
      <formula1>"buy,sell"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J69"/>
  <sheetViews>
    <sheetView topLeftCell="A21" workbookViewId="0">
      <selection activeCell="G18" sqref="G18"/>
    </sheetView>
  </sheetViews>
  <sheetFormatPr baseColWidth="8" defaultColWidth="9" defaultRowHeight="14.5"/>
  <cols>
    <col width="14" customWidth="1" style="175" min="1" max="1"/>
    <col width="17.81640625" customWidth="1" style="175" min="2" max="2"/>
    <col width="17.81640625" customWidth="1" style="175" min="4" max="4"/>
    <col width="9.54296875" customWidth="1" style="175" min="9" max="9"/>
    <col outlineLevel="1" width="38.453125" customWidth="1" style="175" min="14" max="14"/>
    <col outlineLevel="1" width="9" customWidth="1" style="175" min="15" max="16"/>
    <col outlineLevel="1" width="11" customWidth="1" style="175" min="17" max="17"/>
    <col outlineLevel="1" width="9" customWidth="1" style="175" min="18" max="18"/>
    <col outlineLevel="1" width="33.08984375" customWidth="1" style="175" min="19" max="19"/>
    <col outlineLevel="1" width="17.7265625" customWidth="1" style="175" min="20" max="20"/>
    <col outlineLevel="1" width="10.08984375" customWidth="1" style="175" min="21" max="21"/>
    <col outlineLevel="1" width="11.08984375" customWidth="1" style="175" min="22" max="22"/>
    <col outlineLevel="1" width="15.81640625" customWidth="1" style="175" min="23" max="23"/>
    <col outlineLevel="1" width="29.453125" customWidth="1" style="175" min="24" max="24"/>
    <col outlineLevel="1" width="12.26953125" customWidth="1" style="175" min="25" max="25"/>
    <col outlineLevel="1" width="9" customWidth="1" style="175" min="26" max="28"/>
    <col outlineLevel="1" width="19.08984375" customWidth="1" style="175" min="29" max="29"/>
    <col outlineLevel="1" width="13.26953125" customWidth="1" style="175" min="30" max="30"/>
    <col outlineLevel="1" width="9" customWidth="1" style="175" min="31" max="32"/>
    <col outlineLevel="1" width="12.7265625" customWidth="1" style="175" min="33" max="33"/>
    <col outlineLevel="1" width="18.453125" customWidth="1" style="175" min="34" max="34"/>
    <col outlineLevel="1" width="13.81640625" customWidth="1" style="175" min="35" max="35"/>
    <col outlineLevel="1" width="14.453125" customWidth="1" style="175" min="36" max="36"/>
    <col outlineLevel="1" width="20" customWidth="1" style="175" min="37" max="37"/>
    <col width="18" customWidth="1" style="175" min="38" max="38"/>
    <col width="14.54296875" customWidth="1" style="175" min="39" max="39"/>
    <col width="25" customWidth="1" style="175" min="40" max="40"/>
    <col width="35.08984375" customWidth="1" style="175" min="131" max="131"/>
    <col width="185.7265625" customWidth="1" style="175" min="132" max="132"/>
    <col width="18.81640625" customWidth="1" style="175" min="133" max="133"/>
    <col width="14.453125" customWidth="1" style="175" min="134" max="134"/>
    <col width="49.26953125" customWidth="1" style="175" min="135" max="135"/>
    <col width="143.7265625" customWidth="1" style="175" min="136" max="136"/>
    <col width="15.453125" customWidth="1" style="175" min="138" max="138"/>
    <col width="12" customWidth="1" style="175" min="139" max="139"/>
    <col width="13.26953125" customWidth="1" style="175" min="140" max="140"/>
  </cols>
  <sheetData>
    <row r="1" ht="18" customHeight="1" s="175">
      <c r="A1" s="181" t="inlineStr">
        <is>
          <t>EURUSD Planner HUD (inputs → outputs)</t>
        </is>
      </c>
      <c r="N1" s="185" t="inlineStr">
        <is>
          <t>BACKEND CALC — Use Planner_HUD (inputs &amp; ladders)</t>
        </is>
      </c>
      <c r="S1" t="inlineStr">
        <is>
          <t>Structure (SMC) – D1 / H4 / H1 / 15m</t>
        </is>
      </c>
      <c r="X1" t="inlineStr">
        <is>
          <t>Side</t>
        </is>
      </c>
      <c r="Y1" s="55">
        <f>IF(AND($T$8,NOT($T$9)),"LONG",IF(AND($T$9,NOT($T$8)),"SHORT",""))</f>
        <v/>
      </c>
      <c r="AC1" s="56" t="inlineStr">
        <is>
          <t>PRIMARY LADDER</t>
        </is>
      </c>
      <c r="AD1" s="57" t="inlineStr">
        <is>
          <t>Entry</t>
        </is>
      </c>
      <c r="AE1" s="57" t="inlineStr">
        <is>
          <t>TP</t>
        </is>
      </c>
      <c r="AF1" s="57" t="inlineStr">
        <is>
          <t>SL</t>
        </is>
      </c>
      <c r="AG1" s="57" t="inlineStr">
        <is>
          <t>Pips to TP1</t>
        </is>
      </c>
      <c r="AH1" s="57" t="inlineStr">
        <is>
          <t>Eff Pips to SL</t>
        </is>
      </c>
      <c r="AI1" s="57" t="inlineStr">
        <is>
          <t>Weight</t>
        </is>
      </c>
      <c r="AJ1" s="57" t="inlineStr">
        <is>
          <t>Risk $</t>
        </is>
      </c>
      <c r="AK1" s="57" t="inlineStr">
        <is>
          <t>Reward $</t>
        </is>
      </c>
      <c r="AL1" s="57" t="inlineStr">
        <is>
          <t>Units</t>
        </is>
      </c>
      <c r="AM1" s="58" t="inlineStr">
        <is>
          <t>R per rung</t>
        </is>
      </c>
      <c r="EH1" t="inlineStr">
        <is>
          <t>CT_Entry</t>
        </is>
      </c>
      <c r="EI1" s="59">
        <f>IF(SUM($AI$28:$AI$30)=0,"",SUMPRODUCT($AD$28:$AD$30,$AI$28:$AI$30)/SUM($AI$28:$AI$30))</f>
        <v/>
      </c>
    </row>
    <row r="2">
      <c r="A2" s="182" t="inlineStr">
        <is>
          <t>Edit BLUE cells only. Planner_v2 reads from here.</t>
        </is>
      </c>
      <c r="N2" t="inlineStr">
        <is>
          <t>Market snapshot (15m + HTF EMAs &amp; ATR)</t>
        </is>
      </c>
      <c r="S2" s="36" t="inlineStr">
        <is>
          <t>TF</t>
        </is>
      </c>
      <c r="T2" s="36" t="inlineStr">
        <is>
          <t>Trend</t>
        </is>
      </c>
      <c r="U2" s="36" t="inlineStr">
        <is>
          <t>Last BOS</t>
        </is>
      </c>
      <c r="V2" s="36" t="inlineStr">
        <is>
          <t>Last CHOCH</t>
        </is>
      </c>
      <c r="X2" t="inlineStr">
        <is>
          <t>Risk per Trade R ($)</t>
        </is>
      </c>
      <c r="Y2" s="205">
        <f>Summary!B10*Summary!B8</f>
        <v/>
      </c>
      <c r="AC2" s="61" t="inlineStr">
        <is>
          <t>Entry 0.382</t>
        </is>
      </c>
      <c r="AD2" s="62">
        <f>IF($Y$1="LONG",IF($ED$58,$T$19,$O$7),IF($Y$1="SHORT",$Q$23,""))</f>
        <v/>
      </c>
      <c r="AE2" s="62">
        <f>IF(AD2="","",$ED$40)</f>
        <v/>
      </c>
      <c r="AF2" s="62">
        <f>IF($Y$1="LONG",IF(OR($ED$58,$O$3&gt;=$T$19),$ED$27,$T$20-0.0002),IF($Y$1="SHORT",IF($ED$58,MAX($O$39,$O$7)+0.0002,$T$19+0.0002),""))</f>
        <v/>
      </c>
      <c r="AG2" s="63">
        <f>IF(OR(AD2="",AE2=""),"",ABS((AE2-AD2)*10000))</f>
        <v/>
      </c>
      <c r="AH2" s="63">
        <f>IF(OR(AD2="",AF2=""),"",MAX(ABS((AD2-AF2)*10000),$ED$19))</f>
        <v/>
      </c>
      <c r="AI2" s="64">
        <f>$Y$7</f>
        <v/>
      </c>
      <c r="AJ2" s="212">
        <f>IF(OR(AI2=0,$ED$11=0,AD2=""),"",$Y$2*$ED$8*AI2/$ED$11)</f>
        <v/>
      </c>
      <c r="AK2" s="212">
        <f>IF(OR(AJ2="",AJ2=0,AG2=""),"",AJ2*AG2/MAX(AH2,$ED$19))</f>
        <v/>
      </c>
      <c r="AL2" s="66">
        <f>IF(OR(AD2="",AH2="",AJ2=""),"",AJ2/(MAX(AH2,$ED$19)*$ED$3))</f>
        <v/>
      </c>
      <c r="AM2" s="213">
        <f>IF(OR(AG2="",AH2=""),"",AG2/MAX(AH2,$ED$19))</f>
        <v/>
      </c>
      <c r="AN2">
        <f>IF(AH2="","",MAX(AH2,$ED$7))</f>
        <v/>
      </c>
      <c r="EA2" t="inlineStr">
        <is>
          <t>Scoring &amp; HUD</t>
        </is>
      </c>
      <c r="EC2" t="inlineStr">
        <is>
          <t>Ladder Controls</t>
        </is>
      </c>
      <c r="EE2" t="inlineStr">
        <is>
          <t>Big Picture</t>
        </is>
      </c>
      <c r="EF2" s="53">
        <f>IF($EB$25,"Avoid trading this leg – system rules (R, room, macro) are not met.",IF($EB$56=1,"HTF up, shallow pullback in Tier 1 (15m 0.382–0.618). Long bias but less room; prefer buying dips closer to Tier 2/3.",IF($EB$56=2,"HTF up, intraday pullback trading in Tier 2 (4H FVG + HTF 0.382 + EMA50D). Macro bias: buy dips; this is a B-grade but tradable zone when ladder and R/room are valid.",IF($EB$56=3,"HTF up, deep discount near structural support (Tier 3). If trend remains intact, this is a high-value region.","Price is above all discount tiers (premium) near PMH/PDH/EQH. This is not a location for fresh longs; either manage existing longs or wait for a pullback into Tier 2/3 or a clearly defined CT short setup."))))</f>
        <v/>
      </c>
      <c r="EH2" t="inlineStr">
        <is>
          <t>CT_SL</t>
        </is>
      </c>
      <c r="EI2" s="59">
        <f>$EB$48+0.0008</f>
        <v/>
      </c>
    </row>
    <row r="3">
      <c r="N3" t="inlineStr">
        <is>
          <t>Current Price</t>
        </is>
      </c>
      <c r="O3" s="68">
        <f>'Advanced Setup Planner'!B5</f>
        <v/>
      </c>
      <c r="S3" s="36" t="inlineStr">
        <is>
          <t>1D</t>
        </is>
      </c>
      <c r="T3" s="69">
        <f>IF($O$12="","",IF(AND($O$12&gt;$O$13,$O$13&gt;$O$14,$O$3&gt;$O$12+0.0002),"Bull",IF(AND($O$12&lt;$O$13,$O$13&lt;$O$14,$O$3&lt;$O$12-0.0002),"Bear","Range")))</f>
        <v/>
      </c>
      <c r="U3" s="70">
        <f>'Advanced Setup Planner'!C24</f>
        <v/>
      </c>
      <c r="V3" s="70">
        <f>'Advanced Setup Planner'!D24</f>
        <v/>
      </c>
      <c r="X3" t="inlineStr">
        <is>
          <t>TP1 Price</t>
        </is>
      </c>
      <c r="Y3">
        <f>IF($Y$1="LONG",MIN(IF($T$15&gt;$O$3,$T$15,10^6),IF($T$17&gt;$O$3,$T$17,10^6),IF($T$19&gt;$O$3,$T$19,10^6),IF($T$21&gt;$O$3,$T$21,10^6)),IF($Y$1="SHORT",MAX(IF($T$16&lt;$O$3,$T$16,-10^6),IF($T$18&lt;$O$3,$T$18,-10^6),IF($T$20&lt;$O$3,$T$20,-10^6),IF($T$22&lt;$O$3,$T$22,-10^6)),""))</f>
        <v/>
      </c>
      <c r="AC3" s="71" t="inlineStr">
        <is>
          <t>Entry 0.500</t>
        </is>
      </c>
      <c r="AD3" s="72">
        <f>IF($Y$1="LONG",IF($ED$58,AVERAGE($O$39,$O$40),$O$8),IF($Y$1="SHORT",$Q$24,""))</f>
        <v/>
      </c>
      <c r="AE3" s="62">
        <f>IF(AD3="","",$ED$40)</f>
        <v/>
      </c>
      <c r="AF3" s="62">
        <f>IF($Y$1="LONG",IF(OR($ED$58,$O$3&gt;=$T$19),$ED$27,$T$20-0.0002),IF($Y$1="SHORT",IF($ED$58,MAX($O$39,$O$7)+0.0002,$T$19+0.0002),""))</f>
        <v/>
      </c>
      <c r="AG3" s="63">
        <f>IF(OR(AD3="",AE3=""),"",ABS((AE3-AD3)*10000))</f>
        <v/>
      </c>
      <c r="AH3" s="63">
        <f>IF(OR(AD3="",AF3=""),"",MAX(ABS((AD3-AF3)*10000),$ED$19))</f>
        <v/>
      </c>
      <c r="AI3" s="64">
        <f>$Y$8</f>
        <v/>
      </c>
      <c r="AJ3" s="212">
        <f>IF(OR(AI3=0,$ED$11=0,AD3=""),"",$Y$2*$ED$8*AI3/$ED$11)</f>
        <v/>
      </c>
      <c r="AK3" s="212">
        <f>IF(OR(AJ3="",AJ3=0,AG3=""),"",AJ3*AG3/MAX(AH3,$ED$19))</f>
        <v/>
      </c>
      <c r="AL3" s="66">
        <f>IF(OR(AD3="",AH3="",AJ3=""),"",AJ3/(MAX(AH3,$ED$19)*$ED$3))</f>
        <v/>
      </c>
      <c r="AM3" s="213">
        <f>IF(OR(AG3="",AH3=""),"",AG3/MAX(AH3,$ED$19))</f>
        <v/>
      </c>
      <c r="AN3">
        <f>IF(AH3="","",MAX(AH3,$ED$7))</f>
        <v/>
      </c>
      <c r="EC3" t="inlineStr">
        <is>
          <t>PipSize</t>
        </is>
      </c>
      <c r="ED3" s="73" t="n">
        <v>0.0001</v>
      </c>
      <c r="EF3">
        <f>IFERROR(IF(EB23&lt;&gt;"CoreLong","",IF($EB$55=1,"Shallow long zone (Tier 1): "&amp;TEXT(EB51,"0.00000")&amp;" → "&amp;TEXT(EC51,"0.00000")&amp;" (15m fib 0.382–0.618, less room).",IF($EB$55=2,"Main long zone (Tier 2): "&amp;TEXT(EB52,"0.00000")&amp;" → "&amp;TEXT(EC52,"0.00000")&amp;" (4H FVG + HTF 0.382 + EMA50D).",IF($EB$55=3,"Deep long zone (Tier 3): "&amp;TEXT(EB53,"0.00000")&amp;" → "&amp;TEXT(EC53,"0.00000")&amp;" (EMA100D + PWL + HTF fib).","")))),"")</f>
        <v/>
      </c>
      <c r="EH3" t="inlineStr">
        <is>
          <t>CT_TP1</t>
        </is>
      </c>
      <c r="EI3" s="59">
        <f>$EB$32</f>
        <v/>
      </c>
    </row>
    <row r="4">
      <c r="A4" s="174" t="inlineStr">
        <is>
          <t>Market snapshot (update from chart)</t>
        </is>
      </c>
      <c r="D4" s="174" t="inlineStr">
        <is>
          <t>Liquidity / Session levels</t>
        </is>
      </c>
      <c r="G4" s="174" t="inlineStr">
        <is>
          <t>FVG / value blocks</t>
        </is>
      </c>
      <c r="J4" s="174" t="inlineStr">
        <is>
          <t>Options expiry + risk/weights</t>
        </is>
      </c>
      <c r="O4" s="68" t="n"/>
      <c r="S4" s="36" t="inlineStr">
        <is>
          <t>4H</t>
        </is>
      </c>
      <c r="T4" s="69">
        <f>IF($O$11="","",IF($O$3&gt;$O$11+0.0002,"Bull",IF($O$3&lt;$O$11-0.0002,"Bear","Range")))</f>
        <v/>
      </c>
      <c r="U4" s="70">
        <f>'Advanced Setup Planner'!C25</f>
        <v/>
      </c>
      <c r="V4" s="70">
        <f>'Advanced Setup Planner'!D25</f>
        <v/>
      </c>
      <c r="X4" t="inlineStr">
        <is>
          <t>SL Price (Auto)</t>
        </is>
      </c>
      <c r="Y4" s="74">
        <f>IF($Y$5&lt;&gt;"",$Y$5,IF($Y$1="LONG",IF($Y$22="","",$Y$22-0.0003),IF($Y$1="SHORT",IF($Y$23="","",$Y$23+0.0003),"")))</f>
        <v/>
      </c>
      <c r="AC4" s="75" t="inlineStr">
        <is>
          <t>Entry 0.618</t>
        </is>
      </c>
      <c r="AD4" s="76">
        <f>IF($Y$1="LONG",IF($ED$58,MIN($O$40,$O$7),$O$10),IF($Y$1="SHORT",$Q$25,""))</f>
        <v/>
      </c>
      <c r="AE4" s="76">
        <f>IF(AD4="","",$ED$40)</f>
        <v/>
      </c>
      <c r="AF4" s="76">
        <f>IF($Y$1="LONG",IF(OR($ED$58,$O$3&gt;=$T$19),$ED$27,$T$20-0.0002),IF($Y$1="SHORT",IF($ED$58,MAX($O$39,$O$7)+0.0002,$T$19+0.0002),""))</f>
        <v/>
      </c>
      <c r="AG4" s="77">
        <f>IF(OR(AD4="",AE4=""),"",ABS((AE4-AD4)*10000))</f>
        <v/>
      </c>
      <c r="AH4" s="77">
        <f>IF(OR(AD4="",AF4=""),"",MAX(ABS((AD4-AF4)*10000),$ED$19))</f>
        <v/>
      </c>
      <c r="AI4" s="78">
        <f>$Y$9</f>
        <v/>
      </c>
      <c r="AJ4" s="214">
        <f>IF(OR(AI4=0,$ED$11=0,AD4=""),"",$Y$2*$ED$8*AI4/$ED$11)</f>
        <v/>
      </c>
      <c r="AK4" s="214">
        <f>IF(OR(AJ4="",AJ4=0,AG4=""),"",AJ4*AG4/MAX(AH4,$ED$19))</f>
        <v/>
      </c>
      <c r="AL4" s="80">
        <f>IF(OR(AD4="",AH4="",AJ4=""),"",AJ4/(MAX(AH4,$ED$19)*$ED$3))</f>
        <v/>
      </c>
      <c r="AM4" s="215">
        <f>IF(OR(AG4="",AH4=""),"",AG4/MAX(AH4,$ED$19))</f>
        <v/>
      </c>
      <c r="AN4">
        <f>IF(AH4="","",MAX(AH4,$ED$7))</f>
        <v/>
      </c>
      <c r="EA4" t="inlineStr">
        <is>
          <t>PipTol_Value</t>
        </is>
      </c>
      <c r="EB4" s="82">
        <f>ROUND($O$18*10000*0.8,0)</f>
        <v/>
      </c>
      <c r="EC4" t="inlineStr">
        <is>
          <t>MinStopPips</t>
        </is>
      </c>
      <c r="ED4" s="83" t="n">
        <v>8</v>
      </c>
      <c r="EE4" t="inlineStr">
        <is>
          <t>Long Zone (A+)</t>
        </is>
      </c>
      <c r="EF4">
        <f>"Deep A+ long pocket candidate (Tier 3): "&amp;TEXT($EB$53,"0.00000")&amp;" → "&amp;TEXT($EC$53,"0.00000")&amp;". Ladder (upper/mid/deep): "&amp;TEXT($AD$15,"0.00000")&amp;"/"&amp;TEXT($AD$16,"0.00000")&amp;"/"&amp;TEXT($AD$17,"0.00000")&amp;", SL "&amp;TEXT($AF$15,"0.00000")&amp;", TP1 "&amp;TEXT($AE$15,"0.00000")&amp;". Use this only if price flushes into Tier 3 with HTF trend intact and R/room are satisfied."</f>
        <v/>
      </c>
      <c r="EH4" t="inlineStr">
        <is>
          <t>CT_TP2</t>
        </is>
      </c>
      <c r="EI4">
        <f>IF($Y$1="SHORT",$Y$3,"")</f>
        <v/>
      </c>
    </row>
    <row r="5">
      <c r="A5" s="84" t="inlineStr">
        <is>
          <t>Current Price</t>
        </is>
      </c>
      <c r="B5" s="85" t="n">
        <v>1.165</v>
      </c>
      <c r="D5" s="84" t="inlineStr">
        <is>
          <t>PMH</t>
        </is>
      </c>
      <c r="E5" s="85" t="n">
        <v>1.1808</v>
      </c>
      <c r="G5" s="84" t="inlineStr">
        <is>
          <t>4H FVG high</t>
        </is>
      </c>
      <c r="H5" s="85" t="n">
        <v>1.16139</v>
      </c>
      <c r="J5" s="84" t="inlineStr">
        <is>
          <t>Strike 1</t>
        </is>
      </c>
      <c r="K5" s="85" t="n">
        <v>1.185</v>
      </c>
      <c r="N5" t="inlineStr">
        <is>
          <t>EMA9  15m</t>
        </is>
      </c>
      <c r="O5" s="86">
        <f>'Advanced Setup Planner'!B6</f>
        <v/>
      </c>
      <c r="S5" s="36" t="inlineStr">
        <is>
          <t>1H</t>
        </is>
      </c>
      <c r="T5" s="69">
        <f>IF($O$10="","",IF($O$3&gt;$O$10+0.0002,"Bull",IF($O$3&lt;$O$10-0.0002,"Bear","Range")))</f>
        <v/>
      </c>
      <c r="U5" s="70">
        <f>'Advanced Setup Planner'!C26</f>
        <v/>
      </c>
      <c r="V5" s="70">
        <f>'Advanced Setup Planner'!D26</f>
        <v/>
      </c>
      <c r="X5" t="inlineStr">
        <is>
          <t>Manual SL override?</t>
        </is>
      </c>
      <c r="EA5" t="inlineStr">
        <is>
          <t>PipTol_Fib</t>
        </is>
      </c>
      <c r="EB5" s="82">
        <f>ROUND($O$18*10000*0.5,0)</f>
        <v/>
      </c>
      <c r="EC5" t="inlineStr">
        <is>
          <t>ATR_StopMult</t>
        </is>
      </c>
      <c r="ED5" s="87" t="n">
        <v>1.5</v>
      </c>
      <c r="EE5" t="inlineStr">
        <is>
          <t>Trend Long Plan</t>
        </is>
      </c>
      <c r="EF5">
        <f>IFERROR(IF(AND($EB$23="CoreLong",NOT($EB$25)),"Trend long plan (current tier "&amp;$EB$56&amp;"): ladder at "&amp;TEXT($AD$2,"0.00000")&amp;"/"&amp;TEXT($AD$3,"0.00000")&amp;"/"&amp;TEXT($AD$4,"0.00000")&amp;", SL "&amp;TEXT($AF$2,"0.00000")&amp;", TP1 "&amp;TEXT($AE$2,"0.00000")&amp;". Confirm 15m/1H CHOCH up in this tier, then manage toward TP1 (and potentially PDH/PWH) using the ladder.",""),"")</f>
        <v/>
      </c>
      <c r="EH5" t="inlineStr">
        <is>
          <t>CT_Risk$</t>
        </is>
      </c>
      <c r="EI5" s="216">
        <f>$Y$2*0.5</f>
        <v/>
      </c>
      <c r="EJ5" s="216">
        <f>IFERROR(IF(EI9=0,"",(EI1-EI3)*EI9),"")</f>
        <v/>
      </c>
    </row>
    <row r="6">
      <c r="A6" s="84" t="inlineStr">
        <is>
          <t>EMA9  15m</t>
        </is>
      </c>
      <c r="B6" s="85" t="n">
        <v>1.1645</v>
      </c>
      <c r="D6" s="84" t="inlineStr">
        <is>
          <t>PML</t>
        </is>
      </c>
      <c r="E6" s="85" t="n">
        <v>1.15889</v>
      </c>
      <c r="G6" s="84" t="inlineStr">
        <is>
          <t>4H FVG low</t>
        </is>
      </c>
      <c r="H6" s="85" t="n">
        <v>1.1605</v>
      </c>
      <c r="J6" s="84" t="inlineStr">
        <is>
          <t>Size 1 (bn)</t>
        </is>
      </c>
      <c r="K6" s="89" t="n">
        <v>1.46</v>
      </c>
      <c r="L6" s="53" t="n"/>
      <c r="N6" t="inlineStr">
        <is>
          <t>EMA21 15m</t>
        </is>
      </c>
      <c r="O6" s="68">
        <f>'Advanced Setup Planner'!B7</f>
        <v/>
      </c>
      <c r="S6" s="36" t="inlineStr">
        <is>
          <t>15M</t>
        </is>
      </c>
      <c r="T6" s="69">
        <f>IF($O$5="","",IF(AND($O$5&gt;$O$6,$O$6&gt;$O$7,$O$7&gt;$O$8),"Bull",IF(AND($O$5&lt;$O$6,$O$6&lt;$O$7,$O$7&lt;$O$8),"Bear","Range")))</f>
        <v/>
      </c>
      <c r="U6" s="70">
        <f>'Advanced Setup Planner'!C27</f>
        <v/>
      </c>
      <c r="V6" s="70">
        <f>'Advanced Setup Planner'!D27</f>
        <v/>
      </c>
      <c r="AC6" t="inlineStr">
        <is>
          <t>Avg Pips to SL</t>
        </is>
      </c>
      <c r="AD6" s="20">
        <f>IF(SUM(AL2:AL4)=0,0,SUMPRODUCT(AN2:AN4,AL2:AL4)/SUM(AL2:AL4))</f>
        <v/>
      </c>
      <c r="EA6" t="inlineStr">
        <is>
          <t>PipTol_Mid</t>
        </is>
      </c>
      <c r="EB6" s="82">
        <f>ROUND($O$18*10000*1,0)</f>
        <v/>
      </c>
      <c r="EC6" t="inlineStr">
        <is>
          <t>ATR15m_pips</t>
        </is>
      </c>
      <c r="ED6" s="87">
        <f>ROUND($O$18*10000,1)</f>
        <v/>
      </c>
      <c r="EH6" t="inlineStr">
        <is>
          <t>CT_PipsSL</t>
        </is>
      </c>
      <c r="EI6" s="20">
        <f>IF(OR(EI1="",EI2=""),"",ABS((EI1-EI2)*10000))</f>
        <v/>
      </c>
    </row>
    <row r="7">
      <c r="A7" s="84" t="inlineStr">
        <is>
          <t>EMA21 15m</t>
        </is>
      </c>
      <c r="B7" s="85" t="n">
        <v>1.164</v>
      </c>
      <c r="D7" s="84" t="inlineStr">
        <is>
          <t>PWH</t>
        </is>
      </c>
      <c r="E7" s="85" t="n">
        <v>1.1789</v>
      </c>
      <c r="G7" s="84" t="inlineStr">
        <is>
          <t>Daily FVG high</t>
        </is>
      </c>
      <c r="H7" s="85" t="n">
        <v>1.16734</v>
      </c>
      <c r="J7" s="84" t="inlineStr">
        <is>
          <t>Strike 2</t>
        </is>
      </c>
      <c r="K7" s="85" t="n">
        <v>1.18</v>
      </c>
      <c r="N7" t="inlineStr">
        <is>
          <t>EMA50 15m</t>
        </is>
      </c>
      <c r="O7" s="86">
        <f>'Advanced Setup Planner'!B8</f>
        <v/>
      </c>
      <c r="S7" s="36" t="n"/>
      <c r="X7" t="inlineStr">
        <is>
          <t>Weight 0.382</t>
        </is>
      </c>
      <c r="Y7" s="86">
        <f>'Advanced Setup Planner'!K16</f>
        <v/>
      </c>
      <c r="AC7" t="inlineStr">
        <is>
          <t>Total Units</t>
        </is>
      </c>
      <c r="AD7" s="217">
        <f>SUM(AL2:AL4)</f>
        <v/>
      </c>
      <c r="EA7" t="inlineStr">
        <is>
          <t>Long_EMAScore</t>
        </is>
      </c>
      <c r="EB7" s="82">
        <f>0.25*COUNTIF($O$10:$O$16,"&lt;"&amp;$O$3)</f>
        <v/>
      </c>
      <c r="EC7" t="inlineStr">
        <is>
          <t>StopFloorPips</t>
        </is>
      </c>
      <c r="ED7" s="83">
        <f>MAX(ED4,ROUNDUP(ED6*ED5,0))</f>
        <v/>
      </c>
      <c r="EE7" t="inlineStr">
        <is>
          <t>CT Zone</t>
        </is>
      </c>
      <c r="EF7">
        <f>IFERROR(IF(AND($EB$23="CTshort",NOT($EB$25)),"CT short zone: "&amp;TEXT($EB$47,"0.00000")&amp;" → "&amp;TEXT($EB$48,"0.00000")&amp;" (premium liquidity cluster: PMH/PDH/EQH/PWH).",""),"")</f>
        <v/>
      </c>
      <c r="EH7" t="inlineStr">
        <is>
          <t>CT_PipsTP</t>
        </is>
      </c>
      <c r="EI7" s="20">
        <f>IF(OR(EI3="",EI1=""),"",ABS((EI3-EI1)*10000))</f>
        <v/>
      </c>
    </row>
    <row r="8">
      <c r="A8" s="84" t="inlineStr">
        <is>
          <t>EMA50 15m</t>
        </is>
      </c>
      <c r="B8" s="85" t="n">
        <v>1.1635</v>
      </c>
      <c r="D8" s="84" t="inlineStr">
        <is>
          <t>PWL</t>
        </is>
      </c>
      <c r="E8" s="85" t="n">
        <v>1.17132</v>
      </c>
      <c r="G8" s="84" t="inlineStr">
        <is>
          <t>Daily FVG low</t>
        </is>
      </c>
      <c r="H8" s="85" t="n">
        <v>1.16627</v>
      </c>
      <c r="J8" s="84" t="inlineStr">
        <is>
          <t>Size 2 (bn)</t>
        </is>
      </c>
      <c r="K8" s="89" t="n">
        <v>1.136</v>
      </c>
      <c r="N8" t="inlineStr">
        <is>
          <t>SMA200 15m</t>
        </is>
      </c>
      <c r="O8" s="68">
        <f>'Advanced Setup Planner'!B9</f>
        <v/>
      </c>
      <c r="S8" t="inlineStr">
        <is>
          <t>HTF_Long_OK</t>
        </is>
      </c>
      <c r="T8">
        <f>AND(T3="Bull",T4="Bull")</f>
        <v/>
      </c>
      <c r="X8" t="inlineStr">
        <is>
          <t>Weight 0.500</t>
        </is>
      </c>
      <c r="Y8" s="86">
        <f>'Advanced Setup Planner'!K17</f>
        <v/>
      </c>
      <c r="AC8" t="inlineStr">
        <is>
          <t>Avg Entry</t>
        </is>
      </c>
      <c r="AD8" s="59">
        <f>IF(AD7=0,"",SUMPRODUCT(AD2:AD4,AL2:AL4)/AD7)</f>
        <v/>
      </c>
      <c r="EA8" t="inlineStr">
        <is>
          <t>Short_EMAScore</t>
        </is>
      </c>
      <c r="EB8" s="82">
        <f>0.25*COUNTIF($O$10:$O$16,"&gt;"&amp;$O$3)</f>
        <v/>
      </c>
      <c r="EC8" t="inlineStr">
        <is>
          <t>PrimaryRiskMult</t>
        </is>
      </c>
      <c r="ED8" s="87" t="n">
        <v>1</v>
      </c>
      <c r="EE8" t="inlineStr">
        <is>
          <t>CT Short Plan</t>
        </is>
      </c>
      <c r="EF8">
        <f>IFERROR(IF(AND($EB$23="CTshort",NOT($EB$25)),"CT short plan: ladder shorts at "&amp;TEXT($EB$48,"0.00000")&amp;"/"&amp;TEXT($EB$49,"0.00000")&amp;"/"&amp;TEXT($EB$47,"0.00000")&amp;", SL "&amp;TEXT($EB$48+0.0008,"0.00000")&amp;", TP1 "&amp;TEXT($EB$35,"0.00000")&amp;IF($EB$32&lt;&gt;""," (golden mid)."," (Tier1 top; no golden overlap).")&amp;" Size small; countertrend — only take on clear exhaustion near PDH/EQH.",""),"")</f>
        <v/>
      </c>
      <c r="EH8" t="inlineStr">
        <is>
          <t>CT_Rmult</t>
        </is>
      </c>
      <c r="EI8" s="91">
        <f>IF(OR(EI6="",EI7="",EI6=0),"",EI7/EI6)</f>
        <v/>
      </c>
    </row>
    <row r="9">
      <c r="A9" s="84" t="inlineStr">
        <is>
          <t>SMA200 15m</t>
        </is>
      </c>
      <c r="B9" s="85" t="n">
        <v>1.16</v>
      </c>
      <c r="D9" s="84" t="inlineStr">
        <is>
          <t>PDH</t>
        </is>
      </c>
      <c r="E9" s="85" t="n">
        <v>1.16829</v>
      </c>
      <c r="G9" s="84" t="inlineStr">
        <is>
          <t>1H FVG high</t>
        </is>
      </c>
      <c r="H9" s="85" t="n">
        <v>1.1682</v>
      </c>
      <c r="J9" s="84" t="inlineStr">
        <is>
          <t>Strike 3</t>
        </is>
      </c>
      <c r="K9" s="85" t="n">
        <v>1.165</v>
      </c>
      <c r="S9" t="inlineStr">
        <is>
          <t>HTF_Short_OK</t>
        </is>
      </c>
      <c r="T9">
        <f>AND(T3="Bear",T4="Bear")</f>
        <v/>
      </c>
      <c r="X9" t="inlineStr">
        <is>
          <t>Weight 0.618</t>
        </is>
      </c>
      <c r="Y9" s="86">
        <f>'Advanced Setup Planner'!K18</f>
        <v/>
      </c>
      <c r="AC9" t="inlineStr">
        <is>
          <t>Pips to TP1</t>
        </is>
      </c>
      <c r="AD9" s="20">
        <f>IF(OR(AD8="",$Y$3=""),"",ABS(($Y$3-AD8)*10000))</f>
        <v/>
      </c>
      <c r="EA9" t="inlineStr">
        <is>
          <t>Long_RSIScore</t>
        </is>
      </c>
      <c r="EB9" s="82">
        <f>IF($O$20&lt;45,0.5,0)+IF($O$21&lt;45,0.25,0)+IF($O$17&lt;45,0.25,0)</f>
        <v/>
      </c>
      <c r="EC9" t="inlineStr">
        <is>
          <t>APlusRiskMult</t>
        </is>
      </c>
      <c r="ED9" s="87" t="n">
        <v>1</v>
      </c>
      <c r="EH9" t="inlineStr">
        <is>
          <t>CT_Units</t>
        </is>
      </c>
      <c r="EI9" s="92">
        <f>IF(OR(EI5="",EI6="",EI6=0),"",EI5/(EI6*0.0001))</f>
        <v/>
      </c>
    </row>
    <row r="10">
      <c r="A10" s="84" t="inlineStr">
        <is>
          <t>EMA50 1H</t>
        </is>
      </c>
      <c r="B10" s="85" t="n">
        <v>1.163</v>
      </c>
      <c r="D10" s="84" t="inlineStr">
        <is>
          <t>PDL</t>
        </is>
      </c>
      <c r="E10" s="85" t="n">
        <v>1.16427</v>
      </c>
      <c r="G10" s="84" t="inlineStr">
        <is>
          <t>1H FVG low</t>
        </is>
      </c>
      <c r="H10" s="85" t="n">
        <v>1.16779</v>
      </c>
      <c r="J10" s="84" t="inlineStr">
        <is>
          <t>Size 3 (bn)</t>
        </is>
      </c>
      <c r="K10" s="89" t="n">
        <v>1.12</v>
      </c>
      <c r="N10" t="inlineStr">
        <is>
          <t>EMA50 1H</t>
        </is>
      </c>
      <c r="O10" s="68">
        <f>'Advanced Setup Planner'!B10</f>
        <v/>
      </c>
      <c r="S10" t="inlineStr">
        <is>
          <t>LTF_Long_OK</t>
        </is>
      </c>
      <c r="T10">
        <f>AND(OR(T5="Bull",T5="Range"),NOT(T6="Bear"))</f>
        <v/>
      </c>
      <c r="AC10" t="inlineStr">
        <is>
          <t>Reward at TP1 $</t>
        </is>
      </c>
      <c r="AD10" s="205">
        <f>IF(OR(AD7=0,AD8="",$Y$3=""),"",ABS(($Y$3-AD8)*AD7))</f>
        <v/>
      </c>
      <c r="EA10" t="inlineStr">
        <is>
          <t>Short_RSIScore</t>
        </is>
      </c>
      <c r="EB10" s="82">
        <f>IF($O$20&gt;55,0.5,0)+IF($O$21&gt;55,0.25,0)+IF($O$17&gt;55,0.25,0)</f>
        <v/>
      </c>
      <c r="EC10" t="inlineStr">
        <is>
          <t>CTRiskMult</t>
        </is>
      </c>
      <c r="ED10" s="87" t="n">
        <v>0.6</v>
      </c>
      <c r="EE10" t="inlineStr">
        <is>
          <t>Avoid</t>
        </is>
      </c>
      <c r="EF10">
        <f>IFERROR(IF($EB$25,"Avoid new trades – R multiple, room, or macro gate not satisfied. Wait for conditions to improve and reassess.",""),"")</f>
        <v/>
      </c>
      <c r="EH10" t="inlineStr">
        <is>
          <t>CT_NoTradeFlag</t>
        </is>
      </c>
      <c r="EI10" s="93">
        <f>NOT($T$11)</f>
        <v/>
      </c>
    </row>
    <row r="11">
      <c r="A11" s="84" t="inlineStr">
        <is>
          <t>EMA50 4H</t>
        </is>
      </c>
      <c r="B11" s="85" t="n">
        <v>1.162</v>
      </c>
      <c r="D11" s="84" t="inlineStr">
        <is>
          <t>EQH_above</t>
        </is>
      </c>
      <c r="E11" s="85" t="n">
        <v>1.17025</v>
      </c>
      <c r="J11" s="84" t="inlineStr">
        <is>
          <t>Strike 4</t>
        </is>
      </c>
      <c r="K11" s="85" t="n"/>
      <c r="N11" t="inlineStr">
        <is>
          <t>EMA50 4H</t>
        </is>
      </c>
      <c r="O11" s="86">
        <f>'Advanced Setup Planner'!B11</f>
        <v/>
      </c>
      <c r="S11" t="inlineStr">
        <is>
          <t>LTF_Short_OK</t>
        </is>
      </c>
      <c r="T11">
        <f>AND(OR(T5="Bear",T5="Range"),NOT(T6="Bull"))</f>
        <v/>
      </c>
      <c r="X11" t="inlineStr">
        <is>
          <t>Ticket Size</t>
        </is>
      </c>
      <c r="Y11" s="86">
        <f>'Advanced Setup Planner'!K19</f>
        <v/>
      </c>
      <c r="AC11" t="inlineStr">
        <is>
          <t>R multiple at TP1</t>
        </is>
      </c>
      <c r="AD11" s="20">
        <f>IF(SUM($AJ$2:$AJ$4)=0,"",SUM($AK$2:$AK$4)/SUM($AJ$2:$AJ$4))</f>
        <v/>
      </c>
      <c r="EA11" t="inlineStr">
        <is>
          <t>Long_StructScore</t>
        </is>
      </c>
      <c r="EB11" s="82">
        <f>0.25*COUNTIF($T$3:$T$6,"Bull")</f>
        <v/>
      </c>
      <c r="EC11" t="inlineStr">
        <is>
          <t>PrimaryWgtSum</t>
        </is>
      </c>
      <c r="ED11" s="94">
        <f>SUM($AI$2:$AI$4)</f>
        <v/>
      </c>
    </row>
    <row r="12">
      <c r="A12" s="84" t="inlineStr">
        <is>
          <t>EMA50 1D</t>
        </is>
      </c>
      <c r="B12" s="85" t="n">
        <v>1.161</v>
      </c>
      <c r="D12" s="84" t="inlineStr">
        <is>
          <t>EQL_below</t>
        </is>
      </c>
      <c r="E12" s="85" t="n">
        <v>1.15919</v>
      </c>
      <c r="J12" s="84" t="inlineStr">
        <is>
          <t>Size 4 (bn)</t>
        </is>
      </c>
      <c r="K12" s="89" t="n"/>
      <c r="N12" t="inlineStr">
        <is>
          <t>EMA50 1D</t>
        </is>
      </c>
      <c r="O12" s="86">
        <f>'Advanced Setup Planner'!B12</f>
        <v/>
      </c>
      <c r="X12" t="inlineStr">
        <is>
          <t>Min R (R multiple)</t>
        </is>
      </c>
      <c r="Y12" s="86">
        <f>'Advanced Setup Planner'!K20</f>
        <v/>
      </c>
      <c r="AC12" t="inlineStr">
        <is>
          <t>Avg Eff Pips to SL</t>
        </is>
      </c>
      <c r="AD12" s="20">
        <f>IF(SUM(AL2:AL4)=0,"",(AL2*MAX(AH2,$ED$19)+AL3*MAX(AH3,$ED$19)+AL4*MAX(AH4,$ED$19))/SUM(AL2:AL4))</f>
        <v/>
      </c>
      <c r="EA12" t="inlineStr">
        <is>
          <t>Short_StructScore</t>
        </is>
      </c>
      <c r="EB12" s="82">
        <f>0.25*COUNTIF($T$3:$T$6,"Bear")</f>
        <v/>
      </c>
      <c r="EC12" t="inlineStr">
        <is>
          <t>APlusWgtSum</t>
        </is>
      </c>
      <c r="ED12" s="94">
        <f>SUM($AI$15:$AI$17)</f>
        <v/>
      </c>
    </row>
    <row r="13">
      <c r="A13" s="84" t="inlineStr">
        <is>
          <t>EMA100 1D</t>
        </is>
      </c>
      <c r="B13" s="85" t="n">
        <v>1.159</v>
      </c>
      <c r="D13" s="84" t="inlineStr">
        <is>
          <t>LTF Leg Low (15m</t>
        </is>
      </c>
      <c r="E13" s="85" t="n">
        <v>1.16151</v>
      </c>
      <c r="J13" s="84" t="inlineStr">
        <is>
          <t>Magnet Range (pips)</t>
        </is>
      </c>
      <c r="K13" s="95" t="n">
        <v>20</v>
      </c>
      <c r="N13" t="inlineStr">
        <is>
          <t>EMA100 1D</t>
        </is>
      </c>
      <c r="O13" s="86">
        <f>'Advanced Setup Planner'!B13</f>
        <v/>
      </c>
      <c r="AD13" s="91" t="n"/>
      <c r="EA13" t="inlineStr">
        <is>
          <t>Long_FVGScore</t>
        </is>
      </c>
      <c r="EB13" s="82">
        <f>MIN(1,IF(ABS(($O$3-$O$36)*10000)&lt;=EB4,1,0)+IF(ABS(($O$3-$O$38)*10000)&lt;=EB4,1,0)+IF(ABS(($O$3-$O$40)*10000)&lt;=EB4,1,0))</f>
        <v/>
      </c>
      <c r="EC13" t="inlineStr">
        <is>
          <t>CTWgtSum</t>
        </is>
      </c>
      <c r="ED13" s="94">
        <f>SUM($AI$28:$AI$30)</f>
        <v/>
      </c>
    </row>
    <row r="14">
      <c r="A14" s="84" t="inlineStr">
        <is>
          <t>EMA200 1D</t>
        </is>
      </c>
      <c r="B14" s="85" t="n">
        <v>1.145</v>
      </c>
      <c r="D14" s="84" t="inlineStr">
        <is>
          <t>LTF Leg High (15m)</t>
        </is>
      </c>
      <c r="E14" s="85" t="n">
        <v>1.18042</v>
      </c>
      <c r="J14" s="84" t="inlineStr">
        <is>
          <t>Options Clamp %</t>
        </is>
      </c>
      <c r="K14" s="96" t="n">
        <v>0.3</v>
      </c>
      <c r="N14" t="inlineStr">
        <is>
          <t>EMA200 1D</t>
        </is>
      </c>
      <c r="O14" s="86">
        <f>'Advanced Setup Planner'!B14</f>
        <v/>
      </c>
      <c r="S14" t="inlineStr">
        <is>
          <t>Liquidity levels</t>
        </is>
      </c>
      <c r="X14" t="inlineStr">
        <is>
          <t>Active Zone</t>
        </is>
      </c>
      <c r="Y14">
        <f>IF(AND($O$3&gt;=Z17-$X$20,$O$3&lt;=AA17+$X$20),1,IF(AND($O$3&gt;=Z18-$X$20,$O$3&lt;=AA18+$X$20),2,IF(AND($O$3&gt;=Z19-$X$20,$O$3&lt;=AA19+$X$20),3,"")))</f>
        <v/>
      </c>
      <c r="AC14" s="97" t="inlineStr">
        <is>
          <t>A+ LADDER</t>
        </is>
      </c>
      <c r="AD14" s="57" t="inlineStr">
        <is>
          <t>Entry</t>
        </is>
      </c>
      <c r="AE14" s="57" t="inlineStr">
        <is>
          <t>TP</t>
        </is>
      </c>
      <c r="AF14" s="57" t="inlineStr">
        <is>
          <t>SL</t>
        </is>
      </c>
      <c r="AG14" s="57" t="inlineStr">
        <is>
          <t>Pips to TP1</t>
        </is>
      </c>
      <c r="AH14" s="57" t="inlineStr">
        <is>
          <t>Eff Pips to SL</t>
        </is>
      </c>
      <c r="AI14" s="57" t="inlineStr">
        <is>
          <t>Weight</t>
        </is>
      </c>
      <c r="AJ14" s="57" t="inlineStr">
        <is>
          <t>Risk $</t>
        </is>
      </c>
      <c r="AK14" s="57" t="inlineStr">
        <is>
          <t>Reward $</t>
        </is>
      </c>
      <c r="AL14" s="57" t="inlineStr">
        <is>
          <t>Units</t>
        </is>
      </c>
      <c r="AM14" s="58" t="inlineStr">
        <is>
          <t>R per rung</t>
        </is>
      </c>
      <c r="AN14">
        <f>IF(AH15="","",MAX(AH15,$ED$7))</f>
        <v/>
      </c>
      <c r="EA14" t="inlineStr">
        <is>
          <t>Short_FVGScore</t>
        </is>
      </c>
      <c r="EB14" s="82">
        <f>MIN(1,IF(ABS(($O$3-$O$35)*10000)&lt;=EB4,1,0)+IF(ABS(($O$3-$O$37)*10000)&lt;=EB4,1,0)+IF(ABS(($O$3-$O$39)*10000)&lt;=EB4,1,0))</f>
        <v/>
      </c>
      <c r="EC14" t="inlineStr">
        <is>
          <t>Primary_MinStopPips</t>
        </is>
      </c>
      <c r="ED14" t="n">
        <v>12</v>
      </c>
    </row>
    <row r="15">
      <c r="A15" s="84" t="inlineStr">
        <is>
          <t>EMA50 1W</t>
        </is>
      </c>
      <c r="B15" s="85" t="n">
        <v>1.14</v>
      </c>
      <c r="D15" s="84" t="inlineStr">
        <is>
          <t>Session Low</t>
        </is>
      </c>
      <c r="E15" s="85" t="n">
        <v>1.16182</v>
      </c>
      <c r="J15" s="84" t="inlineStr">
        <is>
          <t>Zone tolerance</t>
        </is>
      </c>
      <c r="K15" s="85" t="n">
        <v>0.0002</v>
      </c>
      <c r="N15" t="inlineStr">
        <is>
          <t>EMA50 1W</t>
        </is>
      </c>
      <c r="O15" s="86">
        <f>'Advanced Setup Planner'!B15</f>
        <v/>
      </c>
      <c r="S15" t="inlineStr">
        <is>
          <t>PMH</t>
        </is>
      </c>
      <c r="T15" s="86">
        <f>'Advanced Setup Planner'!E5</f>
        <v/>
      </c>
      <c r="X15" s="1">
        <f>IF(AND($O$3&gt;=Z17-$X$20,$O$3&lt;=AA17+$X$20),1,IF(AND($O$3&gt;=Z18-$X$20,$O$3&lt;=AA18+$X$20),2,IF(AND($O$3&gt;=Z19-$X$20,$O$3&lt;=AA19+$X$20),3,0)))</f>
        <v/>
      </c>
      <c r="AC15" s="98" t="inlineStr">
        <is>
          <t>upper rung</t>
        </is>
      </c>
      <c r="AD15" s="99">
        <f>IF($Y$1&lt;&gt;"LONG","",$O$35)</f>
        <v/>
      </c>
      <c r="AE15" s="100">
        <f>IF(AD15="","",$ED$41)</f>
        <v/>
      </c>
      <c r="AF15" s="100">
        <f>IF(AD15="","",$ED$30)</f>
        <v/>
      </c>
      <c r="AG15" s="101">
        <f>IF(OR(AD15="",AE15=""),"",ABS((AE15-AD15)*10000))</f>
        <v/>
      </c>
      <c r="AH15" s="102">
        <f>IF(OR(AD15="",AF15=""),"",MAX(ABS((AD15-AF15)*10000),$ED$20))</f>
        <v/>
      </c>
      <c r="AI15" s="103" t="n">
        <v>0.4</v>
      </c>
      <c r="AJ15" s="218">
        <f>IF(OR(AI15=0,$ED$12=0,AD15=""),"",$Y$2*$ED$9*AI15/$ED$12)</f>
        <v/>
      </c>
      <c r="AK15" s="218">
        <f>IF(OR(AJ15="",AJ15=0,AG15=""),"",AJ15*AG15/MAX(AH15,$ED$20))</f>
        <v/>
      </c>
      <c r="AL15" s="101">
        <f>IF(OR(AD15="",AH15="",AJ15=""),"",AJ15/(MAX(AH15,$ED$20)*$ED$3))</f>
        <v/>
      </c>
      <c r="AM15" s="105">
        <f>IF(OR(AG15="",AH15=""),"",AG15/MAX(AH15,$ED$20))</f>
        <v/>
      </c>
      <c r="AN15">
        <f>IF(AH16="","",MAX(AH16,$ED$7))</f>
        <v/>
      </c>
      <c r="EA15" t="inlineStr">
        <is>
          <t>LongScore</t>
        </is>
      </c>
      <c r="EB15" s="82">
        <f>IFERROR((1-$T$37*$T$36)*(EB7+EB9+EB11+EB13+EB42),"")</f>
        <v/>
      </c>
      <c r="EC15" t="inlineStr">
        <is>
          <t>APlus_MinStopPips</t>
        </is>
      </c>
      <c r="ED15" t="n">
        <v>8</v>
      </c>
    </row>
    <row r="16">
      <c r="A16" s="84" t="inlineStr">
        <is>
          <t>EMA20 1M</t>
        </is>
      </c>
      <c r="B16" s="85" t="n">
        <v>1.166</v>
      </c>
      <c r="D16" s="84" t="inlineStr">
        <is>
          <t>Session High</t>
        </is>
      </c>
      <c r="E16" s="85" t="n">
        <v>1.1682</v>
      </c>
      <c r="J16" s="84" t="inlineStr">
        <is>
          <t>Weight 0.382</t>
        </is>
      </c>
      <c r="K16" s="89" t="n">
        <v>0.2</v>
      </c>
      <c r="N16" t="inlineStr">
        <is>
          <t>EMA20 1M</t>
        </is>
      </c>
      <c r="O16" s="86">
        <f>'Advanced Setup Planner'!B16</f>
        <v/>
      </c>
      <c r="S16" t="inlineStr">
        <is>
          <t>PML</t>
        </is>
      </c>
      <c r="T16" s="86">
        <f>'Advanced Setup Planner'!E6</f>
        <v/>
      </c>
      <c r="X16" s="12" t="inlineStr">
        <is>
          <t>Zone</t>
        </is>
      </c>
      <c r="Y16" s="12" t="inlineStr">
        <is>
          <t>Role</t>
        </is>
      </c>
      <c r="Z16" s="12" t="inlineStr">
        <is>
          <t>Low</t>
        </is>
      </c>
      <c r="AA16" s="12" t="inlineStr">
        <is>
          <t>High</t>
        </is>
      </c>
      <c r="AC16" s="98" t="inlineStr">
        <is>
          <t>middle rung</t>
        </is>
      </c>
      <c r="AD16" s="99">
        <f>IF($Y$1&lt;&gt;"LONG","",$O$36)</f>
        <v/>
      </c>
      <c r="AE16" s="100">
        <f>IF(AD16="","",$ED$41)</f>
        <v/>
      </c>
      <c r="AF16" s="100">
        <f>IF(AD16="","",$ED$30)</f>
        <v/>
      </c>
      <c r="AG16" s="101">
        <f>IF(OR(AD16="",AE16=""),"",ABS((AE16-AD16)*10000))</f>
        <v/>
      </c>
      <c r="AH16" s="102">
        <f>IF(OR(AD16="",AF16=""),"",MAX(ABS((AD16-AF16)*10000),$ED$20))</f>
        <v/>
      </c>
      <c r="AI16" s="103" t="n">
        <v>0.5</v>
      </c>
      <c r="AJ16" s="218">
        <f>IF(OR(AI16=0,$ED$12=0,AD16=""),"",$Y$2*$ED$9*AI16/$ED$12)</f>
        <v/>
      </c>
      <c r="AK16" s="218">
        <f>IF(OR(AJ16="",AJ16=0,AG16=""),"",AJ16*AG16/MAX(AH16,$ED$20))</f>
        <v/>
      </c>
      <c r="AL16" s="101">
        <f>IF(OR(AD16="",AH16="",AJ16=""),"",AJ16/(MAX(AH16,$ED$20)*$ED$3))</f>
        <v/>
      </c>
      <c r="AM16" s="105">
        <f>IF(OR(AG16="",AH16=""),"",AG16/MAX(AH16,$ED$20))</f>
        <v/>
      </c>
      <c r="AN16">
        <f>IF(AH17="","",MAX(AH17,$ED$7))</f>
        <v/>
      </c>
      <c r="EA16" t="inlineStr">
        <is>
          <t>ShortScore</t>
        </is>
      </c>
      <c r="EB16" s="82">
        <f>IFERROR((1-$T$37*$T$36)*(EB8+EB10+EB12+EB14+EB42),"")</f>
        <v/>
      </c>
      <c r="EC16" t="inlineStr">
        <is>
          <t>CT_MinStopPips</t>
        </is>
      </c>
      <c r="ED16" t="n">
        <v>8</v>
      </c>
    </row>
    <row r="17">
      <c r="A17" s="84" t="inlineStr">
        <is>
          <t>RSI 15M</t>
        </is>
      </c>
      <c r="B17" s="89" t="n">
        <v>58</v>
      </c>
      <c r="D17" s="84" t="inlineStr">
        <is>
          <t>HTF Swing Low (4H)</t>
        </is>
      </c>
      <c r="E17" s="85" t="n">
        <v>1.14931</v>
      </c>
      <c r="J17" s="84" t="inlineStr">
        <is>
          <t>Weight 0.500</t>
        </is>
      </c>
      <c r="K17" s="89" t="n">
        <v>0.35</v>
      </c>
      <c r="N17" t="inlineStr">
        <is>
          <t>RSI 4HR</t>
        </is>
      </c>
      <c r="O17" s="106">
        <f>'Advanced Setup Planner'!B19</f>
        <v/>
      </c>
      <c r="S17" t="inlineStr">
        <is>
          <t>PWH</t>
        </is>
      </c>
      <c r="T17" s="86">
        <f>'Advanced Setup Planner'!E7</f>
        <v/>
      </c>
      <c r="X17" s="12" t="n">
        <v>1</v>
      </c>
      <c r="Y17" s="12" t="inlineStr">
        <is>
          <t>Shallow</t>
        </is>
      </c>
      <c r="Z17" s="107">
        <f>MIN($Q$24,$Q$23)</f>
        <v/>
      </c>
      <c r="AA17" s="107">
        <f>MAX($Q$24,$Q$23)</f>
        <v/>
      </c>
      <c r="AC17" s="108" t="inlineStr">
        <is>
          <t>deep rung</t>
        </is>
      </c>
      <c r="AD17" s="109">
        <f>IF($Y$1&lt;&gt;"LONG","",$O$38+$ED$29)</f>
        <v/>
      </c>
      <c r="AE17" s="110">
        <f>IF(AD17="","",$ED$41)</f>
        <v/>
      </c>
      <c r="AF17" s="110">
        <f>IF(AD17="","",$ED$30)</f>
        <v/>
      </c>
      <c r="AG17" s="111">
        <f>IF(OR(AD16="",AE16=""),"",ABS((AE16-AD16)*10000))</f>
        <v/>
      </c>
      <c r="AH17" s="112">
        <f>IF(OR(AD17="",AF17=""),"",MAX(ABS((AD17-AF17)*10000),$ED$20))</f>
        <v/>
      </c>
      <c r="AI17" s="113" t="n">
        <v>0.6</v>
      </c>
      <c r="AJ17" s="219">
        <f>IF(OR(AI17=0,$ED$12=0,AD17=""),"",$Y$2*$ED$9*AI17/$ED$12)</f>
        <v/>
      </c>
      <c r="AK17" s="219">
        <f>IF(OR(AJ17="",AJ17=0,AG17=""),"",AJ17*AG17/MAX(AH17,$ED$20))</f>
        <v/>
      </c>
      <c r="AL17" s="111">
        <f>IF(OR(AD17="",AH17="",AJ17=""),"",AJ17/(MAX(AH17,$ED$20)*$ED$3))</f>
        <v/>
      </c>
      <c r="AM17" s="115">
        <f>IF(OR(AG17="",AH17=""),"",AG17/MAX(AH17,$ED$20))</f>
        <v/>
      </c>
      <c r="EA17" t="inlineStr">
        <is>
          <t>MaxScore</t>
        </is>
      </c>
      <c r="EB17" s="82">
        <f>0.25*COUNTA($O$10:$O$16)+3.5</f>
        <v/>
      </c>
      <c r="EC17" s="1" t="inlineStr">
        <is>
          <t>WinProb</t>
        </is>
      </c>
      <c r="ED17" s="1" t="inlineStr">
        <is>
          <t>Expected_R</t>
        </is>
      </c>
      <c r="EE17" s="1" t="inlineStr">
        <is>
          <t>Expected_$</t>
        </is>
      </c>
    </row>
    <row r="18">
      <c r="A18" s="84" t="inlineStr">
        <is>
          <t>RSI 1H</t>
        </is>
      </c>
      <c r="B18" s="89" t="n">
        <v>0.00047</v>
      </c>
      <c r="D18" s="84" t="inlineStr">
        <is>
          <t>HTF Swing High (4H)</t>
        </is>
      </c>
      <c r="E18" s="85" t="n">
        <v>1.18042</v>
      </c>
      <c r="J18" s="84" t="inlineStr">
        <is>
          <t>Weight 0.618</t>
        </is>
      </c>
      <c r="K18" s="89" t="n">
        <v>0.45</v>
      </c>
      <c r="N18" t="inlineStr">
        <is>
          <t>ATR(14) 15m</t>
        </is>
      </c>
      <c r="O18" s="86">
        <f>'Advanced Setup Planner'!B20</f>
        <v/>
      </c>
      <c r="S18" t="inlineStr">
        <is>
          <t>PWL</t>
        </is>
      </c>
      <c r="T18" s="86">
        <f>'Advanced Setup Planner'!E8</f>
        <v/>
      </c>
      <c r="X18" s="12" t="n">
        <v>2</v>
      </c>
      <c r="Y18" s="12" t="inlineStr">
        <is>
          <t>Main</t>
        </is>
      </c>
      <c r="Z18" s="107">
        <f>MIN(Q25,Q24)</f>
        <v/>
      </c>
      <c r="AA18" s="107">
        <f>MAX(Q25,Q24)</f>
        <v/>
      </c>
      <c r="AC18" s="1" t="n"/>
      <c r="AD18" s="116" t="n"/>
      <c r="AE18" s="1" t="n"/>
      <c r="AF18" s="1" t="n"/>
      <c r="AG18" s="35" t="n"/>
      <c r="AH18" s="117" t="n"/>
      <c r="AI18" s="118" t="n"/>
      <c r="AJ18" s="206" t="n"/>
      <c r="AK18" s="206" t="n"/>
      <c r="AL18" s="35" t="n"/>
      <c r="AM18" s="120" t="n"/>
      <c r="EA18" t="inlineStr">
        <is>
          <t>LongScore_pct</t>
        </is>
      </c>
      <c r="EB18" s="121">
        <f>IFERROR(IF(EB17=0,"",EB15/EB17),"")</f>
        <v/>
      </c>
      <c r="EC18" s="122">
        <f>IF($Y$1&lt;&gt;"LONG","",MIN(0.8,0.4+0.4*IFERROR(EB18,0)+0.1*IFERROR(EB42,0)))</f>
        <v/>
      </c>
      <c r="ED18" s="120">
        <f>IF($Y$1="","",IF($Y$1="LONG",IF(OR(EC18="",EB20=""),"",EC18*EB20-(1-EC18)*1),IF(OR(EC19="",EB20=""),"",EC19*EB20-(1-EC19)*1)))</f>
        <v/>
      </c>
      <c r="EE18" s="206">
        <f>IF(ED18="","",ED18*$Y$2)</f>
        <v/>
      </c>
    </row>
    <row r="19">
      <c r="A19" s="84" t="inlineStr">
        <is>
          <t>RSI 4HR</t>
        </is>
      </c>
      <c r="B19" s="89" t="n">
        <v>0.00088</v>
      </c>
      <c r="J19" s="84" t="inlineStr">
        <is>
          <t>Ticket Size</t>
        </is>
      </c>
      <c r="K19" s="95" t="n">
        <v>0</v>
      </c>
      <c r="N19" t="inlineStr">
        <is>
          <t>ADR(14)</t>
        </is>
      </c>
      <c r="O19" s="86">
        <f>'Advanced Setup Planner'!B21</f>
        <v/>
      </c>
      <c r="S19" t="inlineStr">
        <is>
          <t>PDH</t>
        </is>
      </c>
      <c r="T19" s="68">
        <f>'Advanced Setup Planner'!E9</f>
        <v/>
      </c>
      <c r="X19" s="12" t="n">
        <v>3</v>
      </c>
      <c r="Y19" s="12" t="inlineStr">
        <is>
          <t>HTF</t>
        </is>
      </c>
      <c r="Z19" s="107">
        <f>MIN(Q31,Q29)</f>
        <v/>
      </c>
      <c r="AA19" s="107">
        <f>MAX(Q31,Q29)</f>
        <v/>
      </c>
      <c r="AC19" t="inlineStr">
        <is>
          <t>Avg Pips to SL</t>
        </is>
      </c>
      <c r="AD19" s="20">
        <f>IF(SUM(AL15:AL17)=0,0,SUMPRODUCT(AN14:AN16,AL15:AL17)/SUM(AL15:AL17))</f>
        <v/>
      </c>
      <c r="EA19" t="inlineStr">
        <is>
          <t>ShortScore_pct</t>
        </is>
      </c>
      <c r="EB19" s="121">
        <f>IFERROR(IF(EB17=0,"",EB16/EB17),"")</f>
        <v/>
      </c>
      <c r="EC19" s="123" t="inlineStr">
        <is>
          <t>Primary_StopFloorPips</t>
        </is>
      </c>
      <c r="ED19">
        <f>MAX(ED14,ROUNDUP(ED6*ED5,0))</f>
        <v/>
      </c>
    </row>
    <row r="20">
      <c r="A20" s="84" t="inlineStr">
        <is>
          <t>ATR(14) 15m</t>
        </is>
      </c>
      <c r="B20" s="85" t="n">
        <v>55</v>
      </c>
      <c r="J20" s="84" t="inlineStr">
        <is>
          <t>Min R (R multiple)</t>
        </is>
      </c>
      <c r="K20" s="95" t="n">
        <v>3</v>
      </c>
      <c r="N20" t="inlineStr">
        <is>
          <t>RSI 15M</t>
        </is>
      </c>
      <c r="O20" s="106">
        <f>'Advanced Setup Planner'!B17</f>
        <v/>
      </c>
      <c r="S20" t="inlineStr">
        <is>
          <t>PDL</t>
        </is>
      </c>
      <c r="T20" s="68">
        <f>'Advanced Setup Planner'!E10</f>
        <v/>
      </c>
      <c r="W20" t="inlineStr">
        <is>
          <t>Zone tolerance</t>
        </is>
      </c>
      <c r="X20" s="12">
        <f>'Advanced Setup Planner'!K15</f>
        <v/>
      </c>
      <c r="AC20" t="inlineStr">
        <is>
          <t>Total Units</t>
        </is>
      </c>
      <c r="AD20" s="20">
        <f>SUM(AL15:AL17)</f>
        <v/>
      </c>
      <c r="EB20" s="87">
        <f>IF(OR($EB$55=0,$AD$7&lt;=0,$AD$12=""),"",$AD$12)</f>
        <v/>
      </c>
      <c r="EC20" t="inlineStr">
        <is>
          <t>APlus_StopFloorPips</t>
        </is>
      </c>
      <c r="ED20">
        <f>MAX(ED15,ROUNDUP(ED6*ED5,0))</f>
        <v/>
      </c>
    </row>
    <row r="21">
      <c r="A21" s="84" t="inlineStr">
        <is>
          <t>ADR(14)</t>
        </is>
      </c>
      <c r="B21" s="85" t="n">
        <v>52</v>
      </c>
      <c r="N21" t="inlineStr">
        <is>
          <t>RSI 1H</t>
        </is>
      </c>
      <c r="O21" s="106">
        <f>'Advanced Setup Planner'!B18</f>
        <v/>
      </c>
      <c r="S21" t="inlineStr">
        <is>
          <t>EQH_above</t>
        </is>
      </c>
      <c r="T21" s="68">
        <f>'Advanced Setup Planner'!E11</f>
        <v/>
      </c>
      <c r="X21" t="inlineStr">
        <is>
          <t>zone-specific fibs for SL/entries</t>
        </is>
      </c>
      <c r="AC21" t="inlineStr">
        <is>
          <t>Avg Entry</t>
        </is>
      </c>
      <c r="AD21" s="59">
        <f>IF(AD20=0,"",SUMPRODUCT(AD15:AD17,AL15:AL17)/AD20)</f>
        <v/>
      </c>
      <c r="EA21" t="inlineStr">
        <is>
          <t>Trend Mode</t>
        </is>
      </c>
      <c r="EB21" s="82">
        <f>IF($Y$1="","No bias",IF($Y$1="LONG",IF($T$8,"Trend-aligned","Counter-trend"),IF($Y$1="SHORT",IF($T$9,"Trend-aligned","Counter-trend"),"No bias")))</f>
        <v/>
      </c>
      <c r="EC21" t="inlineStr">
        <is>
          <t>CT_StopFloorPips</t>
        </is>
      </c>
      <c r="ED21">
        <f>MAX(ED16,ROUNDUP(ED6*ED5,0))</f>
        <v/>
      </c>
    </row>
    <row r="22">
      <c r="A22" s="174" t="inlineStr">
        <is>
          <t>Structure (SMC) – D1 / 4H / 1H / 15m</t>
        </is>
      </c>
      <c r="N22" t="inlineStr">
        <is>
          <t>Legs (Intraday / Session / HTF)</t>
        </is>
      </c>
      <c r="Q22" t="inlineStr">
        <is>
          <t>Fib outputs</t>
        </is>
      </c>
      <c r="S22" t="inlineStr">
        <is>
          <t>EQL_below</t>
        </is>
      </c>
      <c r="T22" s="68">
        <f>'Advanced Setup Planner'!E12</f>
        <v/>
      </c>
      <c r="X22" t="inlineStr">
        <is>
          <t>Zone_618</t>
        </is>
      </c>
      <c r="Y22" s="59">
        <f>IF($Y$1="LONG",$EB$30,"")</f>
        <v/>
      </c>
      <c r="AC22" t="inlineStr">
        <is>
          <t>Pips to TP1</t>
        </is>
      </c>
      <c r="AD22" s="20">
        <f>IF(OR(AD21="",$Y$3=""),"",ABS(($Y$3-AD21)*10000))</f>
        <v/>
      </c>
      <c r="EA22" t="inlineStr">
        <is>
          <t>Setup Type</t>
        </is>
      </c>
      <c r="EB22" s="82">
        <f>IF(AND(T3="Bull",T4="Bull",T5="Bear",T6="Bear"),"Trend Pullback","Mixed")</f>
        <v/>
      </c>
      <c r="EC22" t="inlineStr">
        <is>
          <t>CT_ActiveWgtSum</t>
        </is>
      </c>
      <c r="ED22">
        <f>SUMPRODUCT(($AD$28:$AD$30&lt;&gt;"")*($AI$28:$AI$30))</f>
        <v/>
      </c>
    </row>
    <row r="23" ht="29" customHeight="1" s="175">
      <c r="A23" s="40" t="inlineStr">
        <is>
          <t>TF</t>
        </is>
      </c>
      <c r="B23" s="40" t="inlineStr">
        <is>
          <t>Trend (auto)</t>
        </is>
      </c>
      <c r="C23" s="40" t="inlineStr">
        <is>
          <t>Last BOS (manual)</t>
        </is>
      </c>
      <c r="D23" s="40" t="inlineStr">
        <is>
          <t>Last CHOCH (manual)</t>
        </is>
      </c>
      <c r="N23" t="inlineStr">
        <is>
          <t>LTF Leg Low (15m</t>
        </is>
      </c>
      <c r="O23" s="68">
        <f>'Advanced Setup Planner'!E13</f>
        <v/>
      </c>
      <c r="P23" t="inlineStr">
        <is>
          <t>L1 0.382</t>
        </is>
      </c>
      <c r="Q23" s="59">
        <f>IF($Y$1="SHORT",$O$23+($O$24-$O$23)*0.382,$O$24-($O$24-$O$23)*0.382)</f>
        <v/>
      </c>
      <c r="S23" t="inlineStr">
        <is>
          <t>Distances to nearest liquidity</t>
        </is>
      </c>
      <c r="X23" t="inlineStr">
        <is>
          <t>Zone_500</t>
        </is>
      </c>
      <c r="Y23" s="59">
        <f>IF($Y$1="SHORT",$EB$31,"")</f>
        <v/>
      </c>
      <c r="AC23" t="inlineStr">
        <is>
          <t>Reward at TP1 $</t>
        </is>
      </c>
      <c r="AD23" s="205">
        <f>IF(OR(AD20=0,AD21="",$Y$3=""),"",ABS(($Y$3-AD21)*AD20))</f>
        <v/>
      </c>
      <c r="EA23" t="inlineStr">
        <is>
          <t>TradeMode</t>
        </is>
      </c>
      <c r="EB23" s="82">
        <f>IFERROR(IF(EE52,"CoreLong",IF(EE53,"CTshort","Avoid")),"")</f>
        <v/>
      </c>
      <c r="EC23" t="inlineStr">
        <is>
          <t>CT_ATRMult</t>
        </is>
      </c>
      <c r="ED23" t="n">
        <v>1.5</v>
      </c>
    </row>
    <row r="24">
      <c r="A24" s="124" t="inlineStr">
        <is>
          <t>1D</t>
        </is>
      </c>
      <c r="B24" s="124">
        <f>'Advanced Setup Planner'!T3</f>
        <v/>
      </c>
      <c r="C24" s="125" t="inlineStr">
        <is>
          <t>Down</t>
        </is>
      </c>
      <c r="D24" s="125" t="inlineStr">
        <is>
          <t>Down</t>
        </is>
      </c>
      <c r="N24" t="inlineStr">
        <is>
          <t>LTF Leg High (15m)</t>
        </is>
      </c>
      <c r="O24" s="68">
        <f>'Advanced Setup Planner'!E14</f>
        <v/>
      </c>
      <c r="P24" t="inlineStr">
        <is>
          <t>L1 0.500</t>
        </is>
      </c>
      <c r="Q24" s="59">
        <f>IF($Y$1="SHORT",$O$23+($O$24-$O$23)*0.5,$O$24-($O$24-$O$23)*0.5)</f>
        <v/>
      </c>
      <c r="S24" t="inlineStr">
        <is>
          <t>Dist_Above (pips)</t>
        </is>
      </c>
      <c r="T24">
        <f>MIN(IF(T15&gt;$O$3,ABS((T15-$O$3)*10000),1000000000),IF(T17&gt;$O$3,ABS((T17-$O$3)*10000),1000000000),IF(T19&gt;$O$3,ABS((T19-$O$3)*10000),1000000000),IF(T21&gt;$O$3,ABS((T21-$O$3)*10000),1000000000))</f>
        <v/>
      </c>
      <c r="AC24" t="inlineStr">
        <is>
          <t>R multiple at TP1</t>
        </is>
      </c>
      <c r="AD24" s="20">
        <f>IF(SUM($AJ$15:$AJ$17)=0,"",SUM($AK$15:$AK$17)/SUM($AJ$15:$AJ$17))</f>
        <v/>
      </c>
      <c r="EA24" t="inlineStr">
        <is>
          <t>Grade</t>
        </is>
      </c>
      <c r="EB24" s="82">
        <f>IF($Y$1="","N/A",IF($EB$25,"B",IF(EB34&lt;0.4,"B",IF(EB18&gt;=0.7,"A+",IF(EB18&gt;=0.4,"B","C")))))</f>
        <v/>
      </c>
      <c r="EC24" t="inlineStr">
        <is>
          <t>CT_RangePips</t>
        </is>
      </c>
      <c r="ED24">
        <f>MAX(6,ROUND($O$18*10000*$ED$23,0))</f>
        <v/>
      </c>
    </row>
    <row r="25">
      <c r="A25" s="124" t="inlineStr">
        <is>
          <t>4H</t>
        </is>
      </c>
      <c r="B25" s="124">
        <f>'Advanced Setup Planner'!T4</f>
        <v/>
      </c>
      <c r="C25" s="125" t="inlineStr">
        <is>
          <t>Down</t>
        </is>
      </c>
      <c r="D25" s="125" t="inlineStr">
        <is>
          <t>Down</t>
        </is>
      </c>
      <c r="P25" t="inlineStr">
        <is>
          <t>L1 0.618</t>
        </is>
      </c>
      <c r="Q25" s="59">
        <f>IF($Y$1="SHORT",$O$23+($O$24-$O$23)*0.618,$O$24-($O$24-$O$23)*0.618)</f>
        <v/>
      </c>
      <c r="S25" t="inlineStr">
        <is>
          <t>Dist_Below (pips)</t>
        </is>
      </c>
      <c r="T25">
        <f>MIN(IF(T16&lt;$O$3,ABS((T16-$O$3)*10000),1000000000),IF(T18&lt;$O$3,ABS((T18-$O$3)*10000),1000000000),IF(T20&lt;$O$3,ABS((T20-$O$3)*10000),1000000000),IF(T22&lt;$O$3,ABS((T22-$O$3)*10000),1000000000))</f>
        <v/>
      </c>
      <c r="AC25" t="inlineStr">
        <is>
          <t>Avg Eff Pips to SL</t>
        </is>
      </c>
      <c r="AD25" s="20">
        <f>IF(SUM(AL15:AL17)=0,"",(AL15*MAX(AH15,$ED$20)+AL16*MAX(AH16,$ED$20)+AL17*MAX(AH17,$ED$20))/SUM(AL15:AL17))</f>
        <v/>
      </c>
      <c r="EA25" t="inlineStr">
        <is>
          <t>NoTradeFlag</t>
        </is>
      </c>
      <c r="EB25" s="82">
        <f>IFERROR(OR($Y$1="",AND(EB23="CoreLong",OR(EE48=FALSE,$AD$12="",$AD$12&lt;$Y$12)),AND(EB23="CTshort",OR(EE49=FALSE,$O$21&lt;=65)),FALSE),"")</f>
        <v/>
      </c>
      <c r="ED25">
        <f>IF($Y$1="LONG",IF(OR($ED$58,$O$3&gt;$T$19),MAX($O$27,$O$24),$T$19),IF($Y$1="SHORT",IF(OR($ED$58,$O$3&lt;$T$20),MIN($O$26,$O$23),$T$20),""))</f>
        <v/>
      </c>
    </row>
    <row r="26">
      <c r="A26" s="124" t="inlineStr">
        <is>
          <t>1H</t>
        </is>
      </c>
      <c r="B26" s="124">
        <f>'Advanced Setup Planner'!T5</f>
        <v/>
      </c>
      <c r="C26" s="125" t="inlineStr">
        <is>
          <t>Down</t>
        </is>
      </c>
      <c r="D26" s="125" t="inlineStr">
        <is>
          <t>Down</t>
        </is>
      </c>
      <c r="N26" t="inlineStr">
        <is>
          <t>Session Low</t>
        </is>
      </c>
      <c r="O26" s="68">
        <f>'Advanced Setup Planner'!E15</f>
        <v/>
      </c>
      <c r="P26" t="inlineStr">
        <is>
          <t>L2 0.382</t>
        </is>
      </c>
      <c r="Q26" s="59">
        <f>IF($Y$1="SHORT",$O$26+($O$27-$O$26)*0.382,$O$27-($O$27-$O$26)*0.382)</f>
        <v/>
      </c>
      <c r="AN26">
        <f>IF(AH28="","",MAX(AH28,$ED$7))</f>
        <v/>
      </c>
      <c r="EA26" t="inlineStr">
        <is>
          <t>MasterSignal</t>
        </is>
      </c>
      <c r="EB26" s="82">
        <f>IF($Y$1="","NO SIDE – neither core long nor CT short setup is active.",IF(EB23="CoreLong",IF(EB25,"AVOID CORE LONG – not in discount or 3R not available.","CORE LONG SETUP – buy dip in active tier. Ladder entries "&amp;TEXT($AD$2,"0.00000")&amp;"/"&amp;TEXT($AD$3,"0.00000")&amp;"/"&amp;TEXT($AD$4,"0.00000")&amp;", SL "&amp;TEXT($AF$2,"0.00000")&amp;", TP1 "&amp;TEXT($Y$3,"0.00000")&amp;"."),IF(EB23="CTshort",IF(EB25,"AVOID CT SHORT – conditions for scalp fade not met.","OPTIONAL CT SHORT – scalp fade only. Short zone near PDH/CT highs; see CT ladder for entries, SL and TPs."),"AVOID – nothing to do here. Stand aside and wait for either discount buy or CT fade zone.")))</f>
        <v/>
      </c>
      <c r="ED26">
        <f>IF($Y$1="LONG",IF(MAX($O$27,$O$24)&gt;0,MAX($O$27,$O$24),$T$19),IF($Y$1="SHORT",IF(MIN($O$26,$O$23)&gt;0,MIN($O$26,$O$23),$T$20),""))</f>
        <v/>
      </c>
    </row>
    <row r="27">
      <c r="A27" s="124" t="inlineStr">
        <is>
          <t>15M</t>
        </is>
      </c>
      <c r="B27" s="124">
        <f>'Advanced Setup Planner'!T6</f>
        <v/>
      </c>
      <c r="C27" s="125" t="inlineStr">
        <is>
          <t>Down</t>
        </is>
      </c>
      <c r="D27" s="125" t="inlineStr">
        <is>
          <t>Down</t>
        </is>
      </c>
      <c r="N27" t="inlineStr">
        <is>
          <t>Session High</t>
        </is>
      </c>
      <c r="O27" s="68">
        <f>'Advanced Setup Planner'!E16</f>
        <v/>
      </c>
      <c r="P27" t="inlineStr">
        <is>
          <t>L2 0.500</t>
        </is>
      </c>
      <c r="Q27" s="59">
        <f>IF($Y$1="SHORT",$O$26+($O$27-$O$26)*0.5,$O$27-($O$27-$O$26)*0.5)</f>
        <v/>
      </c>
      <c r="S27" t="inlineStr">
        <is>
          <t>Long_RoomOK</t>
        </is>
      </c>
      <c r="T27">
        <f>IF($AD$6="",FALSE,$T$24&gt;=3*$AD$6)</f>
        <v/>
      </c>
      <c r="AC27" s="97" t="inlineStr">
        <is>
          <t>CT LADDER</t>
        </is>
      </c>
      <c r="AD27" s="57" t="inlineStr">
        <is>
          <t>Entry</t>
        </is>
      </c>
      <c r="AE27" s="57" t="inlineStr">
        <is>
          <t>TP</t>
        </is>
      </c>
      <c r="AF27" s="57" t="inlineStr">
        <is>
          <t>SL</t>
        </is>
      </c>
      <c r="AG27" s="57" t="inlineStr">
        <is>
          <t>Pips to TP1</t>
        </is>
      </c>
      <c r="AH27" s="57" t="inlineStr">
        <is>
          <t>Eff Pips to SL</t>
        </is>
      </c>
      <c r="AI27" s="57" t="inlineStr">
        <is>
          <t>Weight</t>
        </is>
      </c>
      <c r="AJ27" s="57" t="inlineStr">
        <is>
          <t>Risk $</t>
        </is>
      </c>
      <c r="AK27" s="57" t="inlineStr">
        <is>
          <t>Reward $</t>
        </is>
      </c>
      <c r="AL27" s="57" t="inlineStr">
        <is>
          <t>Units</t>
        </is>
      </c>
      <c r="AM27" s="58" t="inlineStr">
        <is>
          <t>R per rung</t>
        </is>
      </c>
      <c r="AN27">
        <f>IF(AH29="","",MAX(AH29,$ED$7))</f>
        <v/>
      </c>
      <c r="EA27" t="inlineStr">
        <is>
          <t>Setup Summary</t>
        </is>
      </c>
      <c r="EB27" s="82">
        <f>IFERROR(IF(EB23="CoreLong",IF(EB25,"NO CORE LONG – wait for proper discount and 3R.","CORE LONG OK – follow MasterSignal &amp; Trade Plan."),IF(EB23="CTshort",IF(EB25,"NO CT SHORT – CT scalp conditions incomplete.","CT SHORT OK – scalp only, log as counter-trend."),"NO TRADE – neither core nor CT setup active.")),"")</f>
        <v/>
      </c>
      <c r="EC27" t="inlineStr">
        <is>
          <t>Primary_SL_Cont</t>
        </is>
      </c>
      <c r="ED27">
        <f>$O$40-$ED$28</f>
        <v/>
      </c>
    </row>
    <row r="28">
      <c r="P28" t="inlineStr">
        <is>
          <t>L2 0.618</t>
        </is>
      </c>
      <c r="Q28" s="59">
        <f>IF($Y$1="SHORT",$O$26+($O$27-$O$26)*0.618,$O$27-($O$27-$O$26)*0.618)</f>
        <v/>
      </c>
      <c r="S28" t="inlineStr">
        <is>
          <t>Short_RoomOK</t>
        </is>
      </c>
      <c r="T28">
        <f>IF(AD6="",FALSE,T25&gt;=3*AD6)</f>
        <v/>
      </c>
      <c r="AC28" s="98" t="inlineStr">
        <is>
          <t>deep rung</t>
        </is>
      </c>
      <c r="AD28" s="99">
        <f>IF(EB48="","",EB48)</f>
        <v/>
      </c>
      <c r="AE28" s="99">
        <f>IF(AD28="","",IFERROR(_xlfn.AGGREGATE(14,6,CHOOSE({1,2,3,4},'Advanced Setup Planner'!$E$12,'Advanced Setup Planner'!$E$10,'Advanced Setup Planner'!$E$15,'Advanced Setup Planner'!$H$10)/(CHOOSE({1,2,3,4},'Advanced Setup Planner'!$E$12,'Advanced Setup Planner'!$E$10,'Advanced Setup Planner'!$E$15,'Advanced Setup Planner'!$H$10)&lt;AD28),1)-$ED$3,AD28-($ED$24*$ED$3)))</f>
        <v/>
      </c>
      <c r="AF28" s="99">
        <f>IF(AD30="","",AD30+0.0008)</f>
        <v/>
      </c>
      <c r="AG28" s="101">
        <f>IF(OR(AD28="",AE28=""),"",ABS((AE28-AD28)*10000))</f>
        <v/>
      </c>
      <c r="AH28" s="102">
        <f>IF(OR(AD28="",AF28=""),"",MAX(ABS((AD28-AF28)*10000),$ED$21))</f>
        <v/>
      </c>
      <c r="AI28" s="103" t="n">
        <v>0.45</v>
      </c>
      <c r="AJ28" s="218">
        <f>IF(OR(AI28=0,$ED$22=0,AD28=""),"",$Y$2*$ED$10*AI28/$ED$22)</f>
        <v/>
      </c>
      <c r="AK28" s="218">
        <f>IF(OR(AJ28="",AJ28=0,AG28=""),"",AJ28*AG28/MAX(AH28,$ED$21))</f>
        <v/>
      </c>
      <c r="AL28" s="101">
        <f>IF(OR(AD28="",AH28="",AJ28=""),"",AJ28/(MAX(AH28,$ED$21)*$ED$3))</f>
        <v/>
      </c>
      <c r="AM28" s="105">
        <f>IF(OR(AG28="",AH28=""),"",AG28/MAX(AH28,$ED$21))</f>
        <v/>
      </c>
      <c r="AN28">
        <f>IF(AH30="","",MAX(AH30,$ED$7))</f>
        <v/>
      </c>
      <c r="EA28" t="inlineStr">
        <is>
          <t>Trade Plan</t>
        </is>
      </c>
      <c r="EB28" s="82">
        <f>IFERROR(IF(EB25,"Stand aside or observation-only. Location: "&amp;EE54&amp;".",IF(EB23="CoreLong","CORE LONG EXECUTION – Mode: "&amp;EB21&amp;", Grade: "&amp;EB24&amp;". Bias: LONG (trend/macro). Buy active tier with ladder "&amp;TEXT($AD$2,"0.00000")&amp;"/"&amp;TEXT($AD$3,"0.00000")&amp;"/"&amp;TEXT($AD$4,"0.00000")&amp;". SL "&amp;TEXT($AF$2,"0.00000")&amp;". TP1 "&amp;TEXT($Y$3,"0.00000")&amp;".","CT SHORT EXECUTION – Counter-trend scalp. Short near PDH/CT zone. Use CT ladder for entries with reduced risk (0.25–0.5R). Stop above 1.1725–1.1730; TP1 back into 1.1670–1.1660, TP2 into 1.1645–1.1635.")),"")</f>
        <v/>
      </c>
      <c r="EC28" t="inlineStr">
        <is>
          <t>Primary_SL_Buffer</t>
        </is>
      </c>
      <c r="ED28">
        <f>MAX(0.00025,$O$18*0.5)</f>
        <v/>
      </c>
    </row>
    <row r="29">
      <c r="N29" t="inlineStr">
        <is>
          <t>HTF Swing Low (4H)</t>
        </is>
      </c>
      <c r="O29" s="68">
        <f>'Advanced Setup Planner'!E17</f>
        <v/>
      </c>
      <c r="P29" t="inlineStr">
        <is>
          <t>L3 0.382</t>
        </is>
      </c>
      <c r="Q29" s="59">
        <f>IF($Y$1="SHORT",$O$29+($O$30-$O$29)*0.382,$O$30-($O$30-$O$29)*0.382)</f>
        <v/>
      </c>
      <c r="S29" t="inlineStr">
        <is>
          <t>Strike 1</t>
        </is>
      </c>
      <c r="T29" s="68">
        <f>'Advanced Setup Planner'!K5</f>
        <v/>
      </c>
      <c r="U29" t="inlineStr">
        <is>
          <t>Size 1 (bn)</t>
        </is>
      </c>
      <c r="V29" s="86">
        <f>'Advanced Setup Planner'!K6</f>
        <v/>
      </c>
      <c r="W29">
        <f>IF(T29="","",ABS(T29-$O$3))</f>
        <v/>
      </c>
      <c r="AC29" s="98" t="inlineStr">
        <is>
          <t>middle rung</t>
        </is>
      </c>
      <c r="AD29" s="99">
        <f>IF(EB49="","",EB49)</f>
        <v/>
      </c>
      <c r="AE29" s="99">
        <f>IF(AD29="","",IFERROR(_xlfn.AGGREGATE(14,6,CHOOSE({1,2,3,4},'Advanced Setup Planner'!$E$12,'Advanced Setup Planner'!$E$10,'Advanced Setup Planner'!$E$15,'Advanced Setup Planner'!$H$10)/(CHOOSE({1,2,3,4},'Advanced Setup Planner'!$E$12,'Advanced Setup Planner'!$E$10,'Advanced Setup Planner'!$E$15,'Advanced Setup Planner'!$H$10)&lt;AD29),1)-$ED$3,AD29-($ED$24*$ED$3)))</f>
        <v/>
      </c>
      <c r="AF29" s="99">
        <f>AF28</f>
        <v/>
      </c>
      <c r="AG29" s="101">
        <f>IF(OR(AD29="",AE29=""),"",ABS((AE29-AD29)*10000))</f>
        <v/>
      </c>
      <c r="AH29" s="102">
        <f>IF(OR(AD29="",AF29=""),"",MAX(ABS((AD29-AF29)*10000),$ED$21))</f>
        <v/>
      </c>
      <c r="AI29" s="103" t="n">
        <v>0.35</v>
      </c>
      <c r="AJ29" s="218">
        <f>IF(OR(AI29=0,$ED$22=0,AD29=""),"",$Y$2*$ED$10*AI29/$ED$22)</f>
        <v/>
      </c>
      <c r="AK29" s="218">
        <f>IF(OR(AJ29="",AJ29=0,AG29=""),"",AJ29*AG29/MAX(AH29,$ED$21))</f>
        <v/>
      </c>
      <c r="AL29" s="101">
        <f>IF(OR(AD29="",AH29="",AJ29=""),"",AJ29/(MAX(AH29,$ED$21)*$ED$3))</f>
        <v/>
      </c>
      <c r="AM29" s="105">
        <f>IF(OR(AG29="",AH29=""),"",AG29/MAX(AH29,$ED$21))</f>
        <v/>
      </c>
      <c r="EA29" t="inlineStr">
        <is>
          <t>Go/No-Go</t>
        </is>
      </c>
      <c r="EB29" s="82">
        <f>IF($Y$1="","NO SETUP",IF(EB25,"NO TRADE – "&amp;EE54,IF(EB23="CoreLong","GO (CORE LONG) – trend/macro aligned.","GO (CT SCALP) – small risk only.")))</f>
        <v/>
      </c>
      <c r="EC29" t="inlineStr">
        <is>
          <t>Aplus_SL_Buffer</t>
        </is>
      </c>
      <c r="ED29">
        <f>MAX(0.00025,$O$18*0.5)</f>
        <v/>
      </c>
    </row>
    <row r="30">
      <c r="A30" s="174" t="inlineStr">
        <is>
          <t>Outputs (auto)</t>
        </is>
      </c>
      <c r="N30" t="inlineStr">
        <is>
          <t>HTF Swing High (4H)</t>
        </is>
      </c>
      <c r="O30" s="68">
        <f>'Advanced Setup Planner'!E18</f>
        <v/>
      </c>
      <c r="P30" t="inlineStr">
        <is>
          <t>L3 0.500</t>
        </is>
      </c>
      <c r="Q30" s="59">
        <f>IF($Y$1="SHORT",$O$29+($O$30-$O$29)*0.5,$O$30-($O$30-$O$29)*0.5)</f>
        <v/>
      </c>
      <c r="S30" t="inlineStr">
        <is>
          <t>Strike 2</t>
        </is>
      </c>
      <c r="T30" s="68">
        <f>'Advanced Setup Planner'!K7</f>
        <v/>
      </c>
      <c r="U30" t="inlineStr">
        <is>
          <t>Size 2 (bn)</t>
        </is>
      </c>
      <c r="V30" s="86">
        <f>'Advanced Setup Planner'!K8</f>
        <v/>
      </c>
      <c r="W30">
        <f>IF(T30="","",ABS(T30-$O$3))</f>
        <v/>
      </c>
      <c r="AC30" s="108" t="inlineStr">
        <is>
          <t>shallow rung</t>
        </is>
      </c>
      <c r="AD30" s="109">
        <f>IF(EB47="","",EB47)</f>
        <v/>
      </c>
      <c r="AE30" s="109">
        <f>IF(AD30="","",IFERROR(_xlfn.AGGREGATE(14,6,CHOOSE({1,2,3,4},'Advanced Setup Planner'!$E$12,'Advanced Setup Planner'!$E$10,'Advanced Setup Planner'!$E$15,'Advanced Setup Planner'!$H$10)/(CHOOSE({1,2,3,4},'Advanced Setup Planner'!$E$12,'Advanced Setup Planner'!$E$10,'Advanced Setup Planner'!$E$15,'Advanced Setup Planner'!$H$10)&lt;AD30),1)-$ED$3,AD30-($ED$24*$ED$3)))</f>
        <v/>
      </c>
      <c r="AF30" s="109">
        <f>AF28</f>
        <v/>
      </c>
      <c r="AG30" s="111">
        <f>IF(OR(AD30="",AE30=""),"",ABS((AE30-AD30)*10000))</f>
        <v/>
      </c>
      <c r="AH30" s="112">
        <f>IF(OR(AD30="",AF30=""),"",MAX(ABS((AD30-AF30)*10000),$ED$21))</f>
        <v/>
      </c>
      <c r="AI30" s="113" t="n">
        <v>0.2</v>
      </c>
      <c r="AJ30" s="219">
        <f>IF(OR(AI30=0,$ED$22=0,AD30=""),"",$Y$2*$ED$10*AI30/$ED$22)</f>
        <v/>
      </c>
      <c r="AK30" s="219">
        <f>IF(OR(AJ30="",AJ30=0,AG30=""),"",AJ30*AG30/MAX(AH30,$ED$21))</f>
        <v/>
      </c>
      <c r="AL30" s="111">
        <f>IF(OR(AD30="",AH30="",AJ30=""),"",AJ30/(MAX(AH30,$ED$21)*$ED$3))</f>
        <v/>
      </c>
      <c r="AM30" s="115">
        <f>IF(OR(AG30="",AH30=""),"",AG30/MAX(AH30,$ED$21))</f>
        <v/>
      </c>
      <c r="EA30" t="inlineStr">
        <is>
          <t>Golden_Low (Overlap L1/L3)</t>
        </is>
      </c>
      <c r="EB30" s="73">
        <f>IF(OR($Q$23="",$Q$25="",$Q$29="",$Q$31=""),"",MAX(MIN($Q$23,$Q$25),MIN($Q$29,$Q$31)))</f>
        <v/>
      </c>
      <c r="EC30" t="inlineStr">
        <is>
          <t>Aplus_SL</t>
        </is>
      </c>
      <c r="ED30" s="20">
        <f>$O$38-$ED$29</f>
        <v/>
      </c>
    </row>
    <row r="31">
      <c r="A31" s="84" t="inlineStr">
        <is>
          <t>Side (LONG/SHORT)</t>
        </is>
      </c>
      <c r="B31" s="178">
        <f>'Advanced Setup Planner'!Y1</f>
        <v/>
      </c>
      <c r="C31" s="179" t="n"/>
      <c r="D31" s="179" t="n"/>
      <c r="E31" s="179" t="n"/>
      <c r="F31" s="179" t="n"/>
      <c r="G31" s="179" t="n"/>
      <c r="H31" s="179" t="n"/>
      <c r="I31" s="179" t="n"/>
      <c r="J31" s="179" t="n"/>
      <c r="K31" s="180" t="n"/>
      <c r="P31" t="inlineStr">
        <is>
          <t>L3 0.618</t>
        </is>
      </c>
      <c r="Q31" s="59">
        <f>IF($Y$1="SHORT",$O$29+($O$30-$O$29)*0.618,$O$30-($O$30-$O$29)*0.618)</f>
        <v/>
      </c>
      <c r="S31" t="inlineStr">
        <is>
          <t>Strike 3</t>
        </is>
      </c>
      <c r="T31" s="68">
        <f>'Advanced Setup Planner'!K9</f>
        <v/>
      </c>
      <c r="U31" t="inlineStr">
        <is>
          <t>Size 3 (bn)</t>
        </is>
      </c>
      <c r="V31" s="86">
        <f>'Advanced Setup Planner'!K10</f>
        <v/>
      </c>
      <c r="W31">
        <f>IF(T31="","",ABS(T31-$O$3))</f>
        <v/>
      </c>
      <c r="AC31" s="1" t="n"/>
      <c r="AD31" s="116" t="n"/>
      <c r="AE31" s="116" t="n"/>
      <c r="AF31" s="116" t="n"/>
      <c r="AG31" s="35" t="n"/>
      <c r="AH31" s="117" t="n"/>
      <c r="AI31" s="118" t="n"/>
      <c r="AJ31" s="206" t="n"/>
      <c r="AK31" s="206" t="n"/>
      <c r="AL31" s="35" t="n"/>
      <c r="AM31" s="120" t="n"/>
      <c r="EA31" t="inlineStr">
        <is>
          <t>Golden_High (Overlap L1/L3)</t>
        </is>
      </c>
      <c r="EB31" s="73">
        <f>IF(OR($Q$23="",$Q$25="",$Q$29="",$Q$31=""),"",MIN(MAX($Q$23,$Q$25),MAX($Q$29,$Q$31)))</f>
        <v/>
      </c>
      <c r="EC31" t="inlineStr">
        <is>
          <t>(Pips_to_Entry_500)</t>
        </is>
      </c>
      <c r="ED31" s="20">
        <f>IF(AD3="","",($O$3-AD3)*10000)</f>
        <v/>
      </c>
    </row>
    <row r="32">
      <c r="A32" s="84" t="inlineStr">
        <is>
          <t>Setup Summary</t>
        </is>
      </c>
      <c r="B32" s="178">
        <f>IFERROR(IF('Advanced Setup Planner'!EB18="","",TEXT('Advanced Setup Planner'!EB18,"0%")&amp;" ("&amp;Backend!B83&amp;") — "&amp;Backend!B84),"")</f>
        <v/>
      </c>
      <c r="C32" s="179" t="n"/>
      <c r="D32" s="179" t="n"/>
      <c r="E32" s="179" t="n"/>
      <c r="F32" s="179" t="n"/>
      <c r="G32" s="179" t="n"/>
      <c r="H32" s="179" t="n"/>
      <c r="I32" s="179" t="n"/>
      <c r="J32" s="179" t="n"/>
      <c r="K32" s="180" t="n"/>
      <c r="S32" t="inlineStr">
        <is>
          <t>Strike 4</t>
        </is>
      </c>
      <c r="T32" s="68" t="n"/>
      <c r="U32" t="inlineStr">
        <is>
          <t>Size 4 (bn)</t>
        </is>
      </c>
      <c r="V32" s="86" t="n"/>
      <c r="W32">
        <f>IF(T32="","",ABS(T32-$O$3))</f>
        <v/>
      </c>
      <c r="AC32" t="inlineStr">
        <is>
          <t>Avg Pips to SL</t>
        </is>
      </c>
      <c r="AD32" s="20">
        <f>IF(SUM(AL28:AL30)=0,0,SUMPRODUCT(AN26:AN28,AL28:AL30)/SUM(AL28:AL30))</f>
        <v/>
      </c>
      <c r="EA32" t="inlineStr">
        <is>
          <t>Golden_Mid</t>
        </is>
      </c>
      <c r="EB32" s="73">
        <f>IF(OR(EB30="",EB31="",EB30&gt;EB31),"",(EB30+EB31)/2)</f>
        <v/>
      </c>
      <c r="EC32" t="inlineStr">
        <is>
          <t>(Pips_to_Entry_618)</t>
        </is>
      </c>
      <c r="ED32" s="20">
        <f>IF(AD4="","",($O$3-AD4)*10000)</f>
        <v/>
      </c>
      <c r="EE32">
        <f>IF($Y$1&lt;&gt;"LONG","","Dist to entries (pips): 0.382="&amp;TEXT(ED30,"0.0")&amp;", 0.5="&amp;TEXT(ED31,"0.0")&amp;", 0.618="&amp;TEXT(ED32,"0.0"))</f>
        <v/>
      </c>
    </row>
    <row r="33">
      <c r="A33" s="84" t="inlineStr">
        <is>
          <t>Trade Mode</t>
        </is>
      </c>
      <c r="B33" s="178">
        <f>'Advanced Setup Planner'!EB23</f>
        <v/>
      </c>
      <c r="C33" s="179" t="n"/>
      <c r="D33" s="179" t="n"/>
      <c r="E33" s="179" t="n"/>
      <c r="F33" s="179" t="n"/>
      <c r="G33" s="179" t="n"/>
      <c r="H33" s="179" t="n"/>
      <c r="I33" s="179" t="n"/>
      <c r="J33" s="179" t="n"/>
      <c r="K33" s="180" t="n"/>
      <c r="S33" t="inlineStr">
        <is>
          <t>Magnet Strike</t>
        </is>
      </c>
      <c r="T33" s="59">
        <f>IF(COUNTA(T29:T32)=0,"",INDEX(T29:T32,MATCH(MIN(W29:W32),W29:W32,0)))</f>
        <v/>
      </c>
      <c r="AC33" t="inlineStr">
        <is>
          <t>Total Units</t>
        </is>
      </c>
      <c r="AD33" s="20">
        <f>SUM(AL28:AL30)</f>
        <v/>
      </c>
      <c r="EA33" t="inlineStr">
        <is>
          <t>In_GoldenPocket_Flag</t>
        </is>
      </c>
      <c r="EB33" s="82">
        <f>IF(OR(EB30="",EB31="",EB30&gt;EB31),FALSE,AND($O$3&gt;=EB30,$O$3&lt;=EB31))</f>
        <v/>
      </c>
      <c r="EC33" s="123" t="inlineStr">
        <is>
          <t>ValueRiskMult</t>
        </is>
      </c>
      <c r="ED33" s="5" t="n">
        <v>1</v>
      </c>
    </row>
    <row r="34">
      <c r="A34" s="84" t="inlineStr">
        <is>
          <t>Macro Bias (EURUSD)</t>
        </is>
      </c>
      <c r="B34" s="178">
        <f>IFERROR(Backend!B338,"")</f>
        <v/>
      </c>
      <c r="C34" s="179" t="n"/>
      <c r="D34" s="179" t="n"/>
      <c r="E34" s="179" t="n"/>
      <c r="F34" s="179" t="n"/>
      <c r="G34" s="179" t="n"/>
      <c r="H34" s="179" t="n"/>
      <c r="I34" s="179" t="n"/>
      <c r="J34" s="179" t="n"/>
      <c r="K34" s="180" t="n"/>
      <c r="N34" t="inlineStr">
        <is>
          <t>FVGs (4H / Daily / 1H)</t>
        </is>
      </c>
      <c r="S34" t="inlineStr">
        <is>
          <t>Magnet Range (pips)</t>
        </is>
      </c>
      <c r="T34" s="127">
        <f>'Advanced Setup Planner'!K13</f>
        <v/>
      </c>
      <c r="AC34" t="inlineStr">
        <is>
          <t>Avg Entry</t>
        </is>
      </c>
      <c r="AD34" s="59">
        <f>IF(AD33=0,"",SUMPRODUCT(AD28:AD30,AL28:AL30)/AD33)</f>
        <v/>
      </c>
      <c r="EA34" t="inlineStr">
        <is>
          <t>GoldenProx_Score</t>
        </is>
      </c>
      <c r="EB34" s="87">
        <f>IF(OR(EB30="",EB31="",EB30&gt;EB31),0,IF(OR($O$3&lt;EB30,$O$3&gt;EB31),0,MAX(0,1-(ABS($O$3-EB32)/((EB31-EB30)/2)))))</f>
        <v/>
      </c>
      <c r="EC34" s="123" t="inlineStr">
        <is>
          <t>Value_MinStopPips</t>
        </is>
      </c>
      <c r="ED34" s="20" t="n">
        <v>10</v>
      </c>
    </row>
    <row r="35">
      <c r="A35" s="84" t="inlineStr">
        <is>
          <t>Rate diff (NOW)</t>
        </is>
      </c>
      <c r="B35" s="178">
        <f>IF(Backend!B86="","",TEXT(Backend!B86,"0.00")&amp;" ("&amp;Backend!B90&amp;")")</f>
        <v/>
      </c>
      <c r="C35" s="179" t="n"/>
      <c r="D35" s="179" t="n"/>
      <c r="E35" s="179" t="n"/>
      <c r="F35" s="179" t="n"/>
      <c r="G35" s="179" t="n"/>
      <c r="H35" s="179" t="n"/>
      <c r="I35" s="179" t="n"/>
      <c r="J35" s="179" t="n"/>
      <c r="K35" s="180" t="n"/>
      <c r="N35" t="inlineStr">
        <is>
          <t>4H FVG high</t>
        </is>
      </c>
      <c r="O35" s="68">
        <f>'Advanced Setup Planner'!H5</f>
        <v/>
      </c>
      <c r="S35" t="inlineStr">
        <is>
          <t>Distance to Magnet (pips)</t>
        </is>
      </c>
      <c r="T35" s="20">
        <f>IF(T33="","",ABS((T33-$O$3)*10000))</f>
        <v/>
      </c>
      <c r="AC35" t="inlineStr">
        <is>
          <t>Pips to TP1</t>
        </is>
      </c>
      <c r="AD35" s="20">
        <f>IF(OR(AD34="",$AE$28=""),"",ABS(($AE$28-AD34)*10000))</f>
        <v/>
      </c>
      <c r="EA35" t="inlineStr">
        <is>
          <t>CT_TP1 (magnet below entry)</t>
        </is>
      </c>
      <c r="EB35" s="59">
        <f>IF($Y$1&lt;&gt;"SHORT","",IF(COUNT($AD$28:$AD$30)=0,"",IF(MAX(IF('Advanced Setup Planner'!$E$12&lt;$EB$46,'Advanced Setup Planner'!$E$12,0),IF('Advanced Setup Planner'!$E$10&lt;$EB$46,'Advanced Setup Planner'!$E$10,0),IF('Advanced Setup Planner'!$H$10&lt;$EB$46,'Advanced Setup Planner'!$H$10,0))=0,$EB$46-MAX($X$20,$ED$24*$ED$3),MAX(IF('Advanced Setup Planner'!$E$12&lt;$EB$46,'Advanced Setup Planner'!$E$12,0),IF('Advanced Setup Planner'!$E$10&lt;$EB$46,'Advanced Setup Planner'!$E$10,0),IF('Advanced Setup Planner'!$H$10&lt;$EB$46,'Advanced Setup Planner'!$H$10,0)))))</f>
        <v/>
      </c>
      <c r="EC35" s="123" t="inlineStr">
        <is>
          <t>Value_StopFloorPips</t>
        </is>
      </c>
      <c r="ED35" s="20">
        <f>MAX($ED$34,ROUNDUP($ED$6*$ED$5,0))</f>
        <v/>
      </c>
    </row>
    <row r="36">
      <c r="A36" s="84" t="inlineStr">
        <is>
          <t>Rate diff change (6M vs NOW)</t>
        </is>
      </c>
      <c r="B36" s="178">
        <f>IF(Backend!B88="","",TEXT(Backend!B88,"0")&amp;" steps (~"&amp;TEXT(Backend!B89,"0")&amp;"bp) — "&amp;Backend!B91)</f>
        <v/>
      </c>
      <c r="C36" s="179" t="n"/>
      <c r="D36" s="179" t="n"/>
      <c r="E36" s="179" t="n"/>
      <c r="F36" s="179" t="n"/>
      <c r="G36" s="179" t="n"/>
      <c r="H36" s="179" t="n"/>
      <c r="I36" s="179" t="n"/>
      <c r="J36" s="179" t="n"/>
      <c r="K36" s="180" t="n"/>
      <c r="N36" t="inlineStr">
        <is>
          <t>4H FVG low</t>
        </is>
      </c>
      <c r="O36" s="68">
        <f>'Advanced Setup Planner'!H6</f>
        <v/>
      </c>
      <c r="S36" t="inlineStr">
        <is>
          <t>Within Magnet? 0/1</t>
        </is>
      </c>
      <c r="T36" s="20">
        <f>IF(AND(T33&lt;&gt;"",T35&lt;=T34),1,0)</f>
        <v/>
      </c>
      <c r="AC36" t="inlineStr">
        <is>
          <t>Reward at TP1 $</t>
        </is>
      </c>
      <c r="AD36" s="205">
        <f>IF(OR(AD33=0,AD34="",$AE$28=""),"",ABS(($AE$28-AD34)*AD33))</f>
        <v/>
      </c>
      <c r="EC36" s="123" t="inlineStr">
        <is>
          <t>Value_SL_Buffer</t>
        </is>
      </c>
      <c r="ED36" s="59">
        <f>MAX(0.00025,$O$18*0.5,$ED$34*$ED$3)</f>
        <v/>
      </c>
    </row>
    <row r="37">
      <c r="A37" s="84" t="inlineStr">
        <is>
          <t>Yield Narrative</t>
        </is>
      </c>
      <c r="B37" s="178">
        <f>Backend!B356</f>
        <v/>
      </c>
      <c r="C37" s="179" t="n"/>
      <c r="D37" s="179" t="n"/>
      <c r="E37" s="179" t="n"/>
      <c r="F37" s="179" t="n"/>
      <c r="G37" s="179" t="n"/>
      <c r="H37" s="179" t="n"/>
      <c r="I37" s="179" t="n"/>
      <c r="J37" s="179" t="n"/>
      <c r="K37" s="180" t="n"/>
      <c r="N37" t="inlineStr">
        <is>
          <t>Daily FVG high</t>
        </is>
      </c>
      <c r="O37" s="68">
        <f>'Advanced Setup Planner'!H7</f>
        <v/>
      </c>
      <c r="S37" t="inlineStr">
        <is>
          <t>Options Clamp %</t>
        </is>
      </c>
      <c r="T37" s="128">
        <f>'Advanced Setup Planner'!K14</f>
        <v/>
      </c>
      <c r="AC37" t="inlineStr">
        <is>
          <t>R multiple at TP1</t>
        </is>
      </c>
      <c r="AD37" s="20">
        <f>IF(SUM($AJ$28:$AJ$30)=0,"",SUM($AK$28:$AK$30)/SUM($AJ$28:$AJ$30))</f>
        <v/>
      </c>
      <c r="EA37" t="inlineStr">
        <is>
          <t>MacroBiasScore</t>
        </is>
      </c>
      <c r="EB37" s="82">
        <f>IFERROR(Backend!$B$338,"")</f>
        <v/>
      </c>
      <c r="EC37" s="123" t="inlineStr">
        <is>
          <t>Value_SL</t>
        </is>
      </c>
      <c r="ED37" s="59">
        <f>$O$40-$ED$36</f>
        <v/>
      </c>
    </row>
    <row r="38">
      <c r="A38" s="84" t="inlineStr">
        <is>
          <t>Narrative (plain English)</t>
        </is>
      </c>
      <c r="B38" s="178">
        <f>IFERROR(Backend!B110,"")</f>
        <v/>
      </c>
      <c r="C38" s="179" t="n"/>
      <c r="D38" s="179" t="n"/>
      <c r="E38" s="179" t="n"/>
      <c r="F38" s="179" t="n"/>
      <c r="G38" s="179" t="n"/>
      <c r="H38" s="179" t="n"/>
      <c r="I38" s="179" t="n"/>
      <c r="J38" s="179" t="n"/>
      <c r="K38" s="180" t="n"/>
      <c r="N38" t="inlineStr">
        <is>
          <t>Daily FVG low</t>
        </is>
      </c>
      <c r="O38" s="68">
        <f>'Advanced Setup Planner'!H8</f>
        <v/>
      </c>
      <c r="AC38" t="inlineStr">
        <is>
          <t>Avg Eff Pips to SL</t>
        </is>
      </c>
      <c r="AD38" s="20">
        <f>IF(SUM(AL28:AL30)=0,"",(AL28*MAX(AH28,$ED$21)+AL29*MAX(AH29,$ED$21)+AL30*MAX(AH30,$ED$21))/SUM(AL28:AL30))</f>
        <v/>
      </c>
      <c r="EA38" t="inlineStr">
        <is>
          <t>MacroBias_Direction</t>
        </is>
      </c>
      <c r="EB38" s="94">
        <f>IFERROR(IF(EB37="Buy dips",1,IF(EB37="Sell rallies",-1,0)),"")</f>
        <v/>
      </c>
      <c r="EC38" s="123" t="inlineStr">
        <is>
          <t>ValueWgtSum</t>
        </is>
      </c>
      <c r="ED38" s="5">
        <f>SUM($AI$42:$AI$44)</f>
        <v/>
      </c>
    </row>
    <row r="39">
      <c r="A39" s="49" t="inlineStr">
        <is>
          <t>Action (what to do)</t>
        </is>
      </c>
      <c r="B39" s="183">
        <f>Backend!B112</f>
        <v/>
      </c>
      <c r="C39" s="184" t="n"/>
      <c r="D39" s="184" t="n"/>
      <c r="E39" s="184" t="n"/>
      <c r="F39" s="184" t="n"/>
      <c r="G39" s="184" t="n"/>
      <c r="H39" s="184" t="n"/>
      <c r="I39" s="184" t="n"/>
      <c r="J39" s="184" t="n"/>
      <c r="K39" s="184" t="n"/>
      <c r="N39" t="inlineStr">
        <is>
          <t>1H FVG high</t>
        </is>
      </c>
      <c r="O39" s="68">
        <f>'Advanced Setup Planner'!H9</f>
        <v/>
      </c>
      <c r="EA39" t="inlineStr">
        <is>
          <t>MacroToneAdj</t>
        </is>
      </c>
      <c r="EB39" s="94">
        <f>IF(Backend!$B$350&gt;0.3,-0.5,IF(Backend!$B$350&lt;-0.3,0.5,0))</f>
        <v/>
      </c>
      <c r="ED39" t="n">
        <v>8</v>
      </c>
    </row>
    <row r="40">
      <c r="A40" s="129" t="inlineStr">
        <is>
          <t>Notes</t>
        </is>
      </c>
      <c r="B40" s="176">
        <f>Backend!B114</f>
        <v/>
      </c>
      <c r="N40" t="inlineStr">
        <is>
          <t>1H FVG low</t>
        </is>
      </c>
      <c r="O40" s="86">
        <f>'Advanced Setup Planner'!H10</f>
        <v/>
      </c>
      <c r="EA40" t="inlineStr">
        <is>
          <t>MacroPolicyAdj</t>
        </is>
      </c>
      <c r="EB40" s="82">
        <f>IF(Backend!$B$347&lt;=-2,0.5,IF(Backend!$B$347&gt;=2,-0.5,0))</f>
        <v/>
      </c>
      <c r="ED40">
        <f>MAX($O$27,$T$19,$T$17)+$ED$39*$ED$3</f>
        <v/>
      </c>
    </row>
    <row r="41">
      <c r="A41" s="129" t="inlineStr">
        <is>
          <t>Definitions</t>
        </is>
      </c>
      <c r="B41" s="176">
        <f>IF(B40="","",IF(B40="Aligned","Trade direction matches macro bias.","Macro bias disagrees — reduce size or demand stronger technical confirmation."))</f>
        <v/>
      </c>
      <c r="AC41" s="56" t="inlineStr">
        <is>
          <t>VALUE LADDER</t>
        </is>
      </c>
      <c r="AD41" s="57" t="inlineStr">
        <is>
          <t>Entry</t>
        </is>
      </c>
      <c r="AE41" s="57" t="inlineStr">
        <is>
          <t>TP</t>
        </is>
      </c>
      <c r="AF41" s="57" t="inlineStr">
        <is>
          <t>SL</t>
        </is>
      </c>
      <c r="AG41" s="57" t="inlineStr">
        <is>
          <t>Pips to TP1</t>
        </is>
      </c>
      <c r="AH41" s="57" t="inlineStr">
        <is>
          <t>Eff Pips to SL</t>
        </is>
      </c>
      <c r="AI41" s="57" t="inlineStr">
        <is>
          <t>Weight</t>
        </is>
      </c>
      <c r="AJ41" s="57" t="inlineStr">
        <is>
          <t>Risk $</t>
        </is>
      </c>
      <c r="AK41" s="57" t="inlineStr">
        <is>
          <t>Reward $</t>
        </is>
      </c>
      <c r="AL41" s="57" t="inlineStr">
        <is>
          <t>Units</t>
        </is>
      </c>
      <c r="AM41" s="58" t="inlineStr">
        <is>
          <t>R per rung</t>
        </is>
      </c>
      <c r="AN41">
        <f>IF(AH42="","",MAX(AH42,$ED$7))</f>
        <v/>
      </c>
      <c r="EA41" t="inlineStr">
        <is>
          <t>Macro_TotalBias</t>
        </is>
      </c>
      <c r="EB41" s="87">
        <f>MAX(-1,MIN(1,EB38+EB39+EB40))</f>
        <v/>
      </c>
      <c r="ED41">
        <f>IF($Y$1&lt;&gt;"LONG","",MIN(IF($T$17&gt;$O$3,$T$17,10^6),IF($T$19&gt;$O$3,$T$19,10^6),IF($O$27&gt;$O$3,$O$27,10^6)))</f>
        <v/>
      </c>
    </row>
    <row r="42">
      <c r="A42" s="174" t="inlineStr">
        <is>
          <t>Execution ladders (auto from Planner_v2)</t>
        </is>
      </c>
      <c r="AC42" s="61" t="inlineStr">
        <is>
          <t>Entry SMA200</t>
        </is>
      </c>
      <c r="AD42" s="62">
        <f>IF($Y$1&lt;&gt;"LONG","",IF($O$8&lt;=$O$3,$O$8,""))</f>
        <v/>
      </c>
      <c r="AE42" s="62">
        <f>IF(AD42="","",$ED$41)</f>
        <v/>
      </c>
      <c r="AF42" s="62">
        <f>IF(AD42="","",$ED$37)</f>
        <v/>
      </c>
      <c r="AG42" s="63">
        <f>IF(OR(AD42="",AE42=""),"",ABS((AE42-AD42)*10000))</f>
        <v/>
      </c>
      <c r="AH42" s="63">
        <f>IF(OR(AD42="",AF42=""),"",MAX(ABS((AD42-AF42)*10000),$ED$35))</f>
        <v/>
      </c>
      <c r="AI42" s="64" t="n">
        <v>0.35</v>
      </c>
      <c r="AJ42" s="212">
        <f>IF(OR(AI42=0,$ED$38=0,AD42=""),"",$Y$2*$ED$33*AI42/$ED$38)</f>
        <v/>
      </c>
      <c r="AK42" s="212">
        <f>IF(OR(AJ42="",AJ42=0,AG42=""),"",AJ42*AG42/MAX(AH42,$ED$35))</f>
        <v/>
      </c>
      <c r="AL42" s="66">
        <f>IF(OR(AD42="",AH42="",AJ42=""),"",AJ42/(MAX(AH42,$ED$35)*$ED$3))</f>
        <v/>
      </c>
      <c r="AM42" s="213">
        <f>IF(OR(AG42="",AH42=""),"",AG42/MAX(AH42,$ED$35))</f>
        <v/>
      </c>
      <c r="AN42">
        <f>IF(AH43="","",MAX(AH43,$ED$7))</f>
        <v/>
      </c>
      <c r="EA42" t="inlineStr">
        <is>
          <t>MacroBiasScore</t>
        </is>
      </c>
      <c r="EB42" s="82">
        <f>0.5*EB41</f>
        <v/>
      </c>
    </row>
    <row r="43">
      <c r="A43" s="177" t="inlineStr">
        <is>
          <t>Primary Ladder (Shallow / Continuation)</t>
        </is>
      </c>
      <c r="U43" s="59" t="n"/>
      <c r="V43" s="59" t="n"/>
      <c r="AC43" s="61" t="inlineStr">
        <is>
          <t>Entry EMA50_1H</t>
        </is>
      </c>
      <c r="AD43" s="62">
        <f>IF($Y$1&lt;&gt;"LONG","",IF($O$10&lt;=$O$3,$O$10,""))</f>
        <v/>
      </c>
      <c r="AE43" s="62">
        <f>IF(AD43="","",$ED$41)</f>
        <v/>
      </c>
      <c r="AF43" s="62">
        <f>IF(AD43="","",$ED$37)</f>
        <v/>
      </c>
      <c r="AG43" s="63">
        <f>IF(OR(AD43="",AE43=""),"",ABS((AE43-AD43)*10000))</f>
        <v/>
      </c>
      <c r="AH43" s="63">
        <f>IF(OR(AD43="",AF43=""),"",MAX(ABS((AD43-AF43)*10000),$ED$35))</f>
        <v/>
      </c>
      <c r="AI43" s="64" t="n">
        <v>0.4</v>
      </c>
      <c r="AJ43" s="212">
        <f>IF(OR(AI43=0,$ED$38=0,AD43=""),"",$Y$2*$ED$33*AI43/$ED$38)</f>
        <v/>
      </c>
      <c r="AK43" s="212">
        <f>IF(OR(AJ43="",AJ43=0,AG43=""),"",AJ43*AG43/MAX(AH43,$ED$35))</f>
        <v/>
      </c>
      <c r="AL43" s="66">
        <f>IF(OR(AD43="",AH43="",AJ43=""),"",AJ43/(MAX(AH43,$ED$35)*$ED$3))</f>
        <v/>
      </c>
      <c r="AM43" s="213">
        <f>IF(OR(AG43="",AH43=""),"",AG43/MAX(AH43,$ED$35))</f>
        <v/>
      </c>
      <c r="AN43">
        <f>IF(AH44="","",MAX(AH44,$ED$7))</f>
        <v/>
      </c>
    </row>
    <row r="44">
      <c r="A44" s="130" t="inlineStr">
        <is>
          <t>Rung</t>
        </is>
      </c>
      <c r="B44" s="131" t="inlineStr">
        <is>
          <t>Entry</t>
        </is>
      </c>
      <c r="C44" s="131" t="inlineStr">
        <is>
          <t>TP</t>
        </is>
      </c>
      <c r="D44" s="131" t="inlineStr">
        <is>
          <t>SL</t>
        </is>
      </c>
      <c r="E44" s="131" t="inlineStr">
        <is>
          <t>Pips→TP</t>
        </is>
      </c>
      <c r="F44" s="131" t="inlineStr">
        <is>
          <t>EffPips→SL</t>
        </is>
      </c>
      <c r="G44" s="132" t="inlineStr">
        <is>
          <t>Units</t>
        </is>
      </c>
      <c r="H44" s="132" t="inlineStr">
        <is>
          <t>Risk $</t>
        </is>
      </c>
      <c r="I44" s="132" t="inlineStr">
        <is>
          <t>Reward $</t>
        </is>
      </c>
      <c r="J44" s="132" t="inlineStr">
        <is>
          <t>R</t>
        </is>
      </c>
      <c r="K44" s="133" t="inlineStr">
        <is>
          <t>R2</t>
        </is>
      </c>
      <c r="V44" s="59" t="n"/>
      <c r="AC44" s="61" t="inlineStr">
        <is>
          <t>Entry 1H_FVG_L</t>
        </is>
      </c>
      <c r="AD44" s="62">
        <f>IF($Y$1&lt;&gt;"LONG","",IF($O$40&lt;=$O$3,$O$40,""))</f>
        <v/>
      </c>
      <c r="AE44" s="62">
        <f>IF(AD44="","",$ED$41)</f>
        <v/>
      </c>
      <c r="AF44" s="62">
        <f>IF(AD44="","",$ED$37)</f>
        <v/>
      </c>
      <c r="AG44" s="63">
        <f>IF(OR(AD44="",AE44=""),"",ABS((AE44-AD44)*10000))</f>
        <v/>
      </c>
      <c r="AH44" s="63">
        <f>IF(OR(AD44="",AF44=""),"",MAX(ABS((AD44-AF44)*10000),$ED$35))</f>
        <v/>
      </c>
      <c r="AI44" s="64" t="n">
        <v>0.25</v>
      </c>
      <c r="AJ44" s="212">
        <f>IF(OR(AI44=0,$ED$38=0,AD44=""),"",$Y$2*$ED$33*AI44/$ED$38)</f>
        <v/>
      </c>
      <c r="AK44" s="212">
        <f>IF(OR(AJ44="",AJ44=0,AG44=""),"",AJ44*AG44/MAX(AH44,$ED$35))</f>
        <v/>
      </c>
      <c r="AL44" s="66">
        <f>IF(OR(AD44="",AH44="",AJ44=""),"",AJ44/(MAX(AH44,$ED$35)*$ED$3))</f>
        <v/>
      </c>
      <c r="AM44" s="213">
        <f>IF(OR(AG44="",AH44=""),"",AG44/MAX(AH44,$ED$35))</f>
        <v/>
      </c>
    </row>
    <row r="45">
      <c r="A45" s="180" t="inlineStr">
        <is>
          <t>Shallow</t>
        </is>
      </c>
      <c r="B45" s="134">
        <f>'Advanced Setup Planner'!AD2</f>
        <v/>
      </c>
      <c r="C45" s="134">
        <f>'Advanced Setup Planner'!AE2</f>
        <v/>
      </c>
      <c r="D45" s="134">
        <f>'Advanced Setup Planner'!AF2</f>
        <v/>
      </c>
      <c r="E45" s="135">
        <f>'Advanced Setup Planner'!AG2</f>
        <v/>
      </c>
      <c r="F45" s="135">
        <f>'Advanced Setup Planner'!AH2</f>
        <v/>
      </c>
      <c r="G45" s="136">
        <f>'Advanced Setup Planner'!AL2</f>
        <v/>
      </c>
      <c r="H45" s="220">
        <f>'Advanced Setup Planner'!AJ2</f>
        <v/>
      </c>
      <c r="I45" s="220">
        <f>'Advanced Setup Planner'!AK2</f>
        <v/>
      </c>
      <c r="J45" s="138">
        <f>'Advanced Setup Planner'!AM2</f>
        <v/>
      </c>
      <c r="K45" s="139">
        <f>'Advanced Setup Planner'!AM2</f>
        <v/>
      </c>
      <c r="V45" s="59" t="n"/>
      <c r="ED45" t="inlineStr">
        <is>
          <t>In_Tier1</t>
        </is>
      </c>
      <c r="EE45">
        <f>AND($O$3&gt;=EB51,$O$3&lt;=EC51)</f>
        <v/>
      </c>
    </row>
    <row r="46">
      <c r="A46" s="180" t="inlineStr">
        <is>
          <t>Mid</t>
        </is>
      </c>
      <c r="B46" s="134">
        <f>'Advanced Setup Planner'!AD3</f>
        <v/>
      </c>
      <c r="C46" s="134">
        <f>'Advanced Setup Planner'!AE3</f>
        <v/>
      </c>
      <c r="D46" s="134">
        <f>'Advanced Setup Planner'!AF3</f>
        <v/>
      </c>
      <c r="E46" s="135">
        <f>'Advanced Setup Planner'!AG3</f>
        <v/>
      </c>
      <c r="F46" s="135">
        <f>'Advanced Setup Planner'!AH3</f>
        <v/>
      </c>
      <c r="G46" s="136">
        <f>'Advanced Setup Planner'!AL3</f>
        <v/>
      </c>
      <c r="H46" s="220">
        <f>'Advanced Setup Planner'!AJ3</f>
        <v/>
      </c>
      <c r="I46" s="220">
        <f>'Advanced Setup Planner'!AK3</f>
        <v/>
      </c>
      <c r="J46" s="138">
        <f>'Advanced Setup Planner'!AM3</f>
        <v/>
      </c>
      <c r="K46" s="139">
        <f>'Advanced Setup Planner'!AM3</f>
        <v/>
      </c>
      <c r="V46" s="59" t="n"/>
      <c r="AC46" t="inlineStr">
        <is>
          <t>Avg Pips to SL</t>
        </is>
      </c>
      <c r="AD46" s="20">
        <f>IF(SUM(AL42:AL44)=0,0,SUMPRODUCT(AN41:AN43,AL42:AL44)/SUM(AL42:AL44))</f>
        <v/>
      </c>
      <c r="EA46" s="49" t="inlineStr">
        <is>
          <t>CT_MinEntry</t>
        </is>
      </c>
      <c r="EB46" s="59">
        <f>MIN(IF($AD$28="",1000000000,$AD$28),IF($AD$29="",1000000000,$AD$29),IF($AD$30="",1000000000,$AD$30))</f>
        <v/>
      </c>
      <c r="ED46" t="inlineStr">
        <is>
          <t>In_Tier2</t>
        </is>
      </c>
      <c r="EE46">
        <f>AND($O$3&gt;=EB52,$O$3&lt;=EC52)</f>
        <v/>
      </c>
    </row>
    <row r="47">
      <c r="A47" s="180" t="inlineStr">
        <is>
          <t>Deep</t>
        </is>
      </c>
      <c r="B47" s="134">
        <f>'Advanced Setup Planner'!AD4</f>
        <v/>
      </c>
      <c r="C47" s="134">
        <f>'Advanced Setup Planner'!AE4</f>
        <v/>
      </c>
      <c r="D47" s="134">
        <f>'Advanced Setup Planner'!AF4</f>
        <v/>
      </c>
      <c r="E47" s="135">
        <f>'Advanced Setup Planner'!AG4</f>
        <v/>
      </c>
      <c r="F47" s="135">
        <f>'Advanced Setup Planner'!AH4</f>
        <v/>
      </c>
      <c r="G47" s="136">
        <f>'Advanced Setup Planner'!AL4</f>
        <v/>
      </c>
      <c r="H47" s="220">
        <f>'Advanced Setup Planner'!AJ4</f>
        <v/>
      </c>
      <c r="I47" s="220">
        <f>'Advanced Setup Planner'!AK4</f>
        <v/>
      </c>
      <c r="J47" s="138">
        <f>'Advanced Setup Planner'!AM4</f>
        <v/>
      </c>
      <c r="K47" s="139">
        <f>'Advanced Setup Planner'!AM4</f>
        <v/>
      </c>
      <c r="V47" s="59" t="n"/>
      <c r="AC47" t="inlineStr">
        <is>
          <t>Total Units</t>
        </is>
      </c>
      <c r="AD47" s="217">
        <f>SUM(AL42:AL44)</f>
        <v/>
      </c>
      <c r="EA47" t="inlineStr">
        <is>
          <t>CT_Low</t>
        </is>
      </c>
      <c r="EB47" s="73">
        <f>IF(EB48="","",EB48+($ED$24*$ED$3))</f>
        <v/>
      </c>
      <c r="ED47" t="inlineStr">
        <is>
          <t>In_Tier3</t>
        </is>
      </c>
      <c r="EE47">
        <f>IF('Advanced Setup Planner'!$E$7&gt;$O$3,'Advanced Setup Planner'!$E$7,"")</f>
        <v/>
      </c>
    </row>
    <row r="48">
      <c r="A48" s="140" t="inlineStr">
        <is>
          <t>Total</t>
        </is>
      </c>
      <c r="B48" s="141">
        <f>IFERROR(SUBTOTAL(101,Table16[Entry]),"")</f>
        <v/>
      </c>
      <c r="C48" s="141">
        <f>IFERROR(SUBTOTAL(101,Table16[TP]),"")</f>
        <v/>
      </c>
      <c r="D48" s="141">
        <f>IFERROR(SUBTOTAL(101,Table16[SL]),"")</f>
        <v/>
      </c>
      <c r="E48" s="142">
        <f>IFERROR(SUBTOTAL(101,Table16[Pips→TP]),"")</f>
        <v/>
      </c>
      <c r="F48" s="142">
        <f>IFERROR(SUBTOTAL(101,Table16[EffPips→SL]),"")</f>
        <v/>
      </c>
      <c r="G48" s="143">
        <f>SUBTOTAL(109,Table16[Units])</f>
        <v/>
      </c>
      <c r="H48" s="221">
        <f>SUBTOTAL(109,Table16[Risk $])</f>
        <v/>
      </c>
      <c r="I48" s="221">
        <f>SUBTOTAL(109,Table16[Reward $])</f>
        <v/>
      </c>
      <c r="J48" s="145">
        <f>IFERROR(Table16[[#Totals],[Reward $]]/Table16[[#Totals],[Risk $]],"")</f>
        <v/>
      </c>
      <c r="K48" s="146" t="n"/>
      <c r="V48" s="59" t="n"/>
      <c r="AC48" t="inlineStr">
        <is>
          <t>Avg Entry</t>
        </is>
      </c>
      <c r="AD48" s="59">
        <f>IF(AD47=0,"",SUMPRODUCT(AD42:AD44,AL42:AL44)/AD47)</f>
        <v/>
      </c>
      <c r="EA48" t="inlineStr">
        <is>
          <t>CT_High</t>
        </is>
      </c>
      <c r="EB48" s="73">
        <f>IF(EE51="","",EE51+$X$20)</f>
        <v/>
      </c>
      <c r="ED48" t="inlineStr">
        <is>
          <t>In_Discount</t>
        </is>
      </c>
      <c r="EE48">
        <f>IF('Advanced Setup Planner'!$E$9&gt;$O$3,'Advanced Setup Planner'!$E$9,"")</f>
        <v/>
      </c>
    </row>
    <row r="49">
      <c r="A49" s="40" t="n"/>
      <c r="B49" s="220" t="n"/>
      <c r="C49" s="220" t="n"/>
      <c r="D49" s="136" t="n"/>
      <c r="E49" s="147" t="n"/>
      <c r="F49" s="147" t="n"/>
      <c r="G49" s="136" t="n"/>
      <c r="H49" s="220" t="n"/>
      <c r="I49" s="220" t="n"/>
      <c r="J49" s="138" t="n"/>
      <c r="V49" s="59" t="n"/>
      <c r="AC49" t="inlineStr">
        <is>
          <t>Pips to TP1</t>
        </is>
      </c>
      <c r="AD49" s="20">
        <f>IF(OR(AD48="",$Y$3=""),"",ABS(($Y$3-AD48)*10000))</f>
        <v/>
      </c>
      <c r="EA49" t="inlineStr">
        <is>
          <t>CT_Mid</t>
        </is>
      </c>
      <c r="EB49" s="73">
        <f>IF(EB48="","",EB48+((($ED$24/2)*$ED$3)))</f>
        <v/>
      </c>
      <c r="ED49" t="inlineStr">
        <is>
          <t>In_CT_Zone</t>
        </is>
      </c>
      <c r="EE49">
        <f>IF('Advanced Setup Planner'!$E$16&gt;$O$3,'Advanced Setup Planner'!$E$16,"")</f>
        <v/>
      </c>
    </row>
    <row r="50">
      <c r="A50" s="177" t="inlineStr">
        <is>
          <t>Value Ladder (Mid-depth supports)</t>
        </is>
      </c>
      <c r="AC50" t="inlineStr">
        <is>
          <t>Reward at TP1 $</t>
        </is>
      </c>
      <c r="AD50" s="205">
        <f>IF(OR(AD47=0,AD48="",$Y$3=""),"",ABS(($Y$3-AD48)*AD47))</f>
        <v/>
      </c>
      <c r="AN50" s="116">
        <f>O3</f>
        <v/>
      </c>
      <c r="EA50" s="1" t="inlineStr">
        <is>
          <t>Tier</t>
        </is>
      </c>
      <c r="EB50" s="82">
        <f>IF($Y$1&lt;&gt;"LONG","",MAX($O$3,IF(AND($T$21&lt;&gt;"",ABS($T$21-IF($O$27&lt;&gt;"",$O$27,$T$17))&lt;=0.0025),$T$21,IF($O$27&lt;&gt;"",$O$27,$T$17))))</f>
        <v/>
      </c>
      <c r="EC50" s="1" t="inlineStr">
        <is>
          <t>High</t>
        </is>
      </c>
      <c r="ED50" t="inlineStr">
        <is>
          <t>In_Premium</t>
        </is>
      </c>
      <c r="EE50">
        <f>IF(AND('Advanced Setup Planner'!$E$11&gt;$O$3,('Advanced Setup Planner'!$E$11-$O$3)*10000&lt;=40),'Advanced Setup Planner'!$E$11,"")</f>
        <v/>
      </c>
    </row>
    <row r="51">
      <c r="A51" s="130" t="inlineStr">
        <is>
          <t>Rung</t>
        </is>
      </c>
      <c r="B51" s="131" t="inlineStr">
        <is>
          <t>Entry</t>
        </is>
      </c>
      <c r="C51" s="131" t="inlineStr">
        <is>
          <t>TP</t>
        </is>
      </c>
      <c r="D51" s="131" t="inlineStr">
        <is>
          <t>SL</t>
        </is>
      </c>
      <c r="E51" s="131" t="inlineStr">
        <is>
          <t>Pips→TP</t>
        </is>
      </c>
      <c r="F51" s="131" t="inlineStr">
        <is>
          <t>EffPips→SL</t>
        </is>
      </c>
      <c r="G51" s="132" t="inlineStr">
        <is>
          <t>Units</t>
        </is>
      </c>
      <c r="H51" s="132" t="inlineStr">
        <is>
          <t>Risk $</t>
        </is>
      </c>
      <c r="I51" s="132" t="inlineStr">
        <is>
          <t>Reward $</t>
        </is>
      </c>
      <c r="J51" s="132" t="inlineStr">
        <is>
          <t>R</t>
        </is>
      </c>
      <c r="K51" s="133" t="inlineStr">
        <is>
          <t>R2</t>
        </is>
      </c>
      <c r="AC51" t="inlineStr">
        <is>
          <t>R multiple at TP1</t>
        </is>
      </c>
      <c r="AD51" s="20">
        <f>IF(SUM($AJ$42:$AJ$44)=0,"",SUM($AK$42:$AK$44)/SUM($AJ$42:$AJ$44))</f>
        <v/>
      </c>
      <c r="AN51" s="1" t="inlineStr">
        <is>
          <t>L1_0.618-L1_0.382</t>
        </is>
      </c>
      <c r="EA51" t="inlineStr">
        <is>
          <t>Tier1 Low</t>
        </is>
      </c>
      <c r="EB51" s="73">
        <f>MIN($Q$23,$Q$25)</f>
        <v/>
      </c>
      <c r="EC51" s="116">
        <f>MAX($Q$23,$Q$25)</f>
        <v/>
      </c>
      <c r="EE51">
        <f>IFERROR(_xlfn.AGGREGATE(15,6,EE47:EE50/(EE47:EE50&lt;&gt;""),1),$O$3+($ED$24*$ED$3))</f>
        <v/>
      </c>
    </row>
    <row r="52">
      <c r="A52" s="180" t="inlineStr">
        <is>
          <t>Shallow</t>
        </is>
      </c>
      <c r="B52" s="134">
        <f>'Advanced Setup Planner'!AD42</f>
        <v/>
      </c>
      <c r="C52" s="134">
        <f>'Advanced Setup Planner'!AE42</f>
        <v/>
      </c>
      <c r="D52" s="134">
        <f>'Advanced Setup Planner'!AF42</f>
        <v/>
      </c>
      <c r="E52" s="135">
        <f>'Advanced Setup Planner'!AG42</f>
        <v/>
      </c>
      <c r="F52" s="135">
        <f>'Advanced Setup Planner'!AH42</f>
        <v/>
      </c>
      <c r="G52" s="136">
        <f>'Advanced Setup Planner'!AL42</f>
        <v/>
      </c>
      <c r="H52" s="220">
        <f>'Advanced Setup Planner'!AJ42</f>
        <v/>
      </c>
      <c r="I52" s="220">
        <f>'Advanced Setup Planner'!AK42</f>
        <v/>
      </c>
      <c r="J52" s="138">
        <f>'Advanced Setup Planner'!AM42</f>
        <v/>
      </c>
      <c r="K52" s="139">
        <f>'Advanced Setup Planner'!AM42</f>
        <v/>
      </c>
      <c r="AC52" t="inlineStr">
        <is>
          <t>Avg Eff Pips to SL</t>
        </is>
      </c>
      <c r="AD52" s="20">
        <f>IF(SUM(AL42:AL44)=0,"",(AL42*MAX(AH42,$ED$35)+AL43*MAX(AH43,$ED$35)+AL44*MAX(AH44,$ED$35))/SUM(AL42:AL44))</f>
        <v/>
      </c>
      <c r="AN52" s="1" t="inlineStr">
        <is>
          <t>4H_FVG_low-4H_FVG_high</t>
        </is>
      </c>
      <c r="EA52" s="1" t="n">
        <v>2</v>
      </c>
      <c r="EB52" s="82">
        <f>O36</f>
        <v/>
      </c>
      <c r="EC52" s="1">
        <f>O35</f>
        <v/>
      </c>
      <c r="ED52" t="inlineStr">
        <is>
          <t>CoreLong_Flag</t>
        </is>
      </c>
      <c r="EE52">
        <f>AND($EB$38&gt;=0,T8=TRUE,NOT(T9),EE48)</f>
        <v/>
      </c>
    </row>
    <row r="53">
      <c r="A53" s="180" t="inlineStr">
        <is>
          <t>Mid</t>
        </is>
      </c>
      <c r="B53" s="134">
        <f>'Advanced Setup Planner'!AD43</f>
        <v/>
      </c>
      <c r="C53" s="134">
        <f>'Advanced Setup Planner'!AE43</f>
        <v/>
      </c>
      <c r="D53" s="134">
        <f>'Advanced Setup Planner'!AF43</f>
        <v/>
      </c>
      <c r="E53" s="135">
        <f>'Advanced Setup Planner'!AG43</f>
        <v/>
      </c>
      <c r="F53" s="135">
        <f>'Advanced Setup Planner'!AH43</f>
        <v/>
      </c>
      <c r="G53" s="136">
        <f>'Advanced Setup Planner'!AL43</f>
        <v/>
      </c>
      <c r="H53" s="220">
        <f>'Advanced Setup Planner'!AJ43</f>
        <v/>
      </c>
      <c r="I53" s="220">
        <f>'Advanced Setup Planner'!AK43</f>
        <v/>
      </c>
      <c r="J53" s="138">
        <f>'Advanced Setup Planner'!AM43</f>
        <v/>
      </c>
      <c r="K53" s="139">
        <f>'Advanced Setup Planner'!AM43</f>
        <v/>
      </c>
      <c r="AN53" s="1" t="inlineStr">
        <is>
          <t>DeepLow-High</t>
        </is>
      </c>
      <c r="EA53" s="1" t="n">
        <v>3</v>
      </c>
      <c r="EB53" s="82">
        <f>O13</f>
        <v/>
      </c>
      <c r="EC53" s="1">
        <f>O12</f>
        <v/>
      </c>
      <c r="ED53" s="59" t="inlineStr">
        <is>
          <t>CTShort_Flag</t>
        </is>
      </c>
      <c r="EE53">
        <f>AND(N($EB$38)&lt;=0,T8=TRUE,T11=TRUE,EE49=TRUE,$O$21&gt;70,$O$20&gt;65)</f>
        <v/>
      </c>
    </row>
    <row r="54">
      <c r="A54" s="180" t="inlineStr">
        <is>
          <t>Deep</t>
        </is>
      </c>
      <c r="B54" s="134">
        <f>'Advanced Setup Planner'!AD44</f>
        <v/>
      </c>
      <c r="C54" s="134">
        <f>'Advanced Setup Planner'!AE44</f>
        <v/>
      </c>
      <c r="D54" s="134">
        <f>'Advanced Setup Planner'!AF44</f>
        <v/>
      </c>
      <c r="E54" s="135">
        <f>'Advanced Setup Planner'!AG44</f>
        <v/>
      </c>
      <c r="F54" s="135">
        <f>'Advanced Setup Planner'!AH44</f>
        <v/>
      </c>
      <c r="G54" s="136">
        <f>'Advanced Setup Planner'!AL44</f>
        <v/>
      </c>
      <c r="H54" s="220">
        <f>'Advanced Setup Planner'!AJ44</f>
        <v/>
      </c>
      <c r="I54" s="220">
        <f>'Advanced Setup Planner'!AK44</f>
        <v/>
      </c>
      <c r="J54" s="138">
        <f>'Advanced Setup Planner'!AM44</f>
        <v/>
      </c>
      <c r="K54" s="139">
        <f>'Advanced Setup Planner'!AM44</f>
        <v/>
      </c>
      <c r="EA54" s="1" t="n"/>
      <c r="EC54" s="1" t="n"/>
      <c r="ED54" t="inlineStr">
        <is>
          <t>LocationLabel</t>
        </is>
      </c>
      <c r="EE54" s="1">
        <f>IF(EE48,"DISCOUNT",IF(EE49,"CT_ZONE",IF(EE50,"PREMIUM","MID")))</f>
        <v/>
      </c>
    </row>
    <row r="55">
      <c r="A55" s="140" t="inlineStr">
        <is>
          <t>Total</t>
        </is>
      </c>
      <c r="B55" s="141">
        <f>IFERROR(SUBTOTAL(101,Table17[Entry]),"")</f>
        <v/>
      </c>
      <c r="C55" s="141">
        <f>IFERROR(SUBTOTAL(101,Table17[TP]),"")</f>
        <v/>
      </c>
      <c r="D55" s="141">
        <f>IFERROR(SUBTOTAL(101,Table17[SL]),"")</f>
        <v/>
      </c>
      <c r="E55" s="142">
        <f>IFERROR(SUBTOTAL(101,Table17[Pips→TP]),"")</f>
        <v/>
      </c>
      <c r="F55" s="142">
        <f>IFERROR(SUBTOTAL(101,Table17[EffPips→SL]),"")</f>
        <v/>
      </c>
      <c r="G55" s="143">
        <f>SUBTOTAL(109,Table17[Units])</f>
        <v/>
      </c>
      <c r="H55" s="221">
        <f>SUBTOTAL(109,Table17[Risk $])</f>
        <v/>
      </c>
      <c r="I55" s="221">
        <f>SUBTOTAL(109,Table17[Reward $])</f>
        <v/>
      </c>
      <c r="J55" s="145">
        <f>IFERROR(Table17[[#Totals],[Reward $]]/Table17[[#Totals],[Risk $]],"")</f>
        <v/>
      </c>
      <c r="K55" s="146" t="n"/>
      <c r="EA55" t="inlineStr">
        <is>
          <t>ActiveTier</t>
        </is>
      </c>
      <c r="EB55" s="82">
        <f>IF(AND($O$3&gt;=EB51,$O$3&lt;=EC51),1,IF(AND($O$3&gt;=EB52,$O$3&lt;=EC52),2,IF(AND($O$3&gt;=EB53,$O$3&lt;=EC53),3,0)))</f>
        <v/>
      </c>
    </row>
    <row r="56">
      <c r="A56" s="40" t="n"/>
      <c r="B56" s="220" t="n"/>
      <c r="C56" s="220" t="n"/>
      <c r="D56" s="136" t="n"/>
      <c r="E56" s="147" t="n"/>
      <c r="F56" s="147" t="n"/>
      <c r="G56" s="136" t="n"/>
      <c r="H56" s="220" t="n"/>
      <c r="I56" s="220" t="n"/>
      <c r="J56" s="138" t="n"/>
      <c r="EB56">
        <f>EB55</f>
        <v/>
      </c>
    </row>
    <row r="57">
      <c r="A57" s="177" t="inlineStr">
        <is>
          <t>A+ Ladder (Deep value block)</t>
        </is>
      </c>
      <c r="EA57" t="inlineStr">
        <is>
          <t>Primary_ViewTier (1/2/3, blank=auto)</t>
        </is>
      </c>
      <c r="EC57" t="inlineStr">
        <is>
          <t>Resolved_PrimaryTier</t>
        </is>
      </c>
      <c r="ED57">
        <f>IF($EB$57&lt;&gt;"",$EB$57,IF($EB$55=0,1,$EB$55))</f>
        <v/>
      </c>
    </row>
    <row r="58">
      <c r="A58" s="130" t="inlineStr">
        <is>
          <t>Rung</t>
        </is>
      </c>
      <c r="B58" s="131" t="inlineStr">
        <is>
          <t>Entry</t>
        </is>
      </c>
      <c r="C58" s="131" t="inlineStr">
        <is>
          <t>TP</t>
        </is>
      </c>
      <c r="D58" s="131" t="inlineStr">
        <is>
          <t>SL</t>
        </is>
      </c>
      <c r="E58" s="131" t="inlineStr">
        <is>
          <t>Pips→TP</t>
        </is>
      </c>
      <c r="F58" s="131" t="inlineStr">
        <is>
          <t>EffPips→SL</t>
        </is>
      </c>
      <c r="G58" s="132" t="inlineStr">
        <is>
          <t>Units</t>
        </is>
      </c>
      <c r="H58" s="132" t="inlineStr">
        <is>
          <t>Risk $</t>
        </is>
      </c>
      <c r="I58" s="132" t="inlineStr">
        <is>
          <t>Reward $</t>
        </is>
      </c>
      <c r="J58" s="132" t="inlineStr">
        <is>
          <t>R</t>
        </is>
      </c>
      <c r="K58" s="133" t="inlineStr">
        <is>
          <t>R2</t>
        </is>
      </c>
    </row>
    <row r="59">
      <c r="A59" s="180" t="inlineStr">
        <is>
          <t>Shallow</t>
        </is>
      </c>
      <c r="B59" s="134">
        <f>'Advanced Setup Planner'!AD15</f>
        <v/>
      </c>
      <c r="C59" s="134">
        <f>'Advanced Setup Planner'!AE15</f>
        <v/>
      </c>
      <c r="D59" s="134">
        <f>'Advanced Setup Planner'!AF15</f>
        <v/>
      </c>
      <c r="E59" s="135">
        <f>'Advanced Setup Planner'!AG15</f>
        <v/>
      </c>
      <c r="F59" s="135">
        <f>'Advanced Setup Planner'!AH15</f>
        <v/>
      </c>
      <c r="G59" s="136">
        <f>'Advanced Setup Planner'!AL15</f>
        <v/>
      </c>
      <c r="H59" s="220">
        <f>'Advanced Setup Planner'!AJ15</f>
        <v/>
      </c>
      <c r="I59" s="220">
        <f>'Advanced Setup Planner'!AK15</f>
        <v/>
      </c>
      <c r="J59" s="138">
        <f>'Advanced Setup Planner'!AM15</f>
        <v/>
      </c>
      <c r="K59" s="139">
        <f>'Advanced Setup Planner'!AM15</f>
        <v/>
      </c>
      <c r="AM59" s="116" t="n"/>
    </row>
    <row r="60">
      <c r="A60" s="180" t="inlineStr">
        <is>
          <t>Mid</t>
        </is>
      </c>
      <c r="B60" s="134">
        <f>'Advanced Setup Planner'!AD16</f>
        <v/>
      </c>
      <c r="C60" s="134">
        <f>'Advanced Setup Planner'!AE16</f>
        <v/>
      </c>
      <c r="D60" s="134">
        <f>'Advanced Setup Planner'!AF16</f>
        <v/>
      </c>
      <c r="E60" s="135">
        <f>'Advanced Setup Planner'!AG16</f>
        <v/>
      </c>
      <c r="F60" s="135">
        <f>'Advanced Setup Planner'!AH16</f>
        <v/>
      </c>
      <c r="G60" s="136">
        <f>'Advanced Setup Planner'!AL16</f>
        <v/>
      </c>
      <c r="H60" s="220">
        <f>'Advanced Setup Planner'!AJ16</f>
        <v/>
      </c>
      <c r="I60" s="220">
        <f>'Advanced Setup Planner'!AK16</f>
        <v/>
      </c>
      <c r="J60" s="138">
        <f>'Advanced Setup Planner'!AM16</f>
        <v/>
      </c>
      <c r="K60" s="139">
        <f>'Advanced Setup Planner'!AM16</f>
        <v/>
      </c>
      <c r="AM60" s="1" t="n"/>
    </row>
    <row r="61">
      <c r="A61" s="180" t="inlineStr">
        <is>
          <t>Deep</t>
        </is>
      </c>
      <c r="B61" s="134">
        <f>'Advanced Setup Planner'!AD17</f>
        <v/>
      </c>
      <c r="C61" s="134">
        <f>'Advanced Setup Planner'!AE17</f>
        <v/>
      </c>
      <c r="D61" s="134">
        <f>'Advanced Setup Planner'!AF17</f>
        <v/>
      </c>
      <c r="E61" s="135">
        <f>'Advanced Setup Planner'!AG17</f>
        <v/>
      </c>
      <c r="F61" s="135">
        <f>'Advanced Setup Planner'!AH17</f>
        <v/>
      </c>
      <c r="G61" s="136">
        <f>'Advanced Setup Planner'!AL17</f>
        <v/>
      </c>
      <c r="H61" s="220">
        <f>'Advanced Setup Planner'!AJ17</f>
        <v/>
      </c>
      <c r="I61" s="220">
        <f>'Advanced Setup Planner'!AK17</f>
        <v/>
      </c>
      <c r="J61" s="138">
        <f>'Advanced Setup Planner'!AM17</f>
        <v/>
      </c>
      <c r="K61" s="139">
        <f>'Advanced Setup Planner'!AM17</f>
        <v/>
      </c>
      <c r="AM61" s="1" t="n"/>
    </row>
    <row r="62">
      <c r="A62" s="140" t="inlineStr">
        <is>
          <t>Total</t>
        </is>
      </c>
      <c r="B62" s="141">
        <f>IFERROR(SUBTOTAL(101,Table18[Entry]),"")</f>
        <v/>
      </c>
      <c r="C62" s="141">
        <f>IFERROR(SUBTOTAL(101,Table18[TP]),"")</f>
        <v/>
      </c>
      <c r="D62" s="141">
        <f>IFERROR(SUBTOTAL(101,Table18[SL]),"")</f>
        <v/>
      </c>
      <c r="E62" s="142">
        <f>IFERROR(SUBTOTAL(101,Table18[Pips→TP]),"")</f>
        <v/>
      </c>
      <c r="F62" s="142">
        <f>IFERROR(SUBTOTAL(101,Table18[EffPips→SL]),"")</f>
        <v/>
      </c>
      <c r="G62" s="143">
        <f>SUBTOTAL(109,Table18[Units])</f>
        <v/>
      </c>
      <c r="H62" s="221">
        <f>SUBTOTAL(109,Table18[Risk $])</f>
        <v/>
      </c>
      <c r="I62" s="221">
        <f>SUBTOTAL(109,Table18[Reward $])</f>
        <v/>
      </c>
      <c r="J62" s="145">
        <f>IFERROR(Table18[[#Totals],[Reward $]]/Table18[[#Totals],[Risk $]],"")</f>
        <v/>
      </c>
      <c r="K62" s="146" t="n"/>
      <c r="AM62" s="1" t="n"/>
    </row>
    <row r="63">
      <c r="A63" s="40" t="n"/>
      <c r="B63" s="220" t="n"/>
      <c r="C63" s="220" t="n"/>
      <c r="D63" s="136" t="n"/>
      <c r="E63" s="147" t="n"/>
      <c r="F63" s="147" t="n"/>
      <c r="G63" s="136" t="n"/>
      <c r="H63" s="220" t="n"/>
      <c r="I63" s="220" t="n"/>
      <c r="J63" s="138" t="n"/>
    </row>
    <row r="64">
      <c r="A64" s="177" t="inlineStr">
        <is>
          <t>CT Ladder (Fade ceiling; only on rejection)</t>
        </is>
      </c>
      <c r="L64">
        <f>IF('Advanced Setup Planner'!Y1&lt;&gt;"SHORT","CT inactive (Side is "&amp;'Advanced Setup Planner'!Y1&amp;"). Switch Side to SHORT to use CT.","")</f>
        <v/>
      </c>
    </row>
    <row r="65">
      <c r="A65" s="130" t="inlineStr">
        <is>
          <t>Rung</t>
        </is>
      </c>
      <c r="B65" s="131" t="inlineStr">
        <is>
          <t>Entry</t>
        </is>
      </c>
      <c r="C65" s="131" t="inlineStr">
        <is>
          <t>TP</t>
        </is>
      </c>
      <c r="D65" s="131" t="inlineStr">
        <is>
          <t>SL</t>
        </is>
      </c>
      <c r="E65" s="131" t="inlineStr">
        <is>
          <t>Pips→TP</t>
        </is>
      </c>
      <c r="F65" s="131" t="inlineStr">
        <is>
          <t>EffPips→SL</t>
        </is>
      </c>
      <c r="G65" s="132" t="inlineStr">
        <is>
          <t>Units</t>
        </is>
      </c>
      <c r="H65" s="132" t="inlineStr">
        <is>
          <t>Risk $</t>
        </is>
      </c>
      <c r="I65" s="132" t="inlineStr">
        <is>
          <t>Reward $</t>
        </is>
      </c>
      <c r="J65" s="132" t="inlineStr">
        <is>
          <t>R</t>
        </is>
      </c>
      <c r="K65" s="133" t="inlineStr">
        <is>
          <t>Column1</t>
        </is>
      </c>
    </row>
    <row r="66">
      <c r="A66" s="180" t="inlineStr">
        <is>
          <t>Shallow</t>
        </is>
      </c>
      <c r="B66" s="134">
        <f>'Advanced Setup Planner'!AD28</f>
        <v/>
      </c>
      <c r="C66" s="134">
        <f>'Advanced Setup Planner'!AE28</f>
        <v/>
      </c>
      <c r="D66" s="134">
        <f>'Advanced Setup Planner'!AF28</f>
        <v/>
      </c>
      <c r="E66" s="135">
        <f>'Advanced Setup Planner'!AG28</f>
        <v/>
      </c>
      <c r="F66" s="135">
        <f>'Advanced Setup Planner'!AH28</f>
        <v/>
      </c>
      <c r="G66" s="136">
        <f>'Advanced Setup Planner'!AL28</f>
        <v/>
      </c>
      <c r="H66" s="220">
        <f>'Advanced Setup Planner'!AJ28</f>
        <v/>
      </c>
      <c r="I66" s="220">
        <f>'Advanced Setup Planner'!AK28</f>
        <v/>
      </c>
      <c r="J66" s="138">
        <f>'Advanced Setup Planner'!AM28</f>
        <v/>
      </c>
      <c r="K66" s="139" t="n"/>
    </row>
    <row r="67">
      <c r="A67" s="180" t="inlineStr">
        <is>
          <t>Mid</t>
        </is>
      </c>
      <c r="B67" s="134">
        <f>'Advanced Setup Planner'!AD29</f>
        <v/>
      </c>
      <c r="C67" s="134">
        <f>'Advanced Setup Planner'!AE29</f>
        <v/>
      </c>
      <c r="D67" s="134">
        <f>'Advanced Setup Planner'!AF29</f>
        <v/>
      </c>
      <c r="E67" s="135">
        <f>'Advanced Setup Planner'!AG29</f>
        <v/>
      </c>
      <c r="F67" s="135">
        <f>'Advanced Setup Planner'!AH29</f>
        <v/>
      </c>
      <c r="G67" s="136">
        <f>'Advanced Setup Planner'!AL29</f>
        <v/>
      </c>
      <c r="H67" s="220">
        <f>'Advanced Setup Planner'!AJ29</f>
        <v/>
      </c>
      <c r="I67" s="220">
        <f>'Advanced Setup Planner'!AK29</f>
        <v/>
      </c>
      <c r="J67" s="138">
        <f>'Advanced Setup Planner'!AM29</f>
        <v/>
      </c>
      <c r="K67" s="139" t="n"/>
    </row>
    <row r="68">
      <c r="A68" s="180" t="inlineStr">
        <is>
          <t>Deep</t>
        </is>
      </c>
      <c r="B68" s="134">
        <f>'Advanced Setup Planner'!AD30</f>
        <v/>
      </c>
      <c r="C68" s="134">
        <f>'Advanced Setup Planner'!AE30</f>
        <v/>
      </c>
      <c r="D68" s="134">
        <f>'Advanced Setup Planner'!AF30</f>
        <v/>
      </c>
      <c r="E68" s="135">
        <f>'Advanced Setup Planner'!AG30</f>
        <v/>
      </c>
      <c r="F68" s="135">
        <f>'Advanced Setup Planner'!AH30</f>
        <v/>
      </c>
      <c r="G68" s="136">
        <f>'Advanced Setup Planner'!AL30</f>
        <v/>
      </c>
      <c r="H68" s="220">
        <f>'Advanced Setup Planner'!AJ30</f>
        <v/>
      </c>
      <c r="I68" s="220">
        <f>'Advanced Setup Planner'!AK30</f>
        <v/>
      </c>
      <c r="J68" s="138">
        <f>'Advanced Setup Planner'!AM30</f>
        <v/>
      </c>
      <c r="K68" s="139" t="n"/>
    </row>
    <row r="69">
      <c r="A69" s="140" t="inlineStr">
        <is>
          <t>Total</t>
        </is>
      </c>
      <c r="B69" s="141">
        <f>IFERROR(SUBTOTAL(101,Table19[Entry]),"")</f>
        <v/>
      </c>
      <c r="C69" s="141">
        <f>IFERROR(SUBTOTAL(101,Table19[TP]),"")</f>
        <v/>
      </c>
      <c r="D69" s="141">
        <f>IFERROR(SUBTOTAL(101,Table19[SL]),"")</f>
        <v/>
      </c>
      <c r="E69" s="142">
        <f>IFERROR(SUBTOTAL(101,Table19[Pips→TP]),"")</f>
        <v/>
      </c>
      <c r="F69" s="142">
        <f>IFERROR(SUBTOTAL(101,Table19[EffPips→SL]),"")</f>
        <v/>
      </c>
      <c r="G69" s="143">
        <f>SUBTOTAL(109,Table19[Units])</f>
        <v/>
      </c>
      <c r="H69" s="221">
        <f>SUBTOTAL(109,Table19[Risk $])</f>
        <v/>
      </c>
      <c r="I69" s="221">
        <f>SUBTOTAL(109,Table19[Reward $])</f>
        <v/>
      </c>
      <c r="J69" s="145">
        <f>IFERROR(Table19[[#Totals],[Reward $]]/Table19[[#Totals],[Risk $]],"")</f>
        <v/>
      </c>
      <c r="K69" s="148" t="n"/>
    </row>
  </sheetData>
  <mergeCells count="25">
    <mergeCell ref="A30:K30"/>
    <mergeCell ref="B40:K40"/>
    <mergeCell ref="A64:K64"/>
    <mergeCell ref="B33:K33"/>
    <mergeCell ref="A1:K1"/>
    <mergeCell ref="B36:K36"/>
    <mergeCell ref="B41:K41"/>
    <mergeCell ref="B32:K32"/>
    <mergeCell ref="B35:K35"/>
    <mergeCell ref="B31:K31"/>
    <mergeCell ref="J4:K4"/>
    <mergeCell ref="A50:K50"/>
    <mergeCell ref="A57:K57"/>
    <mergeCell ref="A2:K2"/>
    <mergeCell ref="B39:K39"/>
    <mergeCell ref="A42:K42"/>
    <mergeCell ref="D4:E4"/>
    <mergeCell ref="A22:B22"/>
    <mergeCell ref="A4:B4"/>
    <mergeCell ref="G4:H4"/>
    <mergeCell ref="N1:Q1"/>
    <mergeCell ref="A43:K43"/>
    <mergeCell ref="B38:K38"/>
    <mergeCell ref="B34:K34"/>
    <mergeCell ref="B37:K37"/>
  </mergeCells>
  <dataValidations count="1">
    <dataValidation sqref="C24:D27 U3:V6" showDropDown="0" showInputMessage="1" showErrorMessage="1" allowBlank="1" type="list">
      <formula1>LT_TrendBull</formula1>
    </dataValidation>
  </dataValidations>
  <pageMargins left="0.7" right="0.7" top="0.75" bottom="0.75" header="0.3" footer="0.3"/>
  <pageSetup orientation="portrait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61"/>
  <sheetViews>
    <sheetView tabSelected="1" topLeftCell="A268" workbookViewId="0">
      <selection activeCell="A320" sqref="A320:T361"/>
    </sheetView>
  </sheetViews>
  <sheetFormatPr baseColWidth="8" defaultColWidth="8.7265625" defaultRowHeight="14.5"/>
  <cols>
    <col width="13.7265625" customWidth="1" style="175" min="1" max="1"/>
    <col width="11.453125" customWidth="1" style="175" min="14" max="14"/>
  </cols>
  <sheetData>
    <row r="1">
      <c r="A1" s="1" t="inlineStr">
        <is>
          <t>List</t>
        </is>
      </c>
    </row>
    <row r="2">
      <c r="A2" s="1" t="inlineStr">
        <is>
          <t>Bull</t>
        </is>
      </c>
    </row>
    <row r="3">
      <c r="A3" s="1" t="inlineStr">
        <is>
          <t>Bear</t>
        </is>
      </c>
    </row>
    <row r="4">
      <c r="A4" s="1" t="inlineStr">
        <is>
          <t>Range</t>
        </is>
      </c>
    </row>
    <row r="5">
      <c r="A5" s="1" t="inlineStr">
        <is>
          <t>Up</t>
        </is>
      </c>
    </row>
    <row r="6">
      <c r="A6" s="1" t="inlineStr">
        <is>
          <t>Down</t>
        </is>
      </c>
    </row>
    <row r="7">
      <c r="A7" s="1" t="inlineStr">
        <is>
          <t>None</t>
        </is>
      </c>
    </row>
    <row r="8">
      <c r="A8" s="1" t="n">
        <v>1</v>
      </c>
    </row>
    <row r="9">
      <c r="A9" s="1" t="n">
        <v>2</v>
      </c>
    </row>
    <row r="10">
      <c r="A10" s="1" t="n">
        <v>3</v>
      </c>
    </row>
    <row r="11">
      <c r="A11" s="1" t="inlineStr">
        <is>
          <t>Falling</t>
        </is>
      </c>
    </row>
    <row r="12">
      <c r="A12" s="1" t="inlineStr">
        <is>
          <t>Neutral</t>
        </is>
      </c>
    </row>
    <row r="13">
      <c r="A13" s="1" t="inlineStr">
        <is>
          <t>Rising</t>
        </is>
      </c>
    </row>
    <row r="14">
      <c r="A14" s="1" t="inlineStr">
        <is>
          <t>Softening</t>
        </is>
      </c>
    </row>
    <row r="15">
      <c r="A15" s="1" t="inlineStr">
        <is>
          <t>Mixed</t>
        </is>
      </c>
    </row>
    <row r="16">
      <c r="A16" s="1" t="inlineStr">
        <is>
          <t>Tight</t>
        </is>
      </c>
    </row>
    <row r="17">
      <c r="A17" s="1" t="inlineStr">
        <is>
          <t>Slowing</t>
        </is>
      </c>
    </row>
    <row r="18">
      <c r="A18" s="1" t="inlineStr">
        <is>
          <t>Stable</t>
        </is>
      </c>
    </row>
    <row r="19">
      <c r="A19" s="1" t="inlineStr">
        <is>
          <t>Accelerating</t>
        </is>
      </c>
    </row>
    <row r="20">
      <c r="A20" s="1" t="inlineStr">
        <is>
          <t>More cuts</t>
        </is>
      </c>
    </row>
    <row r="21">
      <c r="A21" s="1" t="inlineStr">
        <is>
          <t>Hold/uncertain</t>
        </is>
      </c>
    </row>
    <row r="22">
      <c r="A22" s="1" t="inlineStr">
        <is>
          <t>Fewer cuts</t>
        </is>
      </c>
    </row>
    <row r="23">
      <c r="A23" s="1" t="inlineStr">
        <is>
          <t>Risk-on</t>
        </is>
      </c>
    </row>
    <row r="24">
      <c r="A24" s="1" t="inlineStr">
        <is>
          <t>Mixed</t>
        </is>
      </c>
    </row>
    <row r="25">
      <c r="A25" s="1" t="inlineStr">
        <is>
          <t>Risk-off</t>
        </is>
      </c>
    </row>
    <row r="26">
      <c r="A26" s="1" t="inlineStr">
        <is>
          <t>Inflation – US</t>
        </is>
      </c>
    </row>
    <row r="27">
      <c r="A27" s="1" t="inlineStr">
        <is>
          <t>Labour – US</t>
        </is>
      </c>
    </row>
    <row r="28">
      <c r="A28" s="1" t="inlineStr">
        <is>
          <t>Growth - US</t>
        </is>
      </c>
    </row>
    <row r="29">
      <c r="A29" s="1" t="inlineStr">
        <is>
          <t>Inflation – EUR</t>
        </is>
      </c>
    </row>
    <row r="30">
      <c r="A30" s="1" t="inlineStr">
        <is>
          <t>Labour – EUR</t>
        </is>
      </c>
    </row>
    <row r="31">
      <c r="A31" s="1" t="inlineStr">
        <is>
          <t>Growth - EUR</t>
        </is>
      </c>
    </row>
    <row r="32">
      <c r="A32" s="1" t="inlineStr">
        <is>
          <t>Inflation – JPY</t>
        </is>
      </c>
    </row>
    <row r="33">
      <c r="A33" s="1" t="inlineStr">
        <is>
          <t>Labour – JPY</t>
        </is>
      </c>
    </row>
    <row r="34">
      <c r="A34" s="1" t="inlineStr">
        <is>
          <t>Growth - JPY</t>
        </is>
      </c>
    </row>
    <row r="35">
      <c r="A35" s="1" t="inlineStr">
        <is>
          <t>Schnabel</t>
        </is>
      </c>
    </row>
    <row r="36">
      <c r="A36" s="1" t="inlineStr">
        <is>
          <t>Rehn</t>
        </is>
      </c>
    </row>
    <row r="37">
      <c r="A37" s="1" t="inlineStr">
        <is>
          <t>Panetta</t>
        </is>
      </c>
    </row>
    <row r="38">
      <c r="A38" s="1" t="inlineStr">
        <is>
          <t>Lagarde</t>
        </is>
      </c>
    </row>
    <row r="39">
      <c r="A39" s="1" t="inlineStr">
        <is>
          <t>Villeroy</t>
        </is>
      </c>
    </row>
    <row r="40">
      <c r="A40" s="1" t="inlineStr">
        <is>
          <t>Simkus</t>
        </is>
      </c>
    </row>
    <row r="41">
      <c r="A41" s="1" t="inlineStr">
        <is>
          <t>Kazarks</t>
        </is>
      </c>
    </row>
    <row r="42">
      <c r="A42" s="1" t="inlineStr">
        <is>
          <t>Kazimir</t>
        </is>
      </c>
    </row>
    <row r="43">
      <c r="A43" s="1" t="inlineStr">
        <is>
          <t>Musalem</t>
        </is>
      </c>
    </row>
    <row r="44">
      <c r="A44" s="1" t="inlineStr">
        <is>
          <t>Logan</t>
        </is>
      </c>
    </row>
    <row r="45">
      <c r="A45" s="1" t="inlineStr">
        <is>
          <t>Goolsbee</t>
        </is>
      </c>
    </row>
    <row r="46">
      <c r="A46" s="1" t="inlineStr">
        <is>
          <t>Hammack</t>
        </is>
      </c>
    </row>
    <row r="47">
      <c r="A47" s="1" t="inlineStr">
        <is>
          <t>Kashkari</t>
        </is>
      </c>
    </row>
    <row r="48">
      <c r="A48" s="1" t="inlineStr">
        <is>
          <t>Paulson</t>
        </is>
      </c>
    </row>
    <row r="49">
      <c r="A49" s="1" t="inlineStr">
        <is>
          <t>Barkin</t>
        </is>
      </c>
    </row>
    <row r="50">
      <c r="A50" s="1" t="inlineStr">
        <is>
          <t>Collins</t>
        </is>
      </c>
    </row>
    <row r="51">
      <c r="A51" s="1" t="inlineStr">
        <is>
          <t>Miran</t>
        </is>
      </c>
    </row>
    <row r="52">
      <c r="A52" s="1" t="inlineStr">
        <is>
          <t>Waller</t>
        </is>
      </c>
    </row>
    <row r="53">
      <c r="A53" s="1" t="inlineStr">
        <is>
          <t>Daly</t>
        </is>
      </c>
    </row>
    <row r="54">
      <c r="A54" s="1" t="inlineStr">
        <is>
          <t>Williams</t>
        </is>
      </c>
    </row>
    <row r="55">
      <c r="A55" s="1" t="inlineStr">
        <is>
          <t>Powell</t>
        </is>
      </c>
    </row>
    <row r="80">
      <c r="A80" t="inlineStr">
        <is>
          <t>Narrative Engine (do not edit)</t>
        </is>
      </c>
    </row>
    <row r="82">
      <c r="A82" t="inlineStr">
        <is>
          <t>SetupScore</t>
        </is>
      </c>
      <c r="B82">
        <f>IFERROR('Advanced Setup Planner'!EB18,"")</f>
        <v/>
      </c>
    </row>
    <row r="83">
      <c r="A83" t="inlineStr">
        <is>
          <t>SetupGrade</t>
        </is>
      </c>
      <c r="B83">
        <f>IFERROR(IF(B82="","",IF(B82&gt;=0.8,"A",IF(B82&gt;=0.65,"B",IF(B82&gt;=0.5,"C","D")))),"")</f>
        <v/>
      </c>
    </row>
    <row r="84">
      <c r="A84" t="inlineStr">
        <is>
          <t>SetupMeaning</t>
        </is>
      </c>
      <c r="B84">
        <f>IFERROR(IF(B83="","",IF(B83="A","High quality: ok to execute if plan rules are met.",IF(B83="B","Tradable but selective: wait for confirmation / smaller size.",IF(B83="C","Weak: wait for better location or stronger confirmation.","Avoid: observation only.")))),"")</f>
        <v/>
      </c>
    </row>
    <row r="86">
      <c r="A86" t="inlineStr">
        <is>
          <t>RateDiff_Now</t>
        </is>
      </c>
      <c r="B86">
        <f>IF(OR(Backend!Z211="",Backend!Z212=""),"",Backend!Z211-Backend!Z212)</f>
        <v/>
      </c>
    </row>
    <row r="87">
      <c r="A87" t="inlineStr">
        <is>
          <t>RateDiff_6M</t>
        </is>
      </c>
      <c r="B87">
        <f>IF(Backend!B346="","",Backend!B346)</f>
        <v/>
      </c>
    </row>
    <row r="88">
      <c r="A88" t="inlineStr">
        <is>
          <t>RateDiff_ChangeSteps</t>
        </is>
      </c>
      <c r="B88">
        <f>IF(Backend!B347="","",Backend!B347)</f>
        <v/>
      </c>
    </row>
    <row r="89">
      <c r="A89" t="inlineStr">
        <is>
          <t>RateDiff_ChangeBP</t>
        </is>
      </c>
      <c r="B89">
        <f>IF(B88="","",B88*25)</f>
        <v/>
      </c>
    </row>
    <row r="90">
      <c r="A90" t="inlineStr">
        <is>
          <t>RateDiff_NowLabel</t>
        </is>
      </c>
      <c r="B90">
        <f>IF(B86="","",IF(B86&gt;0,"USD advantage now","EUR advantage now"))</f>
        <v/>
      </c>
    </row>
    <row r="91">
      <c r="A91" t="inlineStr">
        <is>
          <t>RateDiff_ChangeLabel</t>
        </is>
      </c>
      <c r="B91">
        <f>IF(B88="","",IF(B88&lt;0,"USD advantage shrinking over ~6M","USD advantage widening over ~6M"))</f>
        <v/>
      </c>
    </row>
    <row r="93">
      <c r="A93" t="inlineStr">
        <is>
          <t>FedTone</t>
        </is>
      </c>
      <c r="B93">
        <f>IF(Backend!B349="","",IF(Backend!B349&gt;=0.25,"hawkish",IF(Backend!B349&lt;=-0.25,"dovish","neutral"))&amp;" (daily "&amp;TEXT(Backend!B349,"0.00")&amp;")")</f>
        <v/>
      </c>
    </row>
    <row r="94">
      <c r="A94" t="inlineStr">
        <is>
          <t>ECBTone</t>
        </is>
      </c>
      <c r="B94">
        <f>IF(Backend!B351="","",IF(Backend!B351&gt;=0.25,"hawkish",IF(Backend!B351&lt;=-0.25,"dovish","neutral"))&amp;" (daily "&amp;TEXT(Backend!B351,"0.00")&amp;")")</f>
        <v/>
      </c>
    </row>
    <row r="95">
      <c r="B95">
        <f>IF(Backend!B350="","",IF(Backend!B350&gt;=0.25,"hawkish",IF(Backend!B350&lt;=-0.25,"dovish","neutral"))&amp;" (30d "&amp;TEXT(Backend!B350,"0.00")&amp;")")</f>
        <v/>
      </c>
    </row>
    <row r="96">
      <c r="B96">
        <f>IF(Backend!B352="","",IF(Backend!B352&gt;=0.25,"hawkish",IF(Backend!B352&lt;=-0.25,"dovish","neutral"))&amp;" (30d "&amp;TEXT(Backend!B352,"0.00")&amp;")")</f>
        <v/>
      </c>
    </row>
    <row r="97">
      <c r="B97">
        <f>IFERROR(IF(Backend!B338="Buy dips","LONG",IF(Backend!B338="Sell rallies","SHORT","NEUTRAL")),"")</f>
        <v/>
      </c>
    </row>
    <row r="98">
      <c r="A98" t="inlineStr">
        <is>
          <t>Price</t>
        </is>
      </c>
      <c r="B98">
        <f>'Advanced Setup Planner'!B5</f>
        <v/>
      </c>
    </row>
    <row r="99">
      <c r="B99">
        <f>IFERROR(IF(OR(B97="NEUTRAL",B98=""),"",IF(B97=B98,"Aligned: macro "&amp;Backend!B338&amp;" matches technical "&amp;B98,"Misaligned: macro "&amp;Backend!B338&amp;" vs technical "&amp;B98)),"")</f>
        <v/>
      </c>
    </row>
    <row r="100">
      <c r="A100" t="inlineStr">
        <is>
          <t>Strike1</t>
        </is>
      </c>
      <c r="B100">
        <f>IF('Advanced Setup Planner'!K5="","",'Advanced Setup Planner'!K5)</f>
        <v/>
      </c>
      <c r="C100">
        <f>IFERROR(IF(B100="",1E+99,ABS(B100-B98)),"")</f>
        <v/>
      </c>
      <c r="D100">
        <f>IF('Advanced Setup Planner'!K6="","",'Advanced Setup Planner'!K6)</f>
        <v/>
      </c>
    </row>
    <row r="101">
      <c r="A101" t="inlineStr">
        <is>
          <t>Strike2</t>
        </is>
      </c>
      <c r="B101">
        <f>IF('Advanced Setup Planner'!K7="","",'Advanced Setup Planner'!K7)</f>
        <v/>
      </c>
      <c r="C101">
        <f>IFERROR(IF(B101="",1E+99,ABS(B101-B98)),"")</f>
        <v/>
      </c>
      <c r="D101">
        <f>IF('Advanced Setup Planner'!K8="","",'Advanced Setup Planner'!K8)</f>
        <v/>
      </c>
    </row>
    <row r="102">
      <c r="A102" t="inlineStr">
        <is>
          <t>Strike3</t>
        </is>
      </c>
      <c r="B102">
        <f>IF('Advanced Setup Planner'!K9="","",'Advanced Setup Planner'!K9)</f>
        <v/>
      </c>
      <c r="C102">
        <f>IFERROR(IF(B102="",1E+99,ABS(B102-B98)),"")</f>
        <v/>
      </c>
      <c r="D102">
        <f>IF('Advanced Setup Planner'!K10="","",'Advanced Setup Planner'!K10)</f>
        <v/>
      </c>
    </row>
    <row r="103">
      <c r="A103" t="inlineStr">
        <is>
          <t>Strike4</t>
        </is>
      </c>
      <c r="B103">
        <f>IF('Advanced Setup Planner'!K11="","",'Advanced Setup Planner'!K11)</f>
        <v/>
      </c>
      <c r="C103">
        <f>IFERROR(IF(B103="",1E+99,ABS(B103-B98)),"")</f>
        <v/>
      </c>
      <c r="D103">
        <f>IF('Advanced Setup Planner'!K12="","",'Advanced Setup Planner'!K12)</f>
        <v/>
      </c>
    </row>
    <row r="105">
      <c r="A105" t="inlineStr">
        <is>
          <t>NearestStrike</t>
        </is>
      </c>
      <c r="B105">
        <f>IFERROR(INDEX(B100:B103,MATCH(MIN(C100:C103),C100:C103,0)),"")</f>
        <v/>
      </c>
    </row>
    <row r="106">
      <c r="A106" t="inlineStr">
        <is>
          <t>NearestSize</t>
        </is>
      </c>
      <c r="B106">
        <f>IF(B105="","",INDEX(D100:D103,MATCH(B105,B100:B103,0)))</f>
        <v/>
      </c>
    </row>
    <row r="107">
      <c r="A107" t="inlineStr">
        <is>
          <t>NearestPips</t>
        </is>
      </c>
      <c r="B107">
        <f>IF(B105="","",ABS(B105-B98)*10000)</f>
        <v/>
      </c>
    </row>
    <row r="108">
      <c r="A108" t="inlineStr">
        <is>
          <t>StrikeNote</t>
        </is>
      </c>
      <c r="B108">
        <f>IF(B105="","",IF(B107&lt;=15,"Options magnet nearby: strike "&amp;TEXT(B105,"0.0000")&amp;" (~"&amp;TEXT(B107,"0")&amp;" pips, size "&amp;TEXT(B106,"0.00")&amp;"bn).","Options strikes not near price (nearest "&amp;TEXT(B105,"0.0000")&amp;", ~"&amp;TEXT(B107,"0")&amp;" pips)."))</f>
        <v/>
      </c>
    </row>
    <row r="110">
      <c r="A110" t="inlineStr">
        <is>
          <t>Narrative</t>
        </is>
      </c>
      <c r="B110">
        <f>IFERROR(IF('Advanced Setup Planner'!B5="","","1) Macro bias: "&amp;Backend!B338&amp;". "&amp;IF(B86="","","Rate gap NOW "&amp;TEXT(B86,"0.00")&amp;" ("&amp;B90&amp;"). ")&amp;IF(B88="","","Expected 6M change "&amp;TEXT(B88,"0")&amp;" steps ("&amp;TEXT(B89,"0")&amp;"bp) — "&amp;B91&amp;". ")&amp;"2) Yields: "&amp;Backend!B356&amp;". "&amp;"3) Speakers: Fed "&amp;IF(B93&lt;&gt;"",B93&amp;", ","")&amp;IF(B95&lt;&gt;"",B95,"")&amp;"; ECB "&amp;IF(B94&lt;&gt;"",B94&amp;", ","")&amp;IF(B96&lt;&gt;"",B96,"")&amp;". "&amp;IF(B108="","",B108)),"")</f>
        <v/>
      </c>
    </row>
    <row r="112">
      <c r="A112" t="inlineStr">
        <is>
          <t>Action</t>
        </is>
      </c>
      <c r="B112">
        <f>IFERROR(IF('Advanced Setup Planner'!B5="","",IF(B99="","",B99&amp;" — ")&amp;IF(Backend!B338="Buy dips","Action: prefer LONG pullbacks into support (Primary/Value). Avoid chasing highs. ",IF(Backend!B338="Sell rallies","Action: prefer SHORT rallies into resistance (CT/Primary-short). Avoid selling lows. ","Action: macro neutral — lean on structure/levels, trade smaller."))&amp;IF(OR(B97="NEUTRAL",B98=""),"",IF(B97&lt;&gt;B98," Reduce size; demand stronger confirmation (e.g., BOS/CHOCH + rejection/acceptance).",""))),"")</f>
        <v/>
      </c>
    </row>
    <row r="114">
      <c r="A114" t="inlineStr">
        <is>
          <t>Glossary</t>
        </is>
      </c>
      <c r="B114">
        <f>"Steps = 25bp moves (quarter‑point). Example: -4 steps ≈ -100bp of USD-vs-EUR advantage compressing over ~6 months."</f>
        <v/>
      </c>
    </row>
    <row r="130">
      <c r="A130" t="inlineStr">
        <is>
          <t>Date</t>
        </is>
      </c>
      <c r="B130" t="inlineStr">
        <is>
          <t>CentralBank</t>
        </is>
      </c>
      <c r="C130" t="inlineStr">
        <is>
          <t>Person</t>
        </is>
      </c>
      <c r="D130" t="inlineStr">
        <is>
          <t>Role</t>
        </is>
      </c>
      <c r="E130" t="inlineStr">
        <is>
          <t>Event</t>
        </is>
      </c>
      <c r="F130" t="inlineStr">
        <is>
          <t>Topic</t>
        </is>
      </c>
      <c r="G130" t="inlineStr">
        <is>
          <t>Tone</t>
        </is>
      </c>
      <c r="H130" t="inlineStr">
        <is>
          <t>Tone_Score</t>
        </is>
      </c>
      <c r="I130" t="inlineStr">
        <is>
          <t>Notes</t>
        </is>
      </c>
      <c r="J130" t="inlineStr">
        <is>
          <t>Link/Source</t>
        </is>
      </c>
      <c r="L130" t="inlineStr">
        <is>
          <t>Hawkish</t>
        </is>
      </c>
      <c r="M130" t="n">
        <v>1</v>
      </c>
      <c r="P130" t="inlineStr">
        <is>
          <t>FED</t>
        </is>
      </c>
    </row>
    <row r="131">
      <c r="A131" s="2" t="n">
        <v>45959</v>
      </c>
      <c r="B131" t="inlineStr">
        <is>
          <t>FED</t>
        </is>
      </c>
      <c r="C131" t="inlineStr">
        <is>
          <t>Powell</t>
        </is>
      </c>
      <c r="G131" t="inlineStr">
        <is>
          <t>Neutral</t>
        </is>
      </c>
      <c r="H131">
        <f>IF(G131="","",VLOOKUP(G131,$L$130:$M$132,2,FALSE))</f>
        <v/>
      </c>
      <c r="L131" t="inlineStr">
        <is>
          <t>Neutral</t>
        </is>
      </c>
      <c r="M131" t="n">
        <v>0</v>
      </c>
      <c r="P131" t="inlineStr">
        <is>
          <t>BOJ</t>
        </is>
      </c>
    </row>
    <row r="132">
      <c r="A132" s="2" t="n">
        <v>45967</v>
      </c>
      <c r="B132" t="inlineStr">
        <is>
          <t>FED</t>
        </is>
      </c>
      <c r="C132" t="inlineStr">
        <is>
          <t>Goolsbee</t>
        </is>
      </c>
      <c r="G132" t="inlineStr">
        <is>
          <t>Hawkish</t>
        </is>
      </c>
      <c r="H132">
        <f>IF(G132="","",VLOOKUP(G132,$L$130:$M$132,2,FALSE))</f>
        <v/>
      </c>
      <c r="L132" t="inlineStr">
        <is>
          <t>Dovish</t>
        </is>
      </c>
      <c r="M132" t="n">
        <v>-1</v>
      </c>
      <c r="P132" t="inlineStr">
        <is>
          <t>ECB</t>
        </is>
      </c>
    </row>
    <row r="133">
      <c r="A133" s="2" t="n">
        <v>45967</v>
      </c>
      <c r="B133" t="inlineStr">
        <is>
          <t>FED</t>
        </is>
      </c>
      <c r="C133" t="inlineStr">
        <is>
          <t>Hammack</t>
        </is>
      </c>
      <c r="G133" t="inlineStr">
        <is>
          <t>Hawkish</t>
        </is>
      </c>
      <c r="H133">
        <f>IF(G133="","",VLOOKUP(G133,$L$130:$M$132,2,FALSE))</f>
        <v/>
      </c>
    </row>
    <row r="134">
      <c r="A134" s="2" t="n">
        <v>45971</v>
      </c>
      <c r="B134" t="inlineStr">
        <is>
          <t>FED</t>
        </is>
      </c>
      <c r="C134" t="inlineStr">
        <is>
          <t>Musalem</t>
        </is>
      </c>
      <c r="G134" t="inlineStr">
        <is>
          <t>Hawkish</t>
        </is>
      </c>
      <c r="H134">
        <f>IF(G134="","",VLOOKUP(G134,$L$130:$M$132,2,FALSE))</f>
        <v/>
      </c>
    </row>
    <row r="135">
      <c r="A135" s="2" t="n">
        <v>45971</v>
      </c>
      <c r="B135" t="inlineStr">
        <is>
          <t>FED</t>
        </is>
      </c>
      <c r="C135" t="inlineStr">
        <is>
          <t>Miran</t>
        </is>
      </c>
      <c r="G135" t="inlineStr">
        <is>
          <t>Dovish</t>
        </is>
      </c>
      <c r="H135">
        <f>IF(G135="","",VLOOKUP(G135,$L$130:$M$132,2,FALSE))</f>
        <v/>
      </c>
    </row>
    <row r="136">
      <c r="A136" s="2" t="n">
        <v>45974</v>
      </c>
      <c r="B136" t="inlineStr">
        <is>
          <t>FED</t>
        </is>
      </c>
      <c r="C136" t="inlineStr">
        <is>
          <t>Kashkari</t>
        </is>
      </c>
      <c r="G136" t="inlineStr">
        <is>
          <t>Neutral</t>
        </is>
      </c>
      <c r="H136">
        <f>IF(G136="","",VLOOKUP(G136,$L$130:$M$132,2,FALSE))</f>
        <v/>
      </c>
    </row>
    <row r="137">
      <c r="A137" s="2" t="n">
        <v>45979</v>
      </c>
      <c r="B137" t="inlineStr">
        <is>
          <t>FED</t>
        </is>
      </c>
      <c r="C137" t="inlineStr">
        <is>
          <t>Barkin</t>
        </is>
      </c>
      <c r="G137" t="inlineStr">
        <is>
          <t>Neutral</t>
        </is>
      </c>
      <c r="H137">
        <f>IF(G137="","",VLOOKUP(G137,$L$130:$M$132,2,FALSE))</f>
        <v/>
      </c>
    </row>
    <row r="138">
      <c r="A138" s="2" t="n">
        <v>45982</v>
      </c>
      <c r="B138" t="inlineStr">
        <is>
          <t>FED</t>
        </is>
      </c>
      <c r="C138" t="inlineStr">
        <is>
          <t>Logan</t>
        </is>
      </c>
      <c r="G138" t="inlineStr">
        <is>
          <t>Hawkish</t>
        </is>
      </c>
      <c r="H138">
        <f>IF(G138="","",VLOOKUP(G138,$L$130:$M$132,2,FALSE))</f>
        <v/>
      </c>
    </row>
    <row r="139">
      <c r="A139" s="2" t="n">
        <v>45982</v>
      </c>
      <c r="B139" t="inlineStr">
        <is>
          <t>FED</t>
        </is>
      </c>
      <c r="C139" t="inlineStr">
        <is>
          <t>Collins</t>
        </is>
      </c>
      <c r="G139" t="inlineStr">
        <is>
          <t>Hawkish</t>
        </is>
      </c>
      <c r="H139">
        <f>IF(G139="","",VLOOKUP(G139,$L$130:$M$132,2,FALSE))</f>
        <v/>
      </c>
    </row>
    <row r="140">
      <c r="A140" s="2" t="n">
        <v>45982</v>
      </c>
      <c r="B140" t="inlineStr">
        <is>
          <t>FED</t>
        </is>
      </c>
      <c r="C140" t="inlineStr">
        <is>
          <t>Daly</t>
        </is>
      </c>
      <c r="G140" t="inlineStr">
        <is>
          <t>Dovish</t>
        </is>
      </c>
      <c r="H140">
        <f>IF(G140="","",VLOOKUP(G140,$L$130:$M$132,2,FALSE))</f>
        <v/>
      </c>
    </row>
    <row r="141">
      <c r="A141" s="2" t="n">
        <v>45982</v>
      </c>
      <c r="B141" t="inlineStr">
        <is>
          <t>FED</t>
        </is>
      </c>
      <c r="C141" t="inlineStr">
        <is>
          <t>Williams</t>
        </is>
      </c>
      <c r="G141" t="inlineStr">
        <is>
          <t>Dovish</t>
        </is>
      </c>
      <c r="H141">
        <f>IF(G141="","",VLOOKUP(G141,$L$130:$M$132,2,FALSE))</f>
        <v/>
      </c>
    </row>
    <row r="142">
      <c r="A142" s="2" t="n">
        <v>45985</v>
      </c>
      <c r="B142" t="inlineStr">
        <is>
          <t>FED</t>
        </is>
      </c>
      <c r="C142" t="inlineStr">
        <is>
          <t>Waller</t>
        </is>
      </c>
      <c r="G142" t="inlineStr">
        <is>
          <t>Dovish</t>
        </is>
      </c>
      <c r="H142">
        <f>IF(G142="","",VLOOKUP(G142,$L$130:$M$132,2,FALSE))</f>
        <v/>
      </c>
    </row>
    <row r="143">
      <c r="A143" s="2" t="n">
        <v>45999</v>
      </c>
      <c r="B143" t="inlineStr">
        <is>
          <t>ECB</t>
        </is>
      </c>
      <c r="C143" t="inlineStr">
        <is>
          <t>Schnabel</t>
        </is>
      </c>
      <c r="G143" t="inlineStr">
        <is>
          <t>Hawkish</t>
        </is>
      </c>
      <c r="H143">
        <f>IF(G143="","",VLOOKUP(G143,$L$130:$M$132,2,FALSE))</f>
        <v/>
      </c>
    </row>
    <row r="144">
      <c r="A144" s="2" t="n">
        <v>45999</v>
      </c>
      <c r="B144" t="inlineStr">
        <is>
          <t>ECB</t>
        </is>
      </c>
      <c r="C144" t="inlineStr">
        <is>
          <t>Rehn</t>
        </is>
      </c>
      <c r="G144" t="inlineStr">
        <is>
          <t>Dovish</t>
        </is>
      </c>
      <c r="H144">
        <f>IF(G144="","",VLOOKUP(G144,$L$130:$M$132,2,FALSE))</f>
        <v/>
      </c>
    </row>
    <row r="145">
      <c r="A145" s="2" t="n">
        <v>45999</v>
      </c>
      <c r="B145" t="inlineStr">
        <is>
          <t>ECB</t>
        </is>
      </c>
      <c r="C145" t="inlineStr">
        <is>
          <t>Kazimir</t>
        </is>
      </c>
      <c r="G145" t="inlineStr">
        <is>
          <t>Hawkish</t>
        </is>
      </c>
      <c r="H145">
        <f>IF(G145="","",VLOOKUP(G145,$L$130:$M$132,2,FALSE))</f>
        <v/>
      </c>
    </row>
    <row r="146">
      <c r="A146" s="2" t="n">
        <v>46000</v>
      </c>
      <c r="B146" t="inlineStr">
        <is>
          <t>ECB</t>
        </is>
      </c>
      <c r="C146" t="inlineStr">
        <is>
          <t>Panetta</t>
        </is>
      </c>
      <c r="G146" t="inlineStr">
        <is>
          <t>Hawkish</t>
        </is>
      </c>
      <c r="H146">
        <f>IF(G146="","",VLOOKUP(G146,$L$130:$M$132,2,FALSE))</f>
        <v/>
      </c>
    </row>
    <row r="147">
      <c r="A147" s="2" t="n">
        <v>46001</v>
      </c>
      <c r="B147" t="inlineStr">
        <is>
          <t>ECB</t>
        </is>
      </c>
      <c r="C147" t="inlineStr">
        <is>
          <t>Lagarde</t>
        </is>
      </c>
      <c r="G147" t="inlineStr">
        <is>
          <t>Hawkish</t>
        </is>
      </c>
      <c r="H147">
        <f>IF(G147="","",VLOOKUP(G147,$L$130:$M$132,2,FALSE))</f>
        <v/>
      </c>
    </row>
    <row r="148">
      <c r="A148" s="2" t="n">
        <v>46001</v>
      </c>
      <c r="B148" t="inlineStr">
        <is>
          <t>ECB</t>
        </is>
      </c>
      <c r="C148" t="inlineStr">
        <is>
          <t>Villeroy</t>
        </is>
      </c>
      <c r="G148" t="inlineStr">
        <is>
          <t>Neutral</t>
        </is>
      </c>
      <c r="H148">
        <f>IF(G148="","",VLOOKUP(G148,$L$130:$M$132,2,FALSE))</f>
        <v/>
      </c>
    </row>
    <row r="149">
      <c r="A149" s="2" t="n">
        <v>46001</v>
      </c>
      <c r="B149" t="inlineStr">
        <is>
          <t>ECB</t>
        </is>
      </c>
      <c r="C149" t="inlineStr">
        <is>
          <t>Kazarks</t>
        </is>
      </c>
      <c r="G149" t="inlineStr">
        <is>
          <t>Neutral</t>
        </is>
      </c>
      <c r="H149">
        <f>IF(G149="","",VLOOKUP(G149,$L$130:$M$132,2,FALSE))</f>
        <v/>
      </c>
    </row>
    <row r="150">
      <c r="A150" s="2" t="n">
        <v>46001</v>
      </c>
      <c r="B150" t="inlineStr">
        <is>
          <t>ECB</t>
        </is>
      </c>
      <c r="C150" t="inlineStr">
        <is>
          <t>Simkus</t>
        </is>
      </c>
      <c r="G150" t="inlineStr">
        <is>
          <t>Neutral</t>
        </is>
      </c>
      <c r="H150">
        <f>IF(G150="","",VLOOKUP(G150,$L$130:$M$132,2,FALSE))</f>
        <v/>
      </c>
    </row>
    <row r="151">
      <c r="A151" s="2" t="n">
        <v>46003</v>
      </c>
      <c r="B151" t="inlineStr">
        <is>
          <t>FED</t>
        </is>
      </c>
      <c r="C151" t="inlineStr">
        <is>
          <t>Paulson</t>
        </is>
      </c>
      <c r="G151" t="inlineStr">
        <is>
          <t>Dovish</t>
        </is>
      </c>
      <c r="H151">
        <f>IF(G151="","",VLOOKUP(G151,$L$130:$M$132,2,FALSE))</f>
        <v/>
      </c>
    </row>
    <row r="152">
      <c r="A152" s="2" t="n">
        <v>46003</v>
      </c>
      <c r="B152" t="inlineStr">
        <is>
          <t>FED</t>
        </is>
      </c>
      <c r="C152" t="inlineStr">
        <is>
          <t>Hammack</t>
        </is>
      </c>
      <c r="G152" t="inlineStr">
        <is>
          <t>Hawkish</t>
        </is>
      </c>
      <c r="H152">
        <f>IF(G152="","",VLOOKUP(G152,$L$130:$M$132,2,FALSE))</f>
        <v/>
      </c>
    </row>
    <row r="153">
      <c r="A153" s="2" t="n">
        <v>46003</v>
      </c>
      <c r="B153" t="inlineStr">
        <is>
          <t>FED</t>
        </is>
      </c>
      <c r="C153" t="inlineStr">
        <is>
          <t>Daly</t>
        </is>
      </c>
      <c r="G153" t="inlineStr">
        <is>
          <t>Dovish</t>
        </is>
      </c>
      <c r="H153">
        <f>IF(G153="","",VLOOKUP(G153,$L$130:$M$132,2,FALSE))</f>
        <v/>
      </c>
    </row>
    <row r="154">
      <c r="A154" s="2" t="n">
        <v>46003</v>
      </c>
      <c r="B154" t="inlineStr">
        <is>
          <t>FED</t>
        </is>
      </c>
      <c r="C154" t="inlineStr">
        <is>
          <t>Goolsbee</t>
        </is>
      </c>
      <c r="G154" t="inlineStr">
        <is>
          <t>Neutral</t>
        </is>
      </c>
      <c r="H154">
        <f>IF(G154="","",VLOOKUP(G154,$L$130:$M$132,2,FALSE))</f>
        <v/>
      </c>
    </row>
    <row r="155">
      <c r="A155" s="2" t="n">
        <v>46006</v>
      </c>
      <c r="B155" t="inlineStr">
        <is>
          <t>FED</t>
        </is>
      </c>
      <c r="C155" t="inlineStr">
        <is>
          <t>Miran</t>
        </is>
      </c>
      <c r="G155" t="inlineStr">
        <is>
          <t>Dovish</t>
        </is>
      </c>
      <c r="H155">
        <f>IF(G155="","",VLOOKUP(G155,$L$130:$M$132,2,FALSE))</f>
        <v/>
      </c>
    </row>
    <row r="156">
      <c r="A156" s="2" t="n">
        <v>46006</v>
      </c>
      <c r="B156" t="inlineStr">
        <is>
          <t>FED</t>
        </is>
      </c>
      <c r="C156" t="inlineStr">
        <is>
          <t>Williams</t>
        </is>
      </c>
      <c r="G156" t="inlineStr">
        <is>
          <t>Neutral</t>
        </is>
      </c>
      <c r="H156">
        <f>IF(G156="","",VLOOKUP(G156,$L$130:$M$132,2,FALSE))</f>
        <v/>
      </c>
    </row>
    <row r="157">
      <c r="A157" s="2" t="n">
        <v>46006</v>
      </c>
      <c r="B157" t="inlineStr">
        <is>
          <t>FED</t>
        </is>
      </c>
      <c r="C157" t="inlineStr">
        <is>
          <t>Collins</t>
        </is>
      </c>
      <c r="G157" t="inlineStr">
        <is>
          <t>Neutral</t>
        </is>
      </c>
      <c r="H157">
        <f>IF(G157="","",VLOOKUP(G157,$L$130:$M$132,2,FALSE))</f>
        <v/>
      </c>
    </row>
    <row r="158">
      <c r="A158" s="2" t="n">
        <v>46007</v>
      </c>
      <c r="B158" t="inlineStr">
        <is>
          <t>FED</t>
        </is>
      </c>
      <c r="C158" t="inlineStr">
        <is>
          <t>Bostic</t>
        </is>
      </c>
      <c r="G158" t="inlineStr">
        <is>
          <t>Hawkish</t>
        </is>
      </c>
      <c r="H158">
        <f>IF(G158="","",VLOOKUP(G158,$L$130:$M$132,2,FALSE))</f>
        <v/>
      </c>
    </row>
    <row r="159">
      <c r="A159" s="2" t="n">
        <v>46007</v>
      </c>
      <c r="B159" t="inlineStr">
        <is>
          <t>FED</t>
        </is>
      </c>
      <c r="C159" t="inlineStr">
        <is>
          <t>Goolsbee</t>
        </is>
      </c>
      <c r="G159" t="inlineStr">
        <is>
          <t>Neutral</t>
        </is>
      </c>
      <c r="H159">
        <f>IF(G159="","",VLOOKUP(G159,$L$130:$M$132,2,FALSE))</f>
        <v/>
      </c>
    </row>
    <row r="160">
      <c r="A160" s="2" t="n">
        <v>46008</v>
      </c>
      <c r="B160" t="inlineStr">
        <is>
          <t>FED</t>
        </is>
      </c>
      <c r="C160" t="inlineStr">
        <is>
          <t>Waller</t>
        </is>
      </c>
      <c r="G160" t="inlineStr">
        <is>
          <t>Dovish</t>
        </is>
      </c>
      <c r="H160">
        <f>IF(G160="","",VLOOKUP(G160,$L$130:$M$132,2,FALSE))</f>
        <v/>
      </c>
    </row>
    <row r="161">
      <c r="A161" s="2" t="n">
        <v>46008</v>
      </c>
      <c r="B161" t="inlineStr">
        <is>
          <t>FED</t>
        </is>
      </c>
      <c r="C161" t="inlineStr">
        <is>
          <t>Williams</t>
        </is>
      </c>
      <c r="G161" t="inlineStr">
        <is>
          <t>Neutral</t>
        </is>
      </c>
      <c r="H161">
        <f>IF(G161="","",VLOOKUP(G161,$L$130:$M$132,2,FALSE))</f>
        <v/>
      </c>
    </row>
    <row r="162">
      <c r="A162" s="2" t="n">
        <v>46008</v>
      </c>
      <c r="B162" t="inlineStr">
        <is>
          <t>FED</t>
        </is>
      </c>
      <c r="C162" t="inlineStr">
        <is>
          <t>Bostic</t>
        </is>
      </c>
      <c r="G162" t="inlineStr">
        <is>
          <t>Hawkish</t>
        </is>
      </c>
      <c r="H162">
        <f>IF(G162="","",VLOOKUP(G162,$L$130:$M$132,2,FALSE))</f>
        <v/>
      </c>
    </row>
    <row r="163">
      <c r="A163" s="2" t="n">
        <v>46008</v>
      </c>
      <c r="B163" t="inlineStr">
        <is>
          <t>BOJ</t>
        </is>
      </c>
      <c r="C163" t="inlineStr">
        <is>
          <t>Takashi</t>
        </is>
      </c>
      <c r="G163" t="inlineStr">
        <is>
          <t>Hawkish</t>
        </is>
      </c>
      <c r="H163">
        <f>IF(G163="","",VLOOKUP(G163,$L$130:$M$132,2,FALSE))</f>
        <v/>
      </c>
    </row>
    <row r="180">
      <c r="A180" t="inlineStr">
        <is>
          <t>Date</t>
        </is>
      </c>
      <c r="B180" t="inlineStr">
        <is>
          <t>Currency</t>
        </is>
      </c>
      <c r="C180" t="inlineStr">
        <is>
          <t>Rate1_mid 350-375)</t>
        </is>
      </c>
      <c r="D180" t="inlineStr">
        <is>
          <t>Prob1</t>
        </is>
      </c>
      <c r="E180" t="inlineStr">
        <is>
          <t>Rate2_mid (375-400)</t>
        </is>
      </c>
      <c r="F180" t="inlineStr">
        <is>
          <t>Prob2</t>
        </is>
      </c>
      <c r="G180" t="inlineStr">
        <is>
          <t>Rate3_mid (325-350)</t>
        </is>
      </c>
      <c r="H180" t="inlineStr">
        <is>
          <t>Prob3</t>
        </is>
      </c>
      <c r="I180" t="inlineStr">
        <is>
          <t>ExpRate</t>
        </is>
      </c>
      <c r="J180" t="inlineStr">
        <is>
          <t>CutsVsToday</t>
        </is>
      </c>
      <c r="O180" s="3" t="n"/>
    </row>
    <row r="181">
      <c r="A181" s="4" t="n">
        <v>46050</v>
      </c>
      <c r="B181" t="inlineStr">
        <is>
          <t>US</t>
        </is>
      </c>
      <c r="C181" t="n">
        <v>3.625</v>
      </c>
      <c r="D181" s="5" t="n">
        <v>0.756</v>
      </c>
      <c r="E181" s="6" t="n">
        <v>3.875</v>
      </c>
      <c r="F181" s="5" t="n">
        <v>0</v>
      </c>
      <c r="G181" t="n">
        <v>3.375</v>
      </c>
      <c r="H181" s="5" t="n">
        <v>0.244</v>
      </c>
      <c r="I181" s="6">
        <f>IF(B181="","",IF(SUM(D181,F181,H181)=0,"",(C181*D181+E181*F181+G181*H181)/SUM(D181,F181,H181)))</f>
        <v/>
      </c>
      <c r="J181" s="7">
        <f>IF(I181="","",ROUND((IF(B181="US",Backend!$Z$211,IF(B181="ECB",Backend!$Z$212,""))-I181)/0.25,0))</f>
        <v/>
      </c>
      <c r="L181" s="5" t="n"/>
      <c r="M181" s="5" t="n"/>
    </row>
    <row r="182">
      <c r="A182" s="4" t="n">
        <v>46082</v>
      </c>
      <c r="B182" t="inlineStr">
        <is>
          <t>US</t>
        </is>
      </c>
      <c r="C182" t="n">
        <v>3.625</v>
      </c>
      <c r="D182" s="5" t="n">
        <v>0.505</v>
      </c>
      <c r="E182" s="6" t="n">
        <v>3.875</v>
      </c>
      <c r="F182" s="5" t="n">
        <v>0</v>
      </c>
      <c r="G182" t="n">
        <v>3.375</v>
      </c>
      <c r="H182" s="5" t="n">
        <v>0.414</v>
      </c>
      <c r="I182" s="6">
        <f>IF(B182="","",IF(SUM(D182,F182,H182)=0,"",(C182*D182+E182*F182+G182*H182)/SUM(D182,F182,H182)))</f>
        <v/>
      </c>
      <c r="J182" s="7">
        <f>IF(I182="","",ROUND((IF(B182="US",Backend!$Z$211,IF(B182="ECB",Backend!$Z$212,""))-I182)/0.25,0))</f>
        <v/>
      </c>
      <c r="L182" s="5" t="n"/>
      <c r="M182" s="5" t="n"/>
    </row>
    <row r="183">
      <c r="A183" s="4" t="n">
        <v>46141</v>
      </c>
      <c r="B183" t="inlineStr">
        <is>
          <t>US</t>
        </is>
      </c>
      <c r="C183" t="n">
        <v>3.625</v>
      </c>
      <c r="D183" s="5" t="n">
        <v>0.39</v>
      </c>
      <c r="E183" s="6" t="n">
        <v>3.875</v>
      </c>
      <c r="F183" s="5" t="n">
        <v>0</v>
      </c>
      <c r="G183" t="n">
        <v>3.375</v>
      </c>
      <c r="H183" s="5" t="n">
        <v>0.157</v>
      </c>
      <c r="I183" s="6">
        <f>IF(B183="","",IF(SUM(D183,F183,H183)=0,"",(C183*D183+E183*F183+G183*H183)/SUM(D183,F183,H183)))</f>
        <v/>
      </c>
      <c r="J183" s="7">
        <f>IF(I183="","",ROUND((IF(B183="US",Backend!$Z$211,IF(B183="ECB",Backend!$Z$212,""))-I183)/0.25,0))</f>
        <v/>
      </c>
    </row>
    <row r="184">
      <c r="A184" s="4" t="n">
        <v>46190</v>
      </c>
      <c r="B184" t="inlineStr">
        <is>
          <t>US</t>
        </is>
      </c>
      <c r="C184" t="n">
        <v>3.625</v>
      </c>
      <c r="D184" s="5" t="n">
        <v>0.186</v>
      </c>
      <c r="E184" s="6" t="n">
        <v>3.875</v>
      </c>
      <c r="F184" s="5" t="n">
        <v>0</v>
      </c>
      <c r="G184" t="n">
        <v>3.375</v>
      </c>
      <c r="H184" s="5" t="n">
        <v>0.39</v>
      </c>
      <c r="I184" s="6">
        <f>IF(B184="","",IF(SUM(D184,F184,H184)=0,"",(C184*D184+E184*F184+G184*H184)/SUM(D184,F184,H184)))</f>
        <v/>
      </c>
      <c r="J184" s="7">
        <f>IF(I184="","",ROUND((IF(B184="US",Backend!$Z$211,IF(B184="ECB",Backend!$Z$212,""))-I184)/0.25,0))</f>
        <v/>
      </c>
    </row>
    <row r="185">
      <c r="A185" s="4" t="n">
        <v>46232</v>
      </c>
      <c r="B185" t="inlineStr">
        <is>
          <t>US</t>
        </is>
      </c>
      <c r="C185" t="n">
        <v>3.625</v>
      </c>
      <c r="D185" s="5" t="n">
        <v>0.135</v>
      </c>
      <c r="E185" s="6" t="n">
        <v>3.875</v>
      </c>
      <c r="F185" s="5" t="n">
        <v>0</v>
      </c>
      <c r="G185" t="n">
        <v>3.375</v>
      </c>
      <c r="H185" s="5" t="n">
        <v>0.355</v>
      </c>
      <c r="I185" s="6">
        <f>IF(B185="","",IF(SUM(D185,F185,H185)=0,"",(C185*D185+E185*F185+G185*H185)/SUM(D185,F185,H185)))</f>
        <v/>
      </c>
      <c r="J185" s="7">
        <f>IF(I185="","",ROUND((IF(B185="US",Backend!$Z$211,IF(B185="ECB",Backend!$Z$212,""))-I185)/0.25,0))</f>
        <v/>
      </c>
    </row>
    <row r="186">
      <c r="A186" s="4" t="n">
        <v>46056</v>
      </c>
      <c r="B186" t="inlineStr">
        <is>
          <t>ECB</t>
        </is>
      </c>
      <c r="C186" t="n">
        <v>1.75</v>
      </c>
      <c r="D186" s="5" t="n">
        <v>0</v>
      </c>
      <c r="E186" s="6" t="n">
        <v>2</v>
      </c>
      <c r="F186" s="5" t="n">
        <v>0.847</v>
      </c>
      <c r="G186" t="n">
        <v>2.25</v>
      </c>
      <c r="H186" s="5" t="n">
        <v>0.018</v>
      </c>
      <c r="I186" s="6">
        <f>IF(B186="","",IF(SUM(D186,F186,H186)=0,"",(C186*D186+E186*F186+G186*H186)/SUM(D186,F186,H186)))</f>
        <v/>
      </c>
      <c r="J186" s="7">
        <f>IF(I186="","",ROUND((IF(B186="US",Backend!$Z$211,IF(B186="ECB",Backend!$Z$212,""))-I186)/0.25,0))</f>
        <v/>
      </c>
    </row>
    <row r="187">
      <c r="A187" s="4" t="n">
        <v>46098</v>
      </c>
      <c r="B187" t="inlineStr">
        <is>
          <t>ECB</t>
        </is>
      </c>
      <c r="C187" t="n">
        <v>1.75</v>
      </c>
      <c r="D187" s="5" t="n">
        <v>0.243</v>
      </c>
      <c r="E187" s="6" t="n">
        <v>2</v>
      </c>
      <c r="F187" s="5" t="n">
        <v>0.721</v>
      </c>
      <c r="G187" t="n">
        <v>2.25</v>
      </c>
      <c r="H187" s="5" t="n">
        <v>0.016</v>
      </c>
      <c r="I187" s="6">
        <f>IF(B187="","",IF(SUM(D187,F187,H187)=0,"",(C187*D187+E187*F187+G187*H187)/SUM(D187,F187,H187)))</f>
        <v/>
      </c>
      <c r="J187" s="7">
        <f>IF(I187="","",ROUND((IF(B187="US",Backend!$Z$211,IF(B187="ECB",Backend!$Z$212,""))-I187)/0.25,0))</f>
        <v/>
      </c>
    </row>
    <row r="188">
      <c r="A188" s="4" t="n">
        <v>46140</v>
      </c>
      <c r="B188" t="inlineStr">
        <is>
          <t>ECB</t>
        </is>
      </c>
      <c r="C188" t="n">
        <v>1.75</v>
      </c>
      <c r="D188" s="5" t="n">
        <v>0.288</v>
      </c>
      <c r="E188" s="6" t="n">
        <v>2</v>
      </c>
      <c r="F188" s="5" t="n">
        <v>0.655</v>
      </c>
      <c r="G188" t="n">
        <v>2.25</v>
      </c>
      <c r="H188" s="5" t="n">
        <v>0.014</v>
      </c>
      <c r="I188" s="6">
        <f>IF(B188="","",IF(SUM(D188,F188,H188)=0,"",(C188*D188+E188*F188+G188*H188)/SUM(D188,F188,H188)))</f>
        <v/>
      </c>
      <c r="J188" s="7">
        <f>IF(I188="","",ROUND((IF(B188="US",Backend!$Z$211,IF(B188="ECB",Backend!$Z$212,""))-I188)/0.25,0))</f>
        <v/>
      </c>
    </row>
    <row r="189">
      <c r="A189" s="4" t="n">
        <v>46182</v>
      </c>
      <c r="B189" t="inlineStr">
        <is>
          <t>ECB</t>
        </is>
      </c>
      <c r="C189" t="n">
        <v>1.75</v>
      </c>
      <c r="D189" s="5" t="n">
        <v>0.304</v>
      </c>
      <c r="E189" s="6" t="n">
        <v>2</v>
      </c>
      <c r="F189" s="5" t="n">
        <v>0.627</v>
      </c>
      <c r="G189" t="n">
        <v>2.25</v>
      </c>
      <c r="H189" s="5" t="n">
        <v>0.014</v>
      </c>
      <c r="I189" s="6">
        <f>IF(B189="","",IF(SUM(D189,F189,H189)=0,"",(C189*D189+E189*F189+G189*H189)/SUM(D189,F189,H189)))</f>
        <v/>
      </c>
      <c r="J189" s="7">
        <f>IF(I189="","",ROUND((IF(B189="US",Backend!$Z$211,IF(B189="ECB",Backend!$Z$212,""))-I189)/0.25,0))</f>
        <v/>
      </c>
    </row>
    <row r="190">
      <c r="A190" s="4" t="n">
        <v>46224</v>
      </c>
      <c r="B190" t="inlineStr">
        <is>
          <t>ECB</t>
        </is>
      </c>
      <c r="C190" t="n">
        <v>1.75</v>
      </c>
      <c r="D190" s="5" t="n">
        <v>0.31</v>
      </c>
      <c r="E190" s="6" t="n">
        <v>2</v>
      </c>
      <c r="F190" s="5" t="n">
        <v>0.614</v>
      </c>
      <c r="G190" t="n">
        <v>2.25</v>
      </c>
      <c r="H190" s="5" t="n">
        <v>0.013</v>
      </c>
      <c r="I190" s="6">
        <f>IF(B190="","",IF(SUM(D190,F190,H190)=0,"",(C190*D190+E190*F190+G190*H190)/SUM(D190,F190,H190)))</f>
        <v/>
      </c>
      <c r="J190" s="7">
        <f>IF(I190="","",ROUND((IF(B190="US",Backend!$Z$211,IF(B190="ECB",Backend!$Z$212,""))-I190)/0.25,0))</f>
        <v/>
      </c>
    </row>
    <row r="191">
      <c r="A191" s="4" t="n">
        <v>46274</v>
      </c>
      <c r="B191" t="inlineStr">
        <is>
          <t>ECB</t>
        </is>
      </c>
      <c r="C191" t="n">
        <v>1.75</v>
      </c>
      <c r="D191" s="5" t="n">
        <v>0.312</v>
      </c>
      <c r="E191" s="6" t="n">
        <v>2</v>
      </c>
      <c r="F191" s="5" t="n">
        <v>0.612</v>
      </c>
      <c r="G191" t="n">
        <v>2.25</v>
      </c>
      <c r="H191" s="5" t="n">
        <v>0.013</v>
      </c>
      <c r="I191" s="6">
        <f>IF(B191="","",IF(SUM(D191,F191,H191)=0,"",(C191*D191+E191*F191+G191*H191)/SUM(D191,F191,H191)))</f>
        <v/>
      </c>
      <c r="J191" s="7">
        <f>IF(I191="","",ROUND((IF(B191="US",Backend!$Z$211,IF(B191="ECB",Backend!$Z$212,""))-I191)/0.25,0))</f>
        <v/>
      </c>
    </row>
    <row r="210">
      <c r="A210" t="inlineStr">
        <is>
          <t>Date</t>
        </is>
      </c>
      <c r="B210" t="inlineStr">
        <is>
          <t>Category</t>
        </is>
      </c>
      <c r="C210" t="inlineStr">
        <is>
          <t>Event</t>
        </is>
      </c>
      <c r="D210" s="8" t="inlineStr">
        <is>
          <t>Actual</t>
        </is>
      </c>
      <c r="E210" s="8" t="inlineStr">
        <is>
          <t>Forecast</t>
        </is>
      </c>
      <c r="F210" s="8" t="inlineStr">
        <is>
          <t>Previous</t>
        </is>
      </c>
      <c r="G210" s="8" t="inlineStr">
        <is>
          <t>Surprise vs Forecast</t>
        </is>
      </c>
      <c r="H210" s="8" t="inlineStr">
        <is>
          <t>Change vs Prev</t>
        </is>
      </c>
      <c r="I210" s="9" t="inlineStr">
        <is>
          <t>Qualitative</t>
        </is>
      </c>
      <c r="J210" s="10" t="inlineStr">
        <is>
          <t>EffectDirection</t>
        </is>
      </c>
      <c r="K210" s="11" t="inlineStr">
        <is>
          <t>Adj_Surprise</t>
        </is>
      </c>
      <c r="L210" s="11" t="inlineStr">
        <is>
          <t>Adj_ChangeAdj_ChangeAdj_ChangeAdj_ChangeAdj_ChangeAdj_ChangeAdj_ChangeAdj_ChangeAdj_Change</t>
        </is>
      </c>
      <c r="N210" s="12" t="inlineStr">
        <is>
          <t>Date</t>
        </is>
      </c>
      <c r="O210" s="12" t="inlineStr">
        <is>
          <t>Tenor</t>
        </is>
      </c>
      <c r="P210" s="12" t="n"/>
      <c r="Q210" s="12" t="n"/>
      <c r="R210" s="12" t="n"/>
      <c r="S210" s="12" t="n"/>
      <c r="T210" s="12" t="inlineStr">
        <is>
          <t>Δd (1d)</t>
        </is>
      </c>
      <c r="U210" s="12" t="inlineStr">
        <is>
          <t xml:space="preserve"> Δ5d</t>
        </is>
      </c>
      <c r="V210" s="12" t="n"/>
      <c r="W210" s="12" t="n"/>
      <c r="X210" s="12" t="n"/>
      <c r="Y210" s="12" t="n"/>
    </row>
    <row r="211">
      <c r="A211" s="13" t="n">
        <v>45985</v>
      </c>
      <c r="B211" s="14" t="inlineStr">
        <is>
          <t>Growth - EUR</t>
        </is>
      </c>
      <c r="C211" s="15" t="inlineStr">
        <is>
          <t xml:space="preserve"> German ifo Business Climate </t>
        </is>
      </c>
      <c r="D211" s="16" t="n">
        <v>88.09999999999999</v>
      </c>
      <c r="E211" s="16" t="n">
        <v>88.59999999999999</v>
      </c>
      <c r="F211" s="17" t="n">
        <v>88.40000000000001</v>
      </c>
      <c r="G211" s="8">
        <f>IF(NOT(ISNUMBER(D211)),"",IF(NOT(ISNUMBER(E211)),"",D211-E211))</f>
        <v/>
      </c>
      <c r="H211" s="8">
        <f>IF(NOT(ISNUMBER(D211)),"",IF(NOT(ISNUMBER(F211)),"",D211-F211))</f>
        <v/>
      </c>
      <c r="I211" s="8">
        <f>IF(AND(K211="",L211=""),"N/A",IF(AND(ABS(N(K211))&lt;0.0005,ABS(N(L211))&lt;0.0005),"Stable",IF(AND(L211="",ABS(N(K211))&gt;=0.0005),IF(N(K211)&gt;0,"Accelerating","Slowing"),IF(AND(K211="",ABS(N(L211))&gt;=0.0005),IF(N(L211)&gt;0,"Accelerating","Slowing"),IF(AND(N(K211)&gt;0,N(L211)&gt;=0),"Accelerating",IF(AND(N(K211)&lt;0,N(L211)&lt;=0),"Slowing","Mixed"))))))</f>
        <v/>
      </c>
      <c r="J211">
        <f>IF(OR(ISNUMBER(SEARCH("Unemployment",C211)),ISNUMBER(SEARCH("Claims",C211)),ISNUMBER(SEARCH("Jobless",C211)),ISNUMBER(SEARCH("Inventories",C211)),ISNUMBER(SEARCH("Wholesale Inventories",C211)),ISNUMBER(SEARCH("JOLTS Job Openings",C211)),ISNUMBER(SEARCH("Inflation Expectations",C211))),-1,1)</f>
        <v/>
      </c>
      <c r="K211">
        <f>IF(OR(G211="",G211="(NA)"),"",J211*G211)</f>
        <v/>
      </c>
      <c r="L211">
        <f>IF(OR(H211="",H211="(NA)"),"",J211*H211)</f>
        <v/>
      </c>
      <c r="N211" s="18" t="n">
        <v>46006</v>
      </c>
      <c r="O211" s="12" t="inlineStr">
        <is>
          <t>US 2y</t>
        </is>
      </c>
      <c r="P211" s="19" t="n">
        <v>3.497</v>
      </c>
      <c r="Q211" s="19" t="n">
        <v>3.519</v>
      </c>
      <c r="R211" s="19" t="n">
        <v>3.61</v>
      </c>
      <c r="S211" s="19" t="n">
        <v>3.612</v>
      </c>
      <c r="T211" s="19">
        <f>IF(OR(P211="",Q211=""),"",P211-Q211)</f>
        <v/>
      </c>
      <c r="U211" s="19">
        <f>IF(OR(P211="",R211=""),"",P211-R211)</f>
        <v/>
      </c>
      <c r="V211" s="19">
        <f>IF(OR(P211="",S211=""),"",P211-S211)</f>
        <v/>
      </c>
      <c r="W211" s="12">
        <f>IF(P211="","",IF(AND(U211&gt;0.03,V211&gt;0),"Rising",IF(AND(U211&lt;-0.03,V211&lt;0),"Falling","Flat")))</f>
        <v/>
      </c>
      <c r="X211" s="20">
        <f>IF(W211="","",IFERROR(VLOOKUP(W211,Backend!$D$324:$E$337,2,FALSE)*1,0))</f>
        <v/>
      </c>
      <c r="Y211" s="20" t="n"/>
      <c r="Z211" s="5">
        <f>(3.75+4.99)/2</f>
        <v/>
      </c>
      <c r="AA211" t="inlineStr">
        <is>
          <t>Fed_CurrentRate</t>
        </is>
      </c>
    </row>
    <row r="212">
      <c r="A212" s="13" t="n">
        <v>45986</v>
      </c>
      <c r="B212" s="14" t="inlineStr">
        <is>
          <t>Growth - US</t>
        </is>
      </c>
      <c r="C212" s="15" t="inlineStr">
        <is>
          <t xml:space="preserve"> ADP Weekly Employment Change </t>
        </is>
      </c>
      <c r="D212" s="16" t="n">
        <v>-13000</v>
      </c>
      <c r="E212" s="21" t="n">
        <v>-2500</v>
      </c>
      <c r="F212" s="17" t="n"/>
      <c r="G212" s="8">
        <f>IF(NOT(ISNUMBER(D212)),"",IF(NOT(ISNUMBER(E212)),"",D212-E212))</f>
        <v/>
      </c>
      <c r="H212" s="8">
        <f>IF(NOT(ISNUMBER(D212)),"",IF(NOT(ISNUMBER(F212)),"",D212-F212))</f>
        <v/>
      </c>
      <c r="I212" s="8">
        <f>IF(AND(K212="",L212=""),"N/A",IF(AND(ABS(N(K212))&lt;0.0005,ABS(N(L212))&lt;0.0005),"Stable",IF(AND(L212="",ABS(N(K212))&gt;=0.0005),IF(N(K212)&gt;0,"Accelerating","Slowing"),IF(AND(K212="",ABS(N(L212))&gt;=0.0005),IF(N(L212)&gt;0,"Accelerating","Slowing"),IF(AND(N(K212)&gt;0,N(L212)&gt;=0),"Accelerating",IF(AND(N(K212)&lt;0,N(L212)&lt;=0),"Slowing","Mixed"))))))</f>
        <v/>
      </c>
      <c r="J212">
        <f>IF(OR(ISNUMBER(SEARCH("Unemployment",C212)),ISNUMBER(SEARCH("Claims",C212)),ISNUMBER(SEARCH("Jobless",C212)),ISNUMBER(SEARCH("Inventories",C212)),ISNUMBER(SEARCH("Wholesale Inventories",C212)),ISNUMBER(SEARCH("JOLTS Job Openings",C212)),ISNUMBER(SEARCH("Inflation Expectations",C212))),-1,1)</f>
        <v/>
      </c>
      <c r="K212">
        <f>IF(OR(G212="",G212="(NA)"),"",J212*G212)</f>
        <v/>
      </c>
      <c r="L212">
        <f>IF(OR(H212="",H212="(NA)"),"",J212*H212)</f>
        <v/>
      </c>
      <c r="N212" s="18" t="n">
        <v>46006</v>
      </c>
      <c r="O212" s="12" t="inlineStr">
        <is>
          <t>US 5y</t>
        </is>
      </c>
      <c r="P212" s="19" t="n">
        <v>3.719</v>
      </c>
      <c r="Q212" s="19" t="n">
        <v>3.741</v>
      </c>
      <c r="R212" s="19" t="n">
        <v>3.783</v>
      </c>
      <c r="S212" s="19" t="n">
        <v>3.704</v>
      </c>
      <c r="T212" s="19">
        <f>IF(OR(P212="",Q212=""),"",P212-Q212)</f>
        <v/>
      </c>
      <c r="U212" s="19">
        <f>IF(OR(P212="",R212=""),"",P212-R212)</f>
        <v/>
      </c>
      <c r="V212" s="19">
        <f>IF(OR(P212="",S212=""),"",P212-S212)</f>
        <v/>
      </c>
      <c r="W212" s="12">
        <f>IF(P212="","",IF(AND(U212&gt;0.03,V212&gt;0),"Rising",IF(AND(U212&lt;-0.03,V212&lt;0),"Falling","Flat")))</f>
        <v/>
      </c>
      <c r="X212" s="20">
        <f>IF(W212="","",IFERROR(VLOOKUP(W212,Backend!$D$324:$E$337,2,FALSE)*1,0))</f>
        <v/>
      </c>
      <c r="Y212" s="20" t="n"/>
      <c r="Z212" s="5" t="n">
        <v>2</v>
      </c>
      <c r="AA212" t="inlineStr">
        <is>
          <t>ECB_CurrentRate</t>
        </is>
      </c>
    </row>
    <row r="213">
      <c r="A213" s="13" t="n">
        <v>45986</v>
      </c>
      <c r="B213" s="14" t="inlineStr">
        <is>
          <t>Growth - US</t>
        </is>
      </c>
      <c r="C213" s="15" t="inlineStr">
        <is>
          <t xml:space="preserve"> Core Retail Sales m/m </t>
        </is>
      </c>
      <c r="D213" s="22" t="n">
        <v>0.003</v>
      </c>
      <c r="E213" s="22" t="n">
        <v>0.003</v>
      </c>
      <c r="F213" s="22" t="n">
        <v>0.006</v>
      </c>
      <c r="G213" s="8">
        <f>IF(NOT(ISNUMBER(D213)),"",IF(NOT(ISNUMBER(E213)),"",D213-E213))</f>
        <v/>
      </c>
      <c r="H213" s="8">
        <f>IF(NOT(ISNUMBER(D213)),"",IF(NOT(ISNUMBER(F213)),"",D213-F213))</f>
        <v/>
      </c>
      <c r="I213" s="8">
        <f>IF(AND(K213="",L213=""),"N/A",IF(AND(ABS(N(K213))&lt;0.0005,ABS(N(L213))&lt;0.0005),"Stable",IF(AND(L213="",ABS(N(K213))&gt;=0.0005),IF(N(K213)&gt;0,"Accelerating","Slowing"),IF(AND(K213="",ABS(N(L213))&gt;=0.0005),IF(N(L213)&gt;0,"Accelerating","Slowing"),IF(AND(N(K213)&gt;0,N(L213)&gt;=0),"Accelerating",IF(AND(N(K213)&lt;0,N(L213)&lt;=0),"Slowing","Mixed"))))))</f>
        <v/>
      </c>
      <c r="J213">
        <f>IF(OR(ISNUMBER(SEARCH("Unemployment",C213)),ISNUMBER(SEARCH("Claims",C213)),ISNUMBER(SEARCH("Jobless",C213)),ISNUMBER(SEARCH("Inventories",C213)),ISNUMBER(SEARCH("Wholesale Inventories",C213)),ISNUMBER(SEARCH("JOLTS Job Openings",C213)),ISNUMBER(SEARCH("Inflation Expectations",C213))),-1,1)</f>
        <v/>
      </c>
      <c r="K213">
        <f>IF(OR(G213="",G213="(NA)"),"",J213*G213)</f>
        <v/>
      </c>
      <c r="L213">
        <f>IF(OR(H213="",H213="(NA)"),"",J213*H213)</f>
        <v/>
      </c>
      <c r="N213" s="18" t="n">
        <v>46006</v>
      </c>
      <c r="O213" s="12" t="inlineStr">
        <is>
          <t>US 10y</t>
        </is>
      </c>
      <c r="P213" s="19" t="n">
        <v>4.168</v>
      </c>
      <c r="Q213" s="19" t="n">
        <v>4.183</v>
      </c>
      <c r="R213" s="19" t="n">
        <v>4.188</v>
      </c>
      <c r="S213" s="19" t="n">
        <v>4.116</v>
      </c>
      <c r="T213" s="19">
        <f>IF(OR(P213="",Q213=""),"",P213-Q213)</f>
        <v/>
      </c>
      <c r="U213" s="19">
        <f>IF(OR(P213="",R213=""),"",P213-R213)</f>
        <v/>
      </c>
      <c r="V213" s="19">
        <f>IF(OR(P213="",S213=""),"",P213-S213)</f>
        <v/>
      </c>
      <c r="W213" s="12">
        <f>IF(P213="","",IF(AND(U213&gt;0.03,V213&gt;0),"Rising",IF(AND(U213&lt;-0.03,V213&lt;0),"Falling","Flat")))</f>
        <v/>
      </c>
      <c r="X213" s="20">
        <f>IF(W213="","",IFERROR(VLOOKUP(W213,Backend!$D$324:$E$337,2,FALSE)*1,0))</f>
        <v/>
      </c>
      <c r="Y213" s="20" t="n"/>
      <c r="Z213" s="5" t="n">
        <v>0</v>
      </c>
      <c r="AA213" t="inlineStr">
        <is>
          <t>JPY_CurrentRate</t>
        </is>
      </c>
    </row>
    <row r="214">
      <c r="A214" s="13" t="n">
        <v>45986</v>
      </c>
      <c r="B214" s="14" t="inlineStr">
        <is>
          <t>Growth - US</t>
        </is>
      </c>
      <c r="C214" s="15" t="inlineStr">
        <is>
          <t xml:space="preserve"> Retail Sales m/m </t>
        </is>
      </c>
      <c r="D214" s="22" t="n">
        <v>0.002</v>
      </c>
      <c r="E214" s="22" t="n">
        <v>0.004</v>
      </c>
      <c r="F214" s="22" t="n">
        <v>-0.001</v>
      </c>
      <c r="G214" s="8">
        <f>IF(NOT(ISNUMBER(D214)),"",IF(NOT(ISNUMBER(E214)),"",D214-E214))</f>
        <v/>
      </c>
      <c r="H214" s="8">
        <f>IF(NOT(ISNUMBER(D214)),"",IF(NOT(ISNUMBER(F214)),"",D214-F214))</f>
        <v/>
      </c>
      <c r="I214" s="8">
        <f>IF(AND(K214="",L214=""),"N/A",IF(AND(ABS(N(K214))&lt;0.0005,ABS(N(L214))&lt;0.0005),"Stable",IF(AND(L214="",ABS(N(K214))&gt;=0.0005),IF(N(K214)&gt;0,"Accelerating","Slowing"),IF(AND(K214="",ABS(N(L214))&gt;=0.0005),IF(N(L214)&gt;0,"Accelerating","Slowing"),IF(AND(N(K214)&gt;0,N(L214)&gt;=0),"Accelerating",IF(AND(N(K214)&lt;0,N(L214)&lt;=0),"Slowing","Mixed"))))))</f>
        <v/>
      </c>
      <c r="J214">
        <f>IF(OR(ISNUMBER(SEARCH("Unemployment",C214)),ISNUMBER(SEARCH("Claims",C214)),ISNUMBER(SEARCH("Jobless",C214)),ISNUMBER(SEARCH("Inventories",C214)),ISNUMBER(SEARCH("Wholesale Inventories",C214)),ISNUMBER(SEARCH("JOLTS Job Openings",C214)),ISNUMBER(SEARCH("Inflation Expectations",C214))),-1,1)</f>
        <v/>
      </c>
      <c r="K214">
        <f>IF(OR(G214="",G214="(NA)"),"",J214*G214)</f>
        <v/>
      </c>
      <c r="L214">
        <f>IF(OR(H214="",H214="(NA)"),"",J214*H214)</f>
        <v/>
      </c>
      <c r="N214" s="18" t="n">
        <v>46006</v>
      </c>
      <c r="O214" s="12" t="inlineStr">
        <is>
          <t>US 30y</t>
        </is>
      </c>
      <c r="P214" s="19" t="n">
        <v>4.844</v>
      </c>
      <c r="Q214" s="19" t="n">
        <v>4.58</v>
      </c>
      <c r="R214" s="19" t="n">
        <v>4.808</v>
      </c>
      <c r="S214" s="19" t="n">
        <v>4.753</v>
      </c>
      <c r="T214" s="19">
        <f>IF(OR(P214="",Q214=""),"",P214-Q214)</f>
        <v/>
      </c>
      <c r="U214" s="19">
        <f>IF(OR(P214="",R214=""),"",P214-R214)</f>
        <v/>
      </c>
      <c r="V214" s="19">
        <f>IF(OR(P214="",S214=""),"",P214-S214)</f>
        <v/>
      </c>
      <c r="W214" s="12">
        <f>IF(P214="","",IF(AND(U214&gt;0.03,V214&gt;0),"Rising",IF(AND(U214&lt;-0.03,V214&lt;0),"Falling","Flat")))</f>
        <v/>
      </c>
      <c r="X214" s="20">
        <f>IF(W214="","",IFERROR(VLOOKUP(W214,Backend!$D$324:$E$337,2,FALSE)*1,0))</f>
        <v/>
      </c>
      <c r="Y214" s="20" t="n"/>
    </row>
    <row r="215">
      <c r="A215" s="13" t="n">
        <v>45986</v>
      </c>
      <c r="B215" s="14" t="inlineStr">
        <is>
          <t>Growth - US</t>
        </is>
      </c>
      <c r="C215" s="15" t="inlineStr">
        <is>
          <t xml:space="preserve"> CB Consumer Confidence </t>
        </is>
      </c>
      <c r="D215" s="16" t="n">
        <v>88.7</v>
      </c>
      <c r="E215" s="16" t="n">
        <v>93.40000000000001</v>
      </c>
      <c r="F215" s="16" t="n">
        <v>95.5</v>
      </c>
      <c r="G215" s="8">
        <f>IF(NOT(ISNUMBER(D215)),"",IF(NOT(ISNUMBER(E215)),"",D215-E215))</f>
        <v/>
      </c>
      <c r="H215" s="8">
        <f>IF(NOT(ISNUMBER(D215)),"",IF(NOT(ISNUMBER(F215)),"",D215-F215))</f>
        <v/>
      </c>
      <c r="I215" s="8">
        <f>IF(AND(K215="",L215=""),"N/A",IF(AND(ABS(N(K215))&lt;0.0005,ABS(N(L215))&lt;0.0005),"Stable",IF(AND(L215="",ABS(N(K215))&gt;=0.0005),IF(N(K215)&gt;0,"Accelerating","Slowing"),IF(AND(K215="",ABS(N(L215))&gt;=0.0005),IF(N(L215)&gt;0,"Accelerating","Slowing"),IF(AND(N(K215)&gt;0,N(L215)&gt;=0),"Accelerating",IF(AND(N(K215)&lt;0,N(L215)&lt;=0),"Slowing","Mixed"))))))</f>
        <v/>
      </c>
      <c r="J215">
        <f>IF(OR(ISNUMBER(SEARCH("Unemployment",C215)),ISNUMBER(SEARCH("Claims",C215)),ISNUMBER(SEARCH("Jobless",C215)),ISNUMBER(SEARCH("Inventories",C215)),ISNUMBER(SEARCH("Wholesale Inventories",C215)),ISNUMBER(SEARCH("JOLTS Job Openings",C215)),ISNUMBER(SEARCH("Inflation Expectations",C215))),-1,1)</f>
        <v/>
      </c>
      <c r="K215">
        <f>IF(OR(G215="",G215="(NA)"),"",J215*G215)</f>
        <v/>
      </c>
      <c r="L215">
        <f>IF(OR(H215="",H215="(NA)"),"",J215*H215)</f>
        <v/>
      </c>
      <c r="N215" s="12" t="inlineStr">
        <is>
          <t>Date</t>
        </is>
      </c>
      <c r="O215" s="12" t="inlineStr">
        <is>
          <t>Tenor</t>
        </is>
      </c>
      <c r="P215" s="12" t="n"/>
      <c r="Q215" s="12" t="n"/>
      <c r="R215" s="12" t="n"/>
      <c r="S215" s="12" t="n"/>
      <c r="T215" s="12" t="inlineStr">
        <is>
          <t>Δd (1d)</t>
        </is>
      </c>
      <c r="U215" s="12" t="inlineStr">
        <is>
          <t xml:space="preserve"> Δ5d</t>
        </is>
      </c>
      <c r="V215" s="12" t="n"/>
      <c r="W215" s="12" t="n"/>
      <c r="X215" s="12" t="n"/>
      <c r="Y215" s="12" t="n"/>
    </row>
    <row r="216">
      <c r="A216" s="13" t="n">
        <v>45986</v>
      </c>
      <c r="B216" s="14" t="inlineStr">
        <is>
          <t>Inflation – US</t>
        </is>
      </c>
      <c r="C216" s="15" t="inlineStr">
        <is>
          <t xml:space="preserve"> Core PPI m/m </t>
        </is>
      </c>
      <c r="D216" s="22" t="n">
        <v>0.001</v>
      </c>
      <c r="E216" s="17" t="n">
        <v>0.002</v>
      </c>
      <c r="F216" s="22" t="n">
        <v>-0.001</v>
      </c>
      <c r="G216" s="8">
        <f>IF(NOT(ISNUMBER(D216)),"",IF(NOT(ISNUMBER(E216)),"",D216-E216))</f>
        <v/>
      </c>
      <c r="H216" s="8">
        <f>IF(NOT(ISNUMBER(D216)),"",IF(NOT(ISNUMBER(F216)),"",D216-F216))</f>
        <v/>
      </c>
      <c r="I216" s="8">
        <f>IF(AND(K216="",L216=""),"N/A",IF(AND(ABS(N(K216))&lt;0.0005,ABS(N(L216))&lt;0.0005),"Stable",IF(AND(L216="",ABS(N(K216))&gt;=0.0005),IF(N(K216)&gt;0,"Accelerating","Slowing"),IF(AND(K216="",ABS(N(L216))&gt;=0.0005),IF(N(L216)&gt;0,"Accelerating","Slowing"),IF(AND(N(K216)&gt;0,N(L216)&gt;=0),"Accelerating",IF(AND(N(K216)&lt;0,N(L216)&lt;=0),"Slowing","Mixed"))))))</f>
        <v/>
      </c>
      <c r="J216">
        <f>IF(OR(ISNUMBER(SEARCH("Unemployment",C216)),ISNUMBER(SEARCH("Claims",C216)),ISNUMBER(SEARCH("Jobless",C216)),ISNUMBER(SEARCH("Inventories",C216)),ISNUMBER(SEARCH("Wholesale Inventories",C216)),ISNUMBER(SEARCH("JOLTS Job Openings",C216)),ISNUMBER(SEARCH("Inflation Expectations",C216))),-1,1)</f>
        <v/>
      </c>
      <c r="K216">
        <f>IF(OR(G216="",G216="(NA)"),"",J216*G216)</f>
        <v/>
      </c>
      <c r="L216">
        <f>IF(OR(H216="",H216="(NA)"),"",J216*H216)</f>
        <v/>
      </c>
      <c r="N216" s="18" t="n">
        <v>46006</v>
      </c>
      <c r="O216" s="12" t="inlineStr">
        <is>
          <t>US 2s10s</t>
        </is>
      </c>
      <c r="P216" s="19">
        <f>IF(OR(P211="",P213=""),"",P213-P211)</f>
        <v/>
      </c>
      <c r="Q216" s="19">
        <f>IF(OR(Q211="",Q213=""),"",Q213-Q211)</f>
        <v/>
      </c>
      <c r="R216" s="19">
        <f>IF(OR(R211="",R213=""),"",R213-R211)</f>
        <v/>
      </c>
      <c r="S216" s="19">
        <f>IF(OR(S211="",S213=""),"",S213-S211)</f>
        <v/>
      </c>
      <c r="T216" s="19">
        <f>IF(OR(P216="",Q216=""),"",P216-Q216)</f>
        <v/>
      </c>
      <c r="U216" s="19">
        <f>IF(OR(P216="",R216=""),"",P216-R216)</f>
        <v/>
      </c>
      <c r="V216" s="19">
        <f>IF(OR(P216="",S216=""),"",P216-S216)</f>
        <v/>
      </c>
      <c r="W216" s="12">
        <f>IF(P216="","",IF(AND(U216&gt;0.03,V216&gt;0),"Rising",IF(AND(U216&lt;-0.03,V216&lt;0),"Falling","Flat")))</f>
        <v/>
      </c>
      <c r="X216" s="20">
        <f>IF(W216="","",IFERROR(VLOOKUP(W216,Backend!$D$324:$E$337,2,FALSE)*1,0))</f>
        <v/>
      </c>
    </row>
    <row r="217">
      <c r="A217" s="23" t="n">
        <v>45987</v>
      </c>
      <c r="B217" s="14" t="inlineStr">
        <is>
          <t>Growth - US</t>
        </is>
      </c>
      <c r="C217" s="24" t="inlineStr">
        <is>
          <t xml:space="preserve"> Core Durable Goods Orders m/m </t>
        </is>
      </c>
      <c r="D217" s="25" t="n">
        <v>0.006</v>
      </c>
      <c r="E217" s="25" t="n">
        <v>0.002</v>
      </c>
      <c r="F217" s="25" t="n">
        <v>0.003</v>
      </c>
      <c r="G217" s="8">
        <f>IF(NOT(ISNUMBER(D217)),"",IF(NOT(ISNUMBER(E217)),"",D217-E217))</f>
        <v/>
      </c>
      <c r="H217" s="8">
        <f>IF(NOT(ISNUMBER(D217)),"",IF(NOT(ISNUMBER(F217)),"",D217-F217))</f>
        <v/>
      </c>
      <c r="I217" s="8">
        <f>IF(AND(K217="",L217=""),"N/A",IF(AND(ABS(N(K217))&lt;0.0005,ABS(N(L217))&lt;0.0005),"Stable",IF(AND(L217="",ABS(N(K217))&gt;=0.0005),IF(N(K217)&gt;0,"Accelerating","Slowing"),IF(AND(K217="",ABS(N(L217))&gt;=0.0005),IF(N(L217)&gt;0,"Accelerating","Slowing"),IF(AND(N(K217)&gt;0,N(L217)&gt;=0),"Accelerating",IF(AND(N(K217)&lt;0,N(L217)&lt;=0),"Slowing","Mixed"))))))</f>
        <v/>
      </c>
      <c r="J217">
        <f>IF(OR(ISNUMBER(SEARCH("Unemployment",C217)),ISNUMBER(SEARCH("Claims",C217)),ISNUMBER(SEARCH("Jobless",C217)),ISNUMBER(SEARCH("Inventories",C217)),ISNUMBER(SEARCH("Wholesale Inventories",C217)),ISNUMBER(SEARCH("JOLTS Job Openings",C217)),ISNUMBER(SEARCH("Inflation Expectations",C217))),-1,1)</f>
        <v/>
      </c>
      <c r="K217">
        <f>IF(OR(G217="",G217="(NA)"),"",J217*G217)</f>
        <v/>
      </c>
      <c r="L217">
        <f>IF(OR(H217="",H217="(NA)"),"",J217*H217)</f>
        <v/>
      </c>
      <c r="N217" s="18" t="n">
        <v>46006</v>
      </c>
      <c r="O217" s="12" t="inlineStr">
        <is>
          <t>US 5s30s</t>
        </is>
      </c>
      <c r="P217" s="19">
        <f>IF(OR(P212="",P214=""),"",P214-P212)</f>
        <v/>
      </c>
      <c r="Q217" s="19">
        <f>IF(OR(Q212="",Q214=""),"",Q214-Q212)</f>
        <v/>
      </c>
      <c r="R217" s="19">
        <f>IF(OR(R212="",R214=""),"",R214-R212)</f>
        <v/>
      </c>
      <c r="S217" s="19">
        <f>IF(OR(S212="",S214=""),"",S214-S212)</f>
        <v/>
      </c>
      <c r="T217" s="19">
        <f>IF(OR(P217="",Q217=""),"",P217-Q217)</f>
        <v/>
      </c>
      <c r="U217" s="19">
        <f>IF(OR(P217="",R217=""),"",P217-R217)</f>
        <v/>
      </c>
      <c r="V217" s="19">
        <f>IF(OR(P217="",S217=""),"",P217-S217)</f>
        <v/>
      </c>
      <c r="W217" s="12">
        <f>IF(P217="","",IF(AND(U217&gt;0.03,V217&gt;0),"Rising",IF(AND(U217&lt;-0.03,V217&lt;0),"Falling","Flat")))</f>
        <v/>
      </c>
      <c r="X217" s="20">
        <f>IF(W217="","",IFERROR(VLOOKUP(W217,Backend!$D$324:$E$337,2,FALSE)*1,0))</f>
        <v/>
      </c>
    </row>
    <row r="218">
      <c r="A218" s="23" t="n">
        <v>45987</v>
      </c>
      <c r="B218" s="14" t="inlineStr">
        <is>
          <t>Growth - US</t>
        </is>
      </c>
      <c r="C218" s="24" t="inlineStr">
        <is>
          <t xml:space="preserve"> Durable Goods Orders m/m </t>
        </is>
      </c>
      <c r="D218" s="25" t="n">
        <v>0.005</v>
      </c>
      <c r="E218" s="25" t="n">
        <v>0.005</v>
      </c>
      <c r="F218" s="25" t="n">
        <v>0.03</v>
      </c>
      <c r="G218" s="8">
        <f>IF(NOT(ISNUMBER(D218)),"",IF(NOT(ISNUMBER(E218)),"",D218-E218))</f>
        <v/>
      </c>
      <c r="H218" s="8">
        <f>IF(NOT(ISNUMBER(D218)),"",IF(NOT(ISNUMBER(F218)),"",D218-F218))</f>
        <v/>
      </c>
      <c r="I218" s="8">
        <f>IF(AND(K218="",L218=""),"N/A",IF(AND(ABS(N(K218))&lt;0.0005,ABS(N(L218))&lt;0.0005),"Stable",IF(AND(L218="",ABS(N(K218))&gt;=0.0005),IF(N(K218)&gt;0,"Accelerating","Slowing"),IF(AND(K218="",ABS(N(L218))&gt;=0.0005),IF(N(L218)&gt;0,"Accelerating","Slowing"),IF(AND(N(K218)&gt;0,N(L218)&gt;=0),"Accelerating",IF(AND(N(K218)&lt;0,N(L218)&lt;=0),"Slowing","Mixed"))))))</f>
        <v/>
      </c>
      <c r="J218">
        <f>IF(OR(ISNUMBER(SEARCH("Unemployment",C218)),ISNUMBER(SEARCH("Claims",C218)),ISNUMBER(SEARCH("Jobless",C218)),ISNUMBER(SEARCH("Inventories",C218)),ISNUMBER(SEARCH("Wholesale Inventories",C218)),ISNUMBER(SEARCH("JOLTS Job Openings",C218)),ISNUMBER(SEARCH("Inflation Expectations",C218))),-1,1)</f>
        <v/>
      </c>
      <c r="K218">
        <f>IF(OR(G218="",G218="(NA)"),"",J218*G218)</f>
        <v/>
      </c>
      <c r="L218">
        <f>IF(OR(H218="",H218="(NA)"),"",J218*H218)</f>
        <v/>
      </c>
    </row>
    <row r="219">
      <c r="A219" s="23" t="n">
        <v>45987</v>
      </c>
      <c r="B219" s="14" t="inlineStr">
        <is>
          <t>Labour – US</t>
        </is>
      </c>
      <c r="C219" s="24" t="inlineStr">
        <is>
          <t xml:space="preserve"> Unemployment Claims </t>
        </is>
      </c>
      <c r="D219" s="26" t="n">
        <v>216000</v>
      </c>
      <c r="E219" s="26" t="n">
        <v>226000</v>
      </c>
      <c r="F219" s="26" t="n">
        <v>222000</v>
      </c>
      <c r="G219" s="8">
        <f>IF(NOT(ISNUMBER(D219)),"",IF(NOT(ISNUMBER(E219)),"",D219-E219))</f>
        <v/>
      </c>
      <c r="H219" s="8">
        <f>IF(NOT(ISNUMBER(D219)),"",IF(NOT(ISNUMBER(F219)),"",D219-F219))</f>
        <v/>
      </c>
      <c r="I219" s="8">
        <f>IF(AND(K219="",L219=""),"N/A",IF(AND(ABS(N(K219))&lt;0.0005,ABS(N(L219))&lt;0.0005),"Stable",IF(AND(L219="",ABS(N(K219))&gt;=0.0005),IF(N(K219)&gt;0,"Accelerating","Slowing"),IF(AND(K219="",ABS(N(L219))&gt;=0.0005),IF(N(L219)&gt;0,"Accelerating","Slowing"),IF(AND(N(K219)&gt;0,N(L219)&gt;=0),"Accelerating",IF(AND(N(K219)&lt;0,N(L219)&lt;=0),"Slowing","Mixed"))))))</f>
        <v/>
      </c>
      <c r="J219">
        <f>IF(OR(ISNUMBER(SEARCH("Unemployment",C219)),ISNUMBER(SEARCH("Claims",C219)),ISNUMBER(SEARCH("Jobless",C219)),ISNUMBER(SEARCH("Inventories",C219)),ISNUMBER(SEARCH("Wholesale Inventories",C219)),ISNUMBER(SEARCH("JOLTS Job Openings",C219)),ISNUMBER(SEARCH("Inflation Expectations",C219))),-1,1)</f>
        <v/>
      </c>
      <c r="K219">
        <f>IF(OR(G219="",G219="(NA)"),"",J219*G219)</f>
        <v/>
      </c>
      <c r="L219">
        <f>IF(OR(H219="",H219="(NA)"),"",J219*H219)</f>
        <v/>
      </c>
      <c r="N219" s="27" t="inlineStr">
        <is>
          <t>Date</t>
        </is>
      </c>
      <c r="O219" s="27" t="inlineStr">
        <is>
          <t>Tenor</t>
        </is>
      </c>
      <c r="P219" s="27" t="n"/>
      <c r="Q219" s="27" t="n"/>
      <c r="R219" s="27" t="n"/>
      <c r="S219" s="27" t="n"/>
      <c r="T219" s="27" t="inlineStr">
        <is>
          <t>Δd (1d)</t>
        </is>
      </c>
      <c r="U219" s="27" t="inlineStr">
        <is>
          <t xml:space="preserve"> Δ5d</t>
        </is>
      </c>
      <c r="V219" s="27" t="n"/>
      <c r="W219" s="27" t="n"/>
      <c r="X219" s="27" t="n"/>
    </row>
    <row r="220">
      <c r="A220" s="23" t="n">
        <v>45988</v>
      </c>
      <c r="B220" s="14" t="inlineStr">
        <is>
          <t>Growth - EUR</t>
        </is>
      </c>
      <c r="C220" s="24" t="inlineStr">
        <is>
          <t xml:space="preserve"> German GfK Consumer Climate </t>
        </is>
      </c>
      <c r="D220" s="26" t="n">
        <v>-23.2</v>
      </c>
      <c r="E220" s="26" t="n">
        <v>-23.6</v>
      </c>
      <c r="F220" s="26" t="n">
        <v>-24.1</v>
      </c>
      <c r="G220" s="8">
        <f>IF(NOT(ISNUMBER(D220)),"",IF(NOT(ISNUMBER(E220)),"",D220-E220))</f>
        <v/>
      </c>
      <c r="H220" s="8">
        <f>IF(NOT(ISNUMBER(D220)),"",IF(NOT(ISNUMBER(F220)),"",D220-F220))</f>
        <v/>
      </c>
      <c r="I220" s="8">
        <f>IF(AND(K220="",L220=""),"N/A",IF(AND(ABS(N(K220))&lt;0.0005,ABS(N(L220))&lt;0.0005),"Stable",IF(AND(L220="",ABS(N(K220))&gt;=0.0005),IF(N(K220)&gt;0,"Accelerating","Slowing"),IF(AND(K220="",ABS(N(L220))&gt;=0.0005),IF(N(L220)&gt;0,"Accelerating","Slowing"),IF(AND(N(K220)&gt;0,N(L220)&gt;=0),"Accelerating",IF(AND(N(K220)&lt;0,N(L220)&lt;=0),"Slowing","Mixed"))))))</f>
        <v/>
      </c>
      <c r="J220">
        <f>IF(OR(ISNUMBER(SEARCH("Unemployment",C220)),ISNUMBER(SEARCH("Claims",C220)),ISNUMBER(SEARCH("Jobless",C220)),ISNUMBER(SEARCH("Inventories",C220)),ISNUMBER(SEARCH("Wholesale Inventories",C220)),ISNUMBER(SEARCH("JOLTS Job Openings",C220)),ISNUMBER(SEARCH("Inflation Expectations",C220))),-1,1)</f>
        <v/>
      </c>
      <c r="K220">
        <f>IF(OR(G220="",G220="(NA)"),"",J220*G220)</f>
        <v/>
      </c>
      <c r="L220">
        <f>IF(OR(H220="",H220="(NA)"),"",J220*H220)</f>
        <v/>
      </c>
      <c r="N220" s="18" t="n">
        <v>46006</v>
      </c>
      <c r="O220" s="12" t="inlineStr">
        <is>
          <t>DE 2y</t>
        </is>
      </c>
      <c r="P220" s="19" t="n"/>
      <c r="Q220" s="19" t="n"/>
      <c r="R220" s="19" t="n"/>
      <c r="S220" s="19" t="n"/>
      <c r="T220" s="19">
        <f>IF(OR(P220="",Q220=""),"",P220-Q220)</f>
        <v/>
      </c>
      <c r="U220" s="19">
        <f>IF(OR(P220="",R220=""),"",P220-R220)</f>
        <v/>
      </c>
      <c r="V220" s="19">
        <f>IF(OR(P220="",S220=""),"",P220-S220)</f>
        <v/>
      </c>
      <c r="W220" s="12">
        <f>IF(P220="","",IF(AND(U220&gt;0.03,V220&gt;0),"Rising",IF(AND(U220&lt;-0.03,V220&lt;0),"Falling","Flat")))</f>
        <v/>
      </c>
      <c r="X220" s="20" t="n"/>
    </row>
    <row r="221">
      <c r="A221" s="23" t="n">
        <v>45989</v>
      </c>
      <c r="B221" s="14" t="inlineStr">
        <is>
          <t>Inflation – EUR</t>
        </is>
      </c>
      <c r="C221" s="24" t="inlineStr">
        <is>
          <t xml:space="preserve"> German Prelim CPI m/m </t>
        </is>
      </c>
      <c r="D221" s="25" t="n">
        <v>0.002</v>
      </c>
      <c r="E221" s="25" t="n">
        <v>0</v>
      </c>
      <c r="F221" s="25" t="n">
        <v>0.003</v>
      </c>
      <c r="G221" s="8">
        <f>IF(NOT(ISNUMBER(D221)),"",IF(NOT(ISNUMBER(E221)),"",D221-E221))</f>
        <v/>
      </c>
      <c r="H221" s="8">
        <f>IF(NOT(ISNUMBER(D221)),"",IF(NOT(ISNUMBER(F221)),"",D221-F221))</f>
        <v/>
      </c>
      <c r="I221" s="8">
        <f>IF(AND(K221="",L221=""),"N/A",IF(AND(ABS(N(K221))&lt;0.0005,ABS(N(L221))&lt;0.0005),"Stable",IF(AND(L221="",ABS(N(K221))&gt;=0.0005),IF(N(K221)&gt;0,"Accelerating","Slowing"),IF(AND(K221="",ABS(N(L221))&gt;=0.0005),IF(N(L221)&gt;0,"Accelerating","Slowing"),IF(AND(N(K221)&gt;0,N(L221)&gt;=0),"Accelerating",IF(AND(N(K221)&lt;0,N(L221)&lt;=0),"Slowing","Mixed"))))))</f>
        <v/>
      </c>
      <c r="J221">
        <f>IF(OR(ISNUMBER(SEARCH("Unemployment",C221)),ISNUMBER(SEARCH("Claims",C221)),ISNUMBER(SEARCH("Jobless",C221)),ISNUMBER(SEARCH("Inventories",C221)),ISNUMBER(SEARCH("Wholesale Inventories",C221)),ISNUMBER(SEARCH("JOLTS Job Openings",C221)),ISNUMBER(SEARCH("Inflation Expectations",C221))),-1,1)</f>
        <v/>
      </c>
      <c r="K221">
        <f>IF(OR(G221="",G221="(NA)"),"",J221*G221)</f>
        <v/>
      </c>
      <c r="L221">
        <f>IF(OR(H221="",H221="(NA)"),"",J221*H221)</f>
        <v/>
      </c>
      <c r="N221" s="18" t="n">
        <v>46006</v>
      </c>
      <c r="O221" s="12" t="inlineStr">
        <is>
          <t>DE 5y</t>
        </is>
      </c>
      <c r="P221" s="19" t="n"/>
      <c r="Q221" s="19" t="n"/>
      <c r="R221" s="19" t="n"/>
      <c r="S221" s="19" t="n"/>
      <c r="T221" s="19">
        <f>IF(OR(P221="",Q221=""),"",P221-Q221)</f>
        <v/>
      </c>
      <c r="U221" s="19">
        <f>IF(OR(P221="",R221=""),"",P221-R221)</f>
        <v/>
      </c>
      <c r="V221" s="19">
        <f>IF(OR(P221="",S221=""),"",P221-S221)</f>
        <v/>
      </c>
      <c r="W221" s="12">
        <f>IF(P221="","",IF(AND(U221&gt;0.03,V221&gt;0),"Rising",IF(AND(U221&lt;-0.03,V221&lt;0),"Falling","Flat")))</f>
        <v/>
      </c>
      <c r="X221" s="20" t="n"/>
    </row>
    <row r="222">
      <c r="A222" s="23" t="n">
        <v>45989</v>
      </c>
      <c r="B222" s="14" t="inlineStr">
        <is>
          <t>Labour – EUR</t>
        </is>
      </c>
      <c r="C222" s="24" t="inlineStr">
        <is>
          <t xml:space="preserve"> German Unemployment Change </t>
        </is>
      </c>
      <c r="D222" s="26" t="n">
        <v>1000</v>
      </c>
      <c r="E222" s="26" t="n">
        <v>4000</v>
      </c>
      <c r="F222" s="26" t="n">
        <v>-2000</v>
      </c>
      <c r="G222" s="8">
        <f>IF(NOT(ISNUMBER(D222)),"",IF(NOT(ISNUMBER(E222)),"",D222-E222))</f>
        <v/>
      </c>
      <c r="H222" s="8">
        <f>IF(NOT(ISNUMBER(D222)),"",IF(NOT(ISNUMBER(F222)),"",D222-F222))</f>
        <v/>
      </c>
      <c r="I222" s="8">
        <f>IF(AND(K222="",L222=""),"N/A",IF(AND(ABS(N(K222))&lt;0.0005,ABS(N(L222))&lt;0.0005),"Stable",IF(AND(L222="",ABS(N(K222))&gt;=0.0005),IF(N(K222)&gt;0,"Accelerating","Slowing"),IF(AND(K222="",ABS(N(L222))&gt;=0.0005),IF(N(L222)&gt;0,"Accelerating","Slowing"),IF(AND(N(K222)&gt;0,N(L222)&gt;=0),"Accelerating",IF(AND(N(K222)&lt;0,N(L222)&lt;=0),"Slowing","Mixed"))))))</f>
        <v/>
      </c>
      <c r="J222">
        <f>IF(OR(ISNUMBER(SEARCH("Unemployment",C222)),ISNUMBER(SEARCH("Claims",C222)),ISNUMBER(SEARCH("Jobless",C222)),ISNUMBER(SEARCH("Inventories",C222)),ISNUMBER(SEARCH("Wholesale Inventories",C222)),ISNUMBER(SEARCH("JOLTS Job Openings",C222)),ISNUMBER(SEARCH("Inflation Expectations",C222))),-1,1)</f>
        <v/>
      </c>
      <c r="K222">
        <f>IF(OR(G222="",G222="(NA)"),"",J222*G222)</f>
        <v/>
      </c>
      <c r="L222">
        <f>IF(OR(H222="",H222="(NA)"),"",J222*H222)</f>
        <v/>
      </c>
      <c r="N222" s="18" t="n">
        <v>46006</v>
      </c>
      <c r="O222" s="12" t="inlineStr">
        <is>
          <t>DE 10y</t>
        </is>
      </c>
      <c r="P222" s="19" t="n"/>
      <c r="Q222" s="19" t="n"/>
      <c r="R222" s="19" t="n"/>
      <c r="S222" s="19" t="n"/>
      <c r="T222" s="19">
        <f>IF(OR(P222="",Q222=""),"",P222-Q222)</f>
        <v/>
      </c>
      <c r="U222" s="19">
        <f>IF(OR(P222="",R222=""),"",P222-R222)</f>
        <v/>
      </c>
      <c r="V222" s="19">
        <f>IF(OR(P222="",S222=""),"",P222-S222)</f>
        <v/>
      </c>
      <c r="W222" s="12">
        <f>IF(P222="","",IF(AND(U222&gt;0.03,V222&gt;0),"Rising",IF(AND(U222&lt;-0.03,V222&lt;0),"Falling","Flat")))</f>
        <v/>
      </c>
      <c r="X222" s="20" t="n"/>
    </row>
    <row r="223">
      <c r="A223" s="13" t="n">
        <v>45992</v>
      </c>
      <c r="B223" s="14" t="inlineStr">
        <is>
          <t>Growth - US</t>
        </is>
      </c>
      <c r="C223" s="15" t="inlineStr">
        <is>
          <t xml:space="preserve"> Final Manufacturing PMI </t>
        </is>
      </c>
      <c r="D223" s="16" t="n">
        <v>52.2</v>
      </c>
      <c r="E223" s="16" t="n">
        <v>51.9</v>
      </c>
      <c r="F223" s="16" t="n">
        <v>51.9</v>
      </c>
      <c r="G223" s="8">
        <f>IF(NOT(ISNUMBER(D223)),"",IF(NOT(ISNUMBER(E223)),"",D223-E223))</f>
        <v/>
      </c>
      <c r="H223" s="8">
        <f>IF(NOT(ISNUMBER(D223)),"",IF(NOT(ISNUMBER(F223)),"",D223-F223))</f>
        <v/>
      </c>
      <c r="I223" s="8">
        <f>IF(AND(K223="",L223=""),"N/A",IF(AND(ABS(N(K223))&lt;0.0005,ABS(N(L223))&lt;0.0005),"Stable",IF(AND(L223="",ABS(N(K223))&gt;=0.0005),IF(N(K223)&gt;0,"Accelerating","Slowing"),IF(AND(K223="",ABS(N(L223))&gt;=0.0005),IF(N(L223)&gt;0,"Accelerating","Slowing"),IF(AND(N(K223)&gt;0,N(L223)&gt;=0),"Accelerating",IF(AND(N(K223)&lt;0,N(L223)&lt;=0),"Slowing","Mixed"))))))</f>
        <v/>
      </c>
      <c r="J223">
        <f>IF(OR(ISNUMBER(SEARCH("Unemployment",C223)),ISNUMBER(SEARCH("Claims",C223)),ISNUMBER(SEARCH("Jobless",C223)),ISNUMBER(SEARCH("Inventories",C223)),ISNUMBER(SEARCH("Wholesale Inventories",C223)),ISNUMBER(SEARCH("JOLTS Job Openings",C223)),ISNUMBER(SEARCH("Inflation Expectations",C223))),-1,1)</f>
        <v/>
      </c>
      <c r="K223">
        <f>IF(OR(G223="",G223="(NA)"),"",J223*G223)</f>
        <v/>
      </c>
      <c r="L223">
        <f>IF(OR(H223="",H223="(NA)"),"",J223*H223)</f>
        <v/>
      </c>
      <c r="N223" s="18" t="n">
        <v>46006</v>
      </c>
      <c r="O223" s="12" t="inlineStr">
        <is>
          <t>DE 30y</t>
        </is>
      </c>
      <c r="P223" s="19" t="n"/>
      <c r="Q223" s="19" t="n"/>
      <c r="R223" s="19" t="n"/>
      <c r="S223" s="19" t="n"/>
      <c r="T223" s="19">
        <f>IF(OR(P223="",Q223=""),"",P223-Q223)</f>
        <v/>
      </c>
      <c r="U223" s="19">
        <f>IF(OR(P223="",R223=""),"",P223-R223)</f>
        <v/>
      </c>
      <c r="V223" s="19">
        <f>IF(OR(P223="",S223=""),"",P223-S223)</f>
        <v/>
      </c>
      <c r="W223" s="12">
        <f>IF(P223="","",IF(AND(U223&gt;0.03,V223&gt;0),"Rising",IF(AND(U223&lt;-0.03,V223&lt;0),"Falling","Flat")))</f>
        <v/>
      </c>
      <c r="X223" s="20" t="n"/>
    </row>
    <row r="224">
      <c r="A224" s="13" t="n">
        <v>45992</v>
      </c>
      <c r="B224" s="14" t="inlineStr">
        <is>
          <t>Growth - US</t>
        </is>
      </c>
      <c r="C224" s="15" t="inlineStr">
        <is>
          <t xml:space="preserve"> ISM Manufacturing Prices </t>
        </is>
      </c>
      <c r="D224" s="16" t="n">
        <v>58.5</v>
      </c>
      <c r="E224" s="16" t="n">
        <v>59.5</v>
      </c>
      <c r="F224" s="16" t="n">
        <v>58</v>
      </c>
      <c r="G224" s="8">
        <f>IF(NOT(ISNUMBER(D224)),"",IF(NOT(ISNUMBER(E224)),"",D224-E224))</f>
        <v/>
      </c>
      <c r="H224" s="8">
        <f>IF(NOT(ISNUMBER(D224)),"",IF(NOT(ISNUMBER(F224)),"",D224-F224))</f>
        <v/>
      </c>
      <c r="I224" s="8">
        <f>IF(AND(K224="",L224=""),"N/A",IF(AND(ABS(N(K224))&lt;0.0005,ABS(N(L224))&lt;0.0005),"Stable",IF(AND(L224="",ABS(N(K224))&gt;=0.0005),IF(N(K224)&gt;0,"Accelerating","Slowing"),IF(AND(K224="",ABS(N(L224))&gt;=0.0005),IF(N(L224)&gt;0,"Accelerating","Slowing"),IF(AND(N(K224)&gt;0,N(L224)&gt;=0),"Accelerating",IF(AND(N(K224)&lt;0,N(L224)&lt;=0),"Slowing","Mixed"))))))</f>
        <v/>
      </c>
      <c r="J224">
        <f>IF(OR(ISNUMBER(SEARCH("Unemployment",C224)),ISNUMBER(SEARCH("Claims",C224)),ISNUMBER(SEARCH("Jobless",C224)),ISNUMBER(SEARCH("Inventories",C224)),ISNUMBER(SEARCH("Wholesale Inventories",C224)),ISNUMBER(SEARCH("JOLTS Job Openings",C224)),ISNUMBER(SEARCH("Inflation Expectations",C224))),-1,1)</f>
        <v/>
      </c>
      <c r="K224">
        <f>IF(OR(G224="",G224="(NA)"),"",J224*G224)</f>
        <v/>
      </c>
      <c r="L224">
        <f>IF(OR(H224="",H224="(NA)"),"",J224*H224)</f>
        <v/>
      </c>
      <c r="N224" s="27" t="inlineStr">
        <is>
          <t>Date</t>
        </is>
      </c>
      <c r="O224" s="27" t="inlineStr">
        <is>
          <t>Tenor</t>
        </is>
      </c>
      <c r="P224" s="27" t="n"/>
      <c r="Q224" s="27" t="n"/>
      <c r="R224" s="27" t="n"/>
      <c r="S224" s="27" t="n"/>
      <c r="T224" s="27" t="inlineStr">
        <is>
          <t>Δd (1d)</t>
        </is>
      </c>
      <c r="U224" s="27" t="inlineStr">
        <is>
          <t xml:space="preserve"> Δ5d</t>
        </is>
      </c>
      <c r="V224" s="27" t="n"/>
      <c r="W224" s="27" t="n"/>
      <c r="X224" s="27" t="n"/>
    </row>
    <row r="225">
      <c r="A225" s="23" t="n">
        <v>45992</v>
      </c>
      <c r="B225" s="14" t="inlineStr">
        <is>
          <t>Growth - US</t>
        </is>
      </c>
      <c r="C225" s="24" t="inlineStr">
        <is>
          <t xml:space="preserve"> ISM Manufacturing PMI </t>
        </is>
      </c>
      <c r="D225" s="26" t="n">
        <v>48.2</v>
      </c>
      <c r="E225" s="26" t="n">
        <v>49</v>
      </c>
      <c r="F225" s="26" t="n">
        <v>48.7</v>
      </c>
      <c r="G225" s="8">
        <f>IF(NOT(ISNUMBER(D225)),"",IF(NOT(ISNUMBER(E225)),"",D225-E225))</f>
        <v/>
      </c>
      <c r="H225" s="8">
        <f>IF(NOT(ISNUMBER(D225)),"",IF(NOT(ISNUMBER(F225)),"",D225-F225))</f>
        <v/>
      </c>
      <c r="I225" s="8">
        <f>IF(AND(K225="",L225=""),"N/A",IF(AND(ABS(N(K225))&lt;0.0005,ABS(N(L225))&lt;0.0005),"Stable",IF(AND(L225="",ABS(N(K225))&gt;=0.0005),IF(N(K225)&gt;0,"Accelerating","Slowing"),IF(AND(K225="",ABS(N(L225))&gt;=0.0005),IF(N(L225)&gt;0,"Accelerating","Slowing"),IF(AND(N(K225)&gt;0,N(L225)&gt;=0),"Accelerating",IF(AND(N(K225)&lt;0,N(L225)&lt;=0),"Slowing","Mixed"))))))</f>
        <v/>
      </c>
      <c r="J225">
        <f>IF(OR(ISNUMBER(SEARCH("Unemployment",C225)),ISNUMBER(SEARCH("Claims",C225)),ISNUMBER(SEARCH("Jobless",C225)),ISNUMBER(SEARCH("Inventories",C225)),ISNUMBER(SEARCH("Wholesale Inventories",C225)),ISNUMBER(SEARCH("JOLTS Job Openings",C225)),ISNUMBER(SEARCH("Inflation Expectations",C225))),-1,1)</f>
        <v/>
      </c>
      <c r="K225">
        <f>IF(OR(G225="",G225="(NA)"),"",J225*G225)</f>
        <v/>
      </c>
      <c r="L225">
        <f>IF(OR(H225="",H225="(NA)"),"",J225*H225)</f>
        <v/>
      </c>
      <c r="N225" s="18" t="n">
        <v>46006</v>
      </c>
      <c r="O225" s="12" t="inlineStr">
        <is>
          <t>DE 2s10s</t>
        </is>
      </c>
      <c r="P225" s="19">
        <f>IF(OR(P220="",P222=""),"",(P222-P220)*100)</f>
        <v/>
      </c>
      <c r="Q225" s="19">
        <f>IF(OR(Q220="",Q222=""),"",(Q222-Q220)*100)</f>
        <v/>
      </c>
      <c r="R225" s="19">
        <f>IF(OR(R220="",R222=""),"",(R222-R220)*100)</f>
        <v/>
      </c>
      <c r="S225" s="19">
        <f>IF(OR(S220="",S222=""),"",(S222-S220)*100)</f>
        <v/>
      </c>
      <c r="T225" s="19">
        <f>IF(OR(P225="",Q225=""),"",P225-Q225)</f>
        <v/>
      </c>
      <c r="U225" s="19">
        <f>IF(OR(P225="",R225=""),"",P225-R225)</f>
        <v/>
      </c>
      <c r="V225" s="19">
        <f>IF(OR(P225="",S225=""),"",P225-S225)</f>
        <v/>
      </c>
      <c r="W225" s="12">
        <f>IF(P225="","",IF(AND(U225&gt;3,V225&gt;0),"Rising",IF(AND(U225&lt;-3,V225&lt;0),"Falling","Flat")))</f>
        <v/>
      </c>
      <c r="X225" s="20" t="n"/>
    </row>
    <row r="226">
      <c r="A226" s="13" t="n">
        <v>45992</v>
      </c>
      <c r="B226" s="14" t="inlineStr">
        <is>
          <t>Growth - US</t>
        </is>
      </c>
      <c r="C226" s="15" t="inlineStr">
        <is>
          <t xml:space="preserve"> Final Manufacturing PMI </t>
        </is>
      </c>
      <c r="D226" s="16" t="n">
        <v>52.2</v>
      </c>
      <c r="E226" s="16" t="n">
        <v>51.9</v>
      </c>
      <c r="F226" s="16" t="n">
        <v>51.9</v>
      </c>
      <c r="G226" s="8">
        <f>IF(NOT(ISNUMBER(D226)),"",IF(NOT(ISNUMBER(E226)),"",D226-E226))</f>
        <v/>
      </c>
      <c r="H226" s="8">
        <f>IF(NOT(ISNUMBER(D226)),"",IF(NOT(ISNUMBER(F226)),"",D226-F226))</f>
        <v/>
      </c>
      <c r="I226" s="8">
        <f>IF(AND(K226="",L226=""),"N/A",IF(AND(ABS(N(K226))&lt;0.0005,ABS(N(L226))&lt;0.0005),"Stable",IF(AND(L226="",ABS(N(K226))&gt;=0.0005),IF(N(K226)&gt;0,"Accelerating","Slowing"),IF(AND(K226="",ABS(N(L226))&gt;=0.0005),IF(N(L226)&gt;0,"Accelerating","Slowing"),IF(AND(N(K226)&gt;0,N(L226)&gt;=0),"Accelerating",IF(AND(N(K226)&lt;0,N(L226)&lt;=0),"Slowing","Mixed"))))))</f>
        <v/>
      </c>
      <c r="J226">
        <f>IF(OR(ISNUMBER(SEARCH("Unemployment",C226)),ISNUMBER(SEARCH("Claims",C226)),ISNUMBER(SEARCH("Jobless",C226)),ISNUMBER(SEARCH("Inventories",C226)),ISNUMBER(SEARCH("Wholesale Inventories",C226)),ISNUMBER(SEARCH("JOLTS Job Openings",C226)),ISNUMBER(SEARCH("Inflation Expectations",C226))),-1,1)</f>
        <v/>
      </c>
      <c r="K226">
        <f>IF(OR(G226="",G226="(NA)"),"",J226*G226)</f>
        <v/>
      </c>
      <c r="L226">
        <f>IF(OR(H226="",H226="(NA)"),"",J226*H226)</f>
        <v/>
      </c>
      <c r="N226" s="18" t="n">
        <v>46006</v>
      </c>
      <c r="O226" s="12" t="inlineStr">
        <is>
          <t>DE 5s30s</t>
        </is>
      </c>
      <c r="P226" s="19">
        <f>IF(OR(P221="",P223=""),"",(P223-P221)*100)</f>
        <v/>
      </c>
      <c r="Q226" s="19">
        <f>IF(OR(Q221="",Q223=""),"",(Q223-Q221)*100)</f>
        <v/>
      </c>
      <c r="R226" s="19">
        <f>IF(OR(R221="",R223=""),"",(R223-R221)*100)</f>
        <v/>
      </c>
      <c r="S226" s="19">
        <f>IF(OR(S221="",S223=""),"",(S223-S221)*100)</f>
        <v/>
      </c>
      <c r="T226" s="19">
        <f>IF(OR(P226="",Q226=""),"",P226-Q226)</f>
        <v/>
      </c>
      <c r="U226" s="19">
        <f>IF(OR(P226="",R226=""),"",P226-R226)</f>
        <v/>
      </c>
      <c r="V226" s="19">
        <f>IF(OR(P226="",S226=""),"",P226-S226)</f>
        <v/>
      </c>
      <c r="W226" s="12">
        <f>IF(P226="","",IF(AND(U226&gt;3,V226&gt;0),"Rising",IF(AND(U226&lt;-3,V226&lt;0),"Falling","Flat")))</f>
        <v/>
      </c>
      <c r="X226" s="20" t="n"/>
    </row>
    <row r="227">
      <c r="A227" s="13" t="n">
        <v>45992</v>
      </c>
      <c r="B227" s="14" t="inlineStr">
        <is>
          <t>Growth - US</t>
        </is>
      </c>
      <c r="C227" s="15" t="inlineStr">
        <is>
          <t xml:space="preserve"> ISM Manufacturing Prices </t>
        </is>
      </c>
      <c r="D227" s="16" t="n">
        <v>58.5</v>
      </c>
      <c r="E227" s="16" t="n">
        <v>59.5</v>
      </c>
      <c r="F227" s="16" t="n">
        <v>58</v>
      </c>
      <c r="G227" s="8">
        <f>IF(NOT(ISNUMBER(D227)),"",IF(NOT(ISNUMBER(E227)),"",D227-E227))</f>
        <v/>
      </c>
      <c r="H227" s="8">
        <f>IF(NOT(ISNUMBER(D227)),"",IF(NOT(ISNUMBER(F227)),"",D227-F227))</f>
        <v/>
      </c>
      <c r="I227" s="8">
        <f>IF(AND(K227="",L227=""),"N/A",IF(AND(ABS(N(K227))&lt;0.0005,ABS(N(L227))&lt;0.0005),"Stable",IF(AND(L227="",ABS(N(K227))&gt;=0.0005),IF(N(K227)&gt;0,"Accelerating","Slowing"),IF(AND(K227="",ABS(N(L227))&gt;=0.0005),IF(N(L227)&gt;0,"Accelerating","Slowing"),IF(AND(N(K227)&gt;0,N(L227)&gt;=0),"Accelerating",IF(AND(N(K227)&lt;0,N(L227)&lt;=0),"Slowing","Mixed"))))))</f>
        <v/>
      </c>
      <c r="J227">
        <f>IF(OR(ISNUMBER(SEARCH("Unemployment",C227)),ISNUMBER(SEARCH("Claims",C227)),ISNUMBER(SEARCH("Jobless",C227)),ISNUMBER(SEARCH("Inventories",C227)),ISNUMBER(SEARCH("Wholesale Inventories",C227)),ISNUMBER(SEARCH("JOLTS Job Openings",C227)),ISNUMBER(SEARCH("Inflation Expectations",C227))),-1,1)</f>
        <v/>
      </c>
      <c r="K227">
        <f>IF(OR(G227="",G227="(NA)"),"",J227*G227)</f>
        <v/>
      </c>
      <c r="L227">
        <f>IF(OR(H227="",H227="(NA)"),"",J227*H227)</f>
        <v/>
      </c>
    </row>
    <row r="228">
      <c r="A228" s="23" t="n">
        <v>45992</v>
      </c>
      <c r="B228" s="14" t="inlineStr">
        <is>
          <t>Growth - US</t>
        </is>
      </c>
      <c r="C228" s="24" t="inlineStr">
        <is>
          <t xml:space="preserve"> ISM Manufacturing PMI </t>
        </is>
      </c>
      <c r="D228" s="26" t="n">
        <v>48.2</v>
      </c>
      <c r="E228" s="26" t="n">
        <v>49</v>
      </c>
      <c r="F228" s="26" t="n">
        <v>48.7</v>
      </c>
      <c r="G228" s="8">
        <f>IF(NOT(ISNUMBER(D228)),"",IF(NOT(ISNUMBER(E228)),"",D228-E228))</f>
        <v/>
      </c>
      <c r="H228" s="8">
        <f>IF(NOT(ISNUMBER(D228)),"",IF(NOT(ISNUMBER(F228)),"",D228-F228))</f>
        <v/>
      </c>
      <c r="I228" s="8">
        <f>IF(AND(K228="",L228=""),"N/A",IF(AND(ABS(N(K228))&lt;0.0005,ABS(N(L228))&lt;0.0005),"Stable",IF(AND(L228="",ABS(N(K228))&gt;=0.0005),IF(N(K228)&gt;0,"Accelerating","Slowing"),IF(AND(K228="",ABS(N(L228))&gt;=0.0005),IF(N(L228)&gt;0,"Accelerating","Slowing"),IF(AND(N(K228)&gt;0,N(L228)&gt;=0),"Accelerating",IF(AND(N(K228)&lt;0,N(L228)&lt;=0),"Slowing","Mixed"))))))</f>
        <v/>
      </c>
      <c r="J228">
        <f>IF(OR(ISNUMBER(SEARCH("Unemployment",C228)),ISNUMBER(SEARCH("Claims",C228)),ISNUMBER(SEARCH("Jobless",C228)),ISNUMBER(SEARCH("Inventories",C228)),ISNUMBER(SEARCH("Wholesale Inventories",C228)),ISNUMBER(SEARCH("JOLTS Job Openings",C228)),ISNUMBER(SEARCH("Inflation Expectations",C228))),-1,1)</f>
        <v/>
      </c>
      <c r="K228">
        <f>IF(OR(G228="",G228="(NA)"),"",J228*G228)</f>
        <v/>
      </c>
      <c r="L228">
        <f>IF(OR(H228="",H228="(NA)"),"",J228*H228)</f>
        <v/>
      </c>
      <c r="N228" s="27" t="inlineStr">
        <is>
          <t>Date</t>
        </is>
      </c>
      <c r="O228" s="27" t="inlineStr">
        <is>
          <t>Tenor</t>
        </is>
      </c>
      <c r="P228" s="27" t="n"/>
      <c r="Q228" s="27" t="n"/>
      <c r="R228" s="27" t="n"/>
      <c r="S228" s="27" t="n"/>
      <c r="T228" s="27" t="inlineStr">
        <is>
          <t>Δd (1d)</t>
        </is>
      </c>
      <c r="U228" s="27" t="inlineStr">
        <is>
          <t xml:space="preserve"> Δ5d</t>
        </is>
      </c>
      <c r="V228" s="27" t="n"/>
      <c r="W228" s="27" t="n"/>
      <c r="X228" s="27" t="n"/>
    </row>
    <row r="229">
      <c r="A229" s="13" t="n">
        <v>45993</v>
      </c>
      <c r="B229" s="14" t="inlineStr">
        <is>
          <t>Growth - US</t>
        </is>
      </c>
      <c r="C229" s="15" t="inlineStr">
        <is>
          <t xml:space="preserve"> FOMC Member Bowman Speaks </t>
        </is>
      </c>
      <c r="D229" s="16" t="inlineStr">
        <is>
          <t xml:space="preserve"> (NA) </t>
        </is>
      </c>
      <c r="E229" s="16" t="inlineStr">
        <is>
          <t xml:space="preserve"> (NA) </t>
        </is>
      </c>
      <c r="F229" s="16" t="inlineStr">
        <is>
          <t xml:space="preserve"> (NA)</t>
        </is>
      </c>
      <c r="G229" s="8">
        <f>IF(NOT(ISNUMBER(D229)),"",IF(NOT(ISNUMBER(E229)),"",D229-E229))</f>
        <v/>
      </c>
      <c r="H229" s="8">
        <f>IF(NOT(ISNUMBER(D229)),"",IF(NOT(ISNUMBER(F229)),"",D229-F229))</f>
        <v/>
      </c>
      <c r="I229" s="8">
        <f>IF(AND(K229="",L229=""),"N/A",IF(AND(ABS(N(K229))&lt;0.0005,ABS(N(L229))&lt;0.0005),"Stable",IF(AND(L229="",ABS(N(K229))&gt;=0.0005),IF(N(K229)&gt;0,"Accelerating","Slowing"),IF(AND(K229="",ABS(N(L229))&gt;=0.0005),IF(N(L229)&gt;0,"Accelerating","Slowing"),IF(AND(N(K229)&gt;0,N(L229)&gt;=0),"Accelerating",IF(AND(N(K229)&lt;0,N(L229)&lt;=0),"Slowing","Mixed"))))))</f>
        <v/>
      </c>
      <c r="J229">
        <f>IF(OR(ISNUMBER(SEARCH("Unemployment",C229)),ISNUMBER(SEARCH("Claims",C229)),ISNUMBER(SEARCH("Jobless",C229)),ISNUMBER(SEARCH("Inventories",C229)),ISNUMBER(SEARCH("Wholesale Inventories",C229)),ISNUMBER(SEARCH("JOLTS Job Openings",C229)),ISNUMBER(SEARCH("Inflation Expectations",C229))),-1,1)</f>
        <v/>
      </c>
      <c r="K229">
        <f>IF(OR(G229="",G229="(NA)"),"",J229*G229)</f>
        <v/>
      </c>
      <c r="L229">
        <f>IF(OR(H229="",H229="(NA)"),"",J229*H229)</f>
        <v/>
      </c>
      <c r="N229" s="18" t="n">
        <v>46006</v>
      </c>
      <c r="O229" s="12" t="inlineStr">
        <is>
          <t>JP 2y</t>
        </is>
      </c>
      <c r="P229" s="19" t="n"/>
      <c r="Q229" s="19" t="n"/>
      <c r="R229" s="19" t="n"/>
      <c r="S229" s="19" t="n"/>
      <c r="T229" s="19">
        <f>IF(OR(P229="",Q229=""),"",P229-Q229)</f>
        <v/>
      </c>
      <c r="U229" s="19">
        <f>IF(OR(P229="",R229=""),"",P229-R229)</f>
        <v/>
      </c>
      <c r="V229" s="19">
        <f>IF(OR(P229="",S229=""),"",P229-S229)</f>
        <v/>
      </c>
      <c r="W229" s="12">
        <f>IF(P229="","",IF(AND(U229&gt;0.03,V229&gt;0),"Rising",IF(AND(U229&lt;-0.03,V229&lt;0),"Falling","Flat")))</f>
        <v/>
      </c>
      <c r="X229" s="20" t="n"/>
    </row>
    <row r="230">
      <c r="A230" s="13" t="n">
        <v>45993</v>
      </c>
      <c r="B230" s="14" t="inlineStr">
        <is>
          <t>Growth - US</t>
        </is>
      </c>
      <c r="C230" s="15" t="inlineStr">
        <is>
          <t xml:space="preserve"> Import Prices m/m </t>
        </is>
      </c>
      <c r="D230" s="22" t="n">
        <v>0</v>
      </c>
      <c r="E230" s="22" t="n">
        <v>0.001</v>
      </c>
      <c r="F230" s="22" t="n">
        <v>0.001</v>
      </c>
      <c r="G230" s="8">
        <f>IF(NOT(ISNUMBER(D230)),"",IF(NOT(ISNUMBER(E230)),"",D230-E230))</f>
        <v/>
      </c>
      <c r="H230" s="8">
        <f>IF(NOT(ISNUMBER(D230)),"",IF(NOT(ISNUMBER(F230)),"",D230-F230))</f>
        <v/>
      </c>
      <c r="I230" s="8">
        <f>IF(AND(K230="",L230=""),"N/A",IF(AND(ABS(N(K230))&lt;0.0005,ABS(N(L230))&lt;0.0005),"Stable",IF(AND(L230="",ABS(N(K230))&gt;=0.0005),IF(N(K230)&gt;0,"Accelerating","Slowing"),IF(AND(K230="",ABS(N(L230))&gt;=0.0005),IF(N(L230)&gt;0,"Accelerating","Slowing"),IF(AND(N(K230)&gt;0,N(L230)&gt;=0),"Accelerating",IF(AND(N(K230)&lt;0,N(L230)&lt;=0),"Slowing","Mixed"))))))</f>
        <v/>
      </c>
      <c r="J230">
        <f>IF(OR(ISNUMBER(SEARCH("Unemployment",C230)),ISNUMBER(SEARCH("Claims",C230)),ISNUMBER(SEARCH("Jobless",C230)),ISNUMBER(SEARCH("Inventories",C230)),ISNUMBER(SEARCH("Wholesale Inventories",C230)),ISNUMBER(SEARCH("JOLTS Job Openings",C230)),ISNUMBER(SEARCH("Inflation Expectations",C230))),-1,1)</f>
        <v/>
      </c>
      <c r="K230">
        <f>IF(OR(G230="",G230="(NA)"),"",J230*G230)</f>
        <v/>
      </c>
      <c r="L230">
        <f>IF(OR(H230="",H230="(NA)"),"",J230*H230)</f>
        <v/>
      </c>
      <c r="N230" s="18" t="n">
        <v>46006</v>
      </c>
      <c r="O230" s="12" t="inlineStr">
        <is>
          <t>JP 5y</t>
        </is>
      </c>
      <c r="P230" s="19" t="n"/>
      <c r="Q230" s="19" t="n"/>
      <c r="R230" s="19" t="n"/>
      <c r="S230" s="19" t="n"/>
      <c r="T230" s="19">
        <f>IF(OR(P230="",Q230=""),"",P230-Q230)</f>
        <v/>
      </c>
      <c r="U230" s="19">
        <f>IF(OR(P230="",R230=""),"",P230-R230)</f>
        <v/>
      </c>
      <c r="V230" s="19">
        <f>IF(OR(P230="",S230=""),"",P230-S230)</f>
        <v/>
      </c>
      <c r="W230" s="12">
        <f>IF(P230="","",IF(AND(U230&gt;0.03,V230&gt;0),"Rising",IF(AND(U230&lt;-0.03,V230&lt;0),"Falling","Flat")))</f>
        <v/>
      </c>
      <c r="X230" s="20" t="n"/>
    </row>
    <row r="231">
      <c r="A231" s="13" t="n">
        <v>45993</v>
      </c>
      <c r="B231" s="14" t="inlineStr">
        <is>
          <t>Growth - US</t>
        </is>
      </c>
      <c r="C231" s="15" t="inlineStr">
        <is>
          <t xml:space="preserve"> Capacity Utilization Rate </t>
        </is>
      </c>
      <c r="D231" s="22" t="n">
        <v>0.759</v>
      </c>
      <c r="E231" s="22" t="n">
        <v>0.769</v>
      </c>
      <c r="F231" s="22" t="n">
        <v>0.759</v>
      </c>
      <c r="G231" s="8">
        <f>IF(NOT(ISNUMBER(D231)),"",IF(NOT(ISNUMBER(E231)),"",D231-E231))</f>
        <v/>
      </c>
      <c r="H231" s="8">
        <f>IF(NOT(ISNUMBER(D231)),"",IF(NOT(ISNUMBER(F231)),"",D231-F231))</f>
        <v/>
      </c>
      <c r="I231" s="8">
        <f>IF(AND(K231="",L231=""),"N/A",IF(AND(ABS(N(K231))&lt;0.0005,ABS(N(L231))&lt;0.0005),"Stable",IF(AND(L231="",ABS(N(K231))&gt;=0.0005),IF(N(K231)&gt;0,"Accelerating","Slowing"),IF(AND(K231="",ABS(N(L231))&gt;=0.0005),IF(N(L231)&gt;0,"Accelerating","Slowing"),IF(AND(N(K231)&gt;0,N(L231)&gt;=0),"Accelerating",IF(AND(N(K231)&lt;0,N(L231)&lt;=0),"Slowing","Mixed"))))))</f>
        <v/>
      </c>
      <c r="J231">
        <f>IF(OR(ISNUMBER(SEARCH("Unemployment",C231)),ISNUMBER(SEARCH("Claims",C231)),ISNUMBER(SEARCH("Jobless",C231)),ISNUMBER(SEARCH("Inventories",C231)),ISNUMBER(SEARCH("Wholesale Inventories",C231)),ISNUMBER(SEARCH("JOLTS Job Openings",C231)),ISNUMBER(SEARCH("Inflation Expectations",C231))),-1,1)</f>
        <v/>
      </c>
      <c r="K231">
        <f>IF(OR(G231="",G231="(NA)"),"",J231*G231)</f>
        <v/>
      </c>
      <c r="L231">
        <f>IF(OR(H231="",H231="(NA)"),"",J231*H231)</f>
        <v/>
      </c>
      <c r="N231" s="18" t="n">
        <v>46006</v>
      </c>
      <c r="O231" s="12" t="inlineStr">
        <is>
          <t>JP 10y</t>
        </is>
      </c>
      <c r="P231" s="19" t="n"/>
      <c r="Q231" s="19" t="n"/>
      <c r="R231" s="19" t="n"/>
      <c r="S231" s="19" t="n"/>
      <c r="T231" s="19">
        <f>IF(OR(P231="",Q231=""),"",P231-Q231)</f>
        <v/>
      </c>
      <c r="U231" s="19">
        <f>IF(OR(P231="",R231=""),"",P231-R231)</f>
        <v/>
      </c>
      <c r="V231" s="19">
        <f>IF(OR(P231="",S231=""),"",P231-S231)</f>
        <v/>
      </c>
      <c r="W231" s="12">
        <f>IF(P231="","",IF(AND(U231&gt;0.03,V231&gt;0),"Rising",IF(AND(U231&lt;-0.03,V231&lt;0),"Falling","Flat")))</f>
        <v/>
      </c>
      <c r="X231" s="20" t="n"/>
    </row>
    <row r="232">
      <c r="A232" s="23" t="n">
        <v>45993</v>
      </c>
      <c r="B232" s="28" t="inlineStr">
        <is>
          <t>Growth - US</t>
        </is>
      </c>
      <c r="C232" s="24" t="inlineStr">
        <is>
          <t xml:space="preserve"> ISM Services PMI </t>
        </is>
      </c>
      <c r="D232" s="26" t="n">
        <v>52.6</v>
      </c>
      <c r="E232" s="26" t="n">
        <v>52</v>
      </c>
      <c r="F232" s="26" t="n">
        <v>52.4</v>
      </c>
      <c r="G232" s="8">
        <f>IF(NOT(ISNUMBER(D232)),"",IF(NOT(ISNUMBER(E232)),"",D232-E232))</f>
        <v/>
      </c>
      <c r="H232" s="8">
        <f>IF(NOT(ISNUMBER(D232)),"",IF(NOT(ISNUMBER(F232)),"",D232-F232))</f>
        <v/>
      </c>
      <c r="I232" s="8">
        <f>IF(AND(K232="",L232=""),"N/A",IF(AND(ABS(N(K232))&lt;0.0005,ABS(N(L232))&lt;0.0005),"Stable",IF(AND(L232="",ABS(N(K232))&gt;=0.0005),IF(N(K232)&gt;0,"Accelerating","Slowing"),IF(AND(K232="",ABS(N(L232))&gt;=0.0005),IF(N(L232)&gt;0,"Accelerating","Slowing"),IF(AND(N(K232)&gt;0,N(L232)&gt;=0),"Accelerating",IF(AND(N(K232)&lt;0,N(L232)&lt;=0),"Slowing","Mixed"))))))</f>
        <v/>
      </c>
      <c r="J232">
        <f>IF(OR(ISNUMBER(SEARCH("Unemployment",C232)),ISNUMBER(SEARCH("Claims",C232)),ISNUMBER(SEARCH("Jobless",C232)),ISNUMBER(SEARCH("Inventories",C232)),ISNUMBER(SEARCH("Wholesale Inventories",C232)),ISNUMBER(SEARCH("JOLTS Job Openings",C232)),ISNUMBER(SEARCH("Inflation Expectations",C232))),-1,1)</f>
        <v/>
      </c>
      <c r="K232">
        <f>IF(OR(G232="",G232="(NA)"),"",J232*G232)</f>
        <v/>
      </c>
      <c r="L232">
        <f>IF(OR(H232="",H232="(NA)"),"",J232*H232)</f>
        <v/>
      </c>
      <c r="N232" s="18" t="n">
        <v>46006</v>
      </c>
      <c r="O232" s="12" t="inlineStr">
        <is>
          <t>JP 30y</t>
        </is>
      </c>
      <c r="P232" s="19" t="n"/>
      <c r="Q232" s="19" t="n"/>
      <c r="R232" s="19" t="n"/>
      <c r="S232" s="19" t="n"/>
      <c r="T232" s="19">
        <f>IF(OR(P232="",Q232=""),"",P232-Q232)</f>
        <v/>
      </c>
      <c r="U232" s="19">
        <f>IF(OR(P232="",R232=""),"",P232-R232)</f>
        <v/>
      </c>
      <c r="V232" s="19">
        <f>IF(OR(P232="",S232=""),"",P232-S232)</f>
        <v/>
      </c>
      <c r="W232" s="12">
        <f>IF(P232="","",IF(AND(U232&gt;0.03,V232&gt;0),"Rising",IF(AND(U232&lt;-0.03,V232&lt;0),"Falling","Flat")))</f>
        <v/>
      </c>
      <c r="X232" s="20" t="n"/>
    </row>
    <row r="233">
      <c r="A233" s="13" t="n">
        <v>45995</v>
      </c>
      <c r="B233" s="28" t="inlineStr">
        <is>
          <t>Growth - US</t>
        </is>
      </c>
      <c r="C233" s="15" t="inlineStr">
        <is>
          <t xml:space="preserve"> Factory Orders m/m </t>
        </is>
      </c>
      <c r="D233" s="22" t="n">
        <v>0.002</v>
      </c>
      <c r="E233" s="22" t="n">
        <v>0.003</v>
      </c>
      <c r="F233" s="22" t="n">
        <v>-0.03</v>
      </c>
      <c r="G233" s="8">
        <f>IF(NOT(ISNUMBER(D233)),"",IF(NOT(ISNUMBER(E233)),"",D233-E233))</f>
        <v/>
      </c>
      <c r="H233" s="8">
        <f>IF(NOT(ISNUMBER(D233)),"",IF(NOT(ISNUMBER(F233)),"",D233-F233))</f>
        <v/>
      </c>
      <c r="I233" s="8">
        <f>IF(AND(K233="",L233=""),"N/A",IF(AND(ABS(N(K233))&lt;0.0005,ABS(N(L233))&lt;0.0005),"Stable",IF(AND(L233="",ABS(N(K233))&gt;=0.0005),IF(N(K233)&gt;0,"Accelerating","Slowing"),IF(AND(K233="",ABS(N(L233))&gt;=0.0005),IF(N(L233)&gt;0,"Accelerating","Slowing"),IF(AND(N(K233)&gt;0,N(L233)&gt;=0),"Accelerating",IF(AND(N(K233)&lt;0,N(L233)&lt;=0),"Slowing","Mixed"))))))</f>
        <v/>
      </c>
      <c r="J233">
        <f>IF(OR(ISNUMBER(SEARCH("Unemployment",C233)),ISNUMBER(SEARCH("Claims",C233)),ISNUMBER(SEARCH("Jobless",C233)),ISNUMBER(SEARCH("Inventories",C233)),ISNUMBER(SEARCH("Wholesale Inventories",C233)),ISNUMBER(SEARCH("JOLTS Job Openings",C233)),ISNUMBER(SEARCH("Inflation Expectations",C233))),-1,1)</f>
        <v/>
      </c>
      <c r="K233">
        <f>IF(OR(G233="",G233="(NA)"),"",J233*G233)</f>
        <v/>
      </c>
      <c r="L233">
        <f>IF(OR(H233="",H233="(NA)"),"",J233*H233)</f>
        <v/>
      </c>
      <c r="N233" s="27" t="inlineStr">
        <is>
          <t>Date</t>
        </is>
      </c>
      <c r="O233" s="27" t="inlineStr">
        <is>
          <t>Tenor</t>
        </is>
      </c>
      <c r="P233" s="27" t="n"/>
      <c r="Q233" s="27" t="n"/>
      <c r="R233" s="27" t="n"/>
      <c r="S233" s="27" t="n"/>
      <c r="T233" s="27" t="inlineStr">
        <is>
          <t>Δd (1d)</t>
        </is>
      </c>
      <c r="U233" s="27" t="inlineStr">
        <is>
          <t xml:space="preserve"> Δ5d</t>
        </is>
      </c>
      <c r="V233" s="27" t="n"/>
      <c r="W233" s="27" t="n"/>
      <c r="X233" s="27" t="n"/>
    </row>
    <row r="234">
      <c r="A234" s="23" t="n">
        <v>45995</v>
      </c>
      <c r="B234" s="28" t="inlineStr">
        <is>
          <t>Labour – US</t>
        </is>
      </c>
      <c r="C234" s="24" t="inlineStr">
        <is>
          <t xml:space="preserve"> Unemployment Claims </t>
        </is>
      </c>
      <c r="D234" s="26" t="n">
        <v>191000</v>
      </c>
      <c r="E234" s="26" t="n">
        <v>219000</v>
      </c>
      <c r="F234" s="26" t="n">
        <v>218000</v>
      </c>
      <c r="G234" s="8">
        <f>IF(NOT(ISNUMBER(D234)),"",IF(NOT(ISNUMBER(E234)),"",D234-E234))</f>
        <v/>
      </c>
      <c r="H234" s="8">
        <f>IF(NOT(ISNUMBER(D234)),"",IF(NOT(ISNUMBER(F234)),"",D234-F234))</f>
        <v/>
      </c>
      <c r="I234" s="8">
        <f>IF(AND(K234="",L234=""),"N/A",IF(AND(ABS(N(K234))&lt;0.0005,ABS(N(L234))&lt;0.0005),"Stable",IF(AND(L234="",ABS(N(K234))&gt;=0.0005),IF(N(K234)&gt;0,"Accelerating","Slowing"),IF(AND(K234="",ABS(N(L234))&gt;=0.0005),IF(N(L234)&gt;0,"Accelerating","Slowing"),IF(AND(N(K234)&gt;0,N(L234)&gt;=0),"Accelerating",IF(AND(N(K234)&lt;0,N(L234)&lt;=0),"Slowing","Mixed"))))))</f>
        <v/>
      </c>
      <c r="J234">
        <f>IF(OR(ISNUMBER(SEARCH("Unemployment",C234)),ISNUMBER(SEARCH("Claims",C234)),ISNUMBER(SEARCH("Jobless",C234)),ISNUMBER(SEARCH("Inventories",C234)),ISNUMBER(SEARCH("Wholesale Inventories",C234)),ISNUMBER(SEARCH("JOLTS Job Openings",C234)),ISNUMBER(SEARCH("Inflation Expectations",C234))),-1,1)</f>
        <v/>
      </c>
      <c r="K234">
        <f>IF(OR(G234="",G234="(NA)"),"",J234*G234)</f>
        <v/>
      </c>
      <c r="L234">
        <f>IF(OR(H234="",H234="(NA)"),"",J234*H234)</f>
        <v/>
      </c>
      <c r="N234" s="18" t="n">
        <v>46006</v>
      </c>
      <c r="O234" s="12" t="inlineStr">
        <is>
          <t>JP 2s10s</t>
        </is>
      </c>
      <c r="P234" s="19">
        <f>IF(OR(P229="",P231=""),"",(P231-P229)*100)</f>
        <v/>
      </c>
      <c r="Q234" s="19">
        <f>IF(OR(Q229="",Q231=""),"",(Q231-Q229)*100)</f>
        <v/>
      </c>
      <c r="R234" s="19">
        <f>IF(OR(R229="",R231=""),"",(R231-R229)*100)</f>
        <v/>
      </c>
      <c r="S234" s="19">
        <f>IF(OR(S229="",S231=""),"",(S231-S229)*100)</f>
        <v/>
      </c>
      <c r="T234" s="19">
        <f>IF(OR(P234="",Q234=""),"",P234-Q234)</f>
        <v/>
      </c>
      <c r="U234" s="19">
        <f>IF(OR(P234="",R234=""),"",P234-R234)</f>
        <v/>
      </c>
      <c r="V234" s="19">
        <f>IF(OR(P234="",S234=""),"",P234-S234)</f>
        <v/>
      </c>
      <c r="W234" s="12">
        <f>IF(P234="","",IF(AND(U234&gt;3,V234&gt;0),"Rising",IF(AND(U234&lt;-3,V234&lt;0),"Falling","Flat")))</f>
        <v/>
      </c>
      <c r="X234" s="20" t="n"/>
    </row>
    <row r="235">
      <c r="A235" s="13" t="n">
        <v>45996</v>
      </c>
      <c r="B235" s="14" t="inlineStr">
        <is>
          <t>Growth - EUR</t>
        </is>
      </c>
      <c r="C235" s="15" t="inlineStr">
        <is>
          <t xml:space="preserve"> Italian Retail Sales m/m </t>
        </is>
      </c>
      <c r="D235" s="22" t="n">
        <v>0.005</v>
      </c>
      <c r="E235" s="22" t="n">
        <v>0.004</v>
      </c>
      <c r="F235" s="22" t="n">
        <v>-0.004</v>
      </c>
      <c r="G235" s="8">
        <f>IF(NOT(ISNUMBER(D235)),"",IF(NOT(ISNUMBER(E235)),"",D235-E235))</f>
        <v/>
      </c>
      <c r="H235" s="8">
        <f>IF(NOT(ISNUMBER(D235)),"",IF(NOT(ISNUMBER(F235)),"",D235-F235))</f>
        <v/>
      </c>
      <c r="I235" s="8">
        <f>IF(AND(K235="",L235=""),"N/A",IF(AND(ABS(N(K235))&lt;0.0005,ABS(N(L235))&lt;0.0005),"Stable",IF(AND(L235="",ABS(N(K235))&gt;=0.0005),IF(N(K235)&gt;0,"Accelerating","Slowing"),IF(AND(K235="",ABS(N(L235))&gt;=0.0005),IF(N(L235)&gt;0,"Accelerating","Slowing"),IF(AND(N(K235)&gt;0,N(L235)&gt;=0),"Accelerating",IF(AND(N(K235)&lt;0,N(L235)&lt;=0),"Slowing","Mixed"))))))</f>
        <v/>
      </c>
      <c r="J235">
        <f>IF(OR(ISNUMBER(SEARCH("Unemployment",C235)),ISNUMBER(SEARCH("Claims",C235)),ISNUMBER(SEARCH("Jobless",C235)),ISNUMBER(SEARCH("Inventories",C235)),ISNUMBER(SEARCH("Wholesale Inventories",C235)),ISNUMBER(SEARCH("JOLTS Job Openings",C235)),ISNUMBER(SEARCH("Inflation Expectations",C235))),-1,1)</f>
        <v/>
      </c>
      <c r="K235">
        <f>IF(OR(G235="",G235="(NA)"),"",J235*G235)</f>
        <v/>
      </c>
      <c r="L235">
        <f>IF(OR(H235="",H235="(NA)"),"",J235*H235)</f>
        <v/>
      </c>
      <c r="N235" s="18" t="n">
        <v>46006</v>
      </c>
      <c r="O235" s="12" t="inlineStr">
        <is>
          <t>JP 5s30s</t>
        </is>
      </c>
      <c r="P235" s="19">
        <f>IF(OR(P230="",P232=""),"",(P232-P230)*100)</f>
        <v/>
      </c>
      <c r="Q235" s="19">
        <f>IF(OR(Q230="",Q232=""),"",(Q232-Q230)*100)</f>
        <v/>
      </c>
      <c r="R235" s="19">
        <f>IF(OR(R230="",R232=""),"",(R232-R230)*100)</f>
        <v/>
      </c>
      <c r="S235" s="19">
        <f>IF(OR(S230="",S232=""),"",(S232-S230)*100)</f>
        <v/>
      </c>
      <c r="T235" s="19">
        <f>IF(OR(P235="",Q235=""),"",P235-Q235)</f>
        <v/>
      </c>
      <c r="U235" s="19">
        <f>IF(OR(P235="",R235=""),"",P235-R235)</f>
        <v/>
      </c>
      <c r="V235" s="19">
        <f>IF(OR(P235="",S235=""),"",P235-S235)</f>
        <v/>
      </c>
      <c r="W235" s="12">
        <f>IF(P235="","",IF(AND(U235&gt;3,V235&gt;0),"Rising",IF(AND(U235&lt;-3,V235&lt;0),"Falling","Flat")))</f>
        <v/>
      </c>
      <c r="X235" s="20" t="n"/>
    </row>
    <row r="236">
      <c r="A236" s="13" t="n">
        <v>45996</v>
      </c>
      <c r="B236" s="14" t="inlineStr">
        <is>
          <t>Growth - EUR</t>
        </is>
      </c>
      <c r="C236" s="15" t="inlineStr">
        <is>
          <t xml:space="preserve"> Revised GDP q/q </t>
        </is>
      </c>
      <c r="D236" s="22" t="n">
        <v>0.003</v>
      </c>
      <c r="E236" s="22" t="n">
        <v>0.002</v>
      </c>
      <c r="F236" s="22" t="n">
        <v>0.002</v>
      </c>
      <c r="G236" s="8">
        <f>IF(NOT(ISNUMBER(D236)),"",IF(NOT(ISNUMBER(E236)),"",D236-E236))</f>
        <v/>
      </c>
      <c r="H236" s="8">
        <f>IF(NOT(ISNUMBER(D236)),"",IF(NOT(ISNUMBER(F236)),"",D236-F236))</f>
        <v/>
      </c>
      <c r="I236" s="8">
        <f>IF(AND(K236="",L236=""),"N/A",IF(AND(ABS(N(K236))&lt;0.0005,ABS(N(L236))&lt;0.0005),"Stable",IF(AND(L236="",ABS(N(K236))&gt;=0.0005),IF(N(K236)&gt;0,"Accelerating","Slowing"),IF(AND(K236="",ABS(N(L236))&gt;=0.0005),IF(N(L236)&gt;0,"Accelerating","Slowing"),IF(AND(N(K236)&gt;0,N(L236)&gt;=0),"Accelerating",IF(AND(N(K236)&lt;0,N(L236)&lt;=0),"Slowing","Mixed"))))))</f>
        <v/>
      </c>
      <c r="J236">
        <f>IF(OR(ISNUMBER(SEARCH("Unemployment",C236)),ISNUMBER(SEARCH("Claims",C236)),ISNUMBER(SEARCH("Jobless",C236)),ISNUMBER(SEARCH("Inventories",C236)),ISNUMBER(SEARCH("Wholesale Inventories",C236)),ISNUMBER(SEARCH("JOLTS Job Openings",C236)),ISNUMBER(SEARCH("Inflation Expectations",C236))),-1,1)</f>
        <v/>
      </c>
      <c r="K236">
        <f>IF(OR(G236="",G236="(NA)"),"",J236*G236)</f>
        <v/>
      </c>
      <c r="L236">
        <f>IF(OR(H236="",H236="(NA)"),"",J236*H236)</f>
        <v/>
      </c>
    </row>
    <row r="237">
      <c r="A237" s="13" t="n">
        <v>45996</v>
      </c>
      <c r="B237" s="14" t="inlineStr">
        <is>
          <t>Growth - US</t>
        </is>
      </c>
      <c r="C237" s="15" t="inlineStr">
        <is>
          <t xml:space="preserve"> Prelim UoM Consumer Sentiment </t>
        </is>
      </c>
      <c r="D237" s="16" t="n">
        <v>53.3</v>
      </c>
      <c r="E237" s="16" t="n">
        <v>52</v>
      </c>
      <c r="F237" s="16" t="n">
        <v>51</v>
      </c>
      <c r="G237" s="8">
        <f>IF(NOT(ISNUMBER(D237)),"",IF(NOT(ISNUMBER(E237)),"",D237-E237))</f>
        <v/>
      </c>
      <c r="H237" s="8">
        <f>IF(NOT(ISNUMBER(D237)),"",IF(NOT(ISNUMBER(F237)),"",D237-F237))</f>
        <v/>
      </c>
      <c r="I237" s="8">
        <f>IF(AND(K237="",L237=""),"N/A",IF(AND(ABS(N(K237))&lt;0.0005,ABS(N(L237))&lt;0.0005),"Stable",IF(AND(L237="",ABS(N(K237))&gt;=0.0005),IF(N(K237)&gt;0,"Accelerating","Slowing"),IF(AND(K237="",ABS(N(L237))&gt;=0.0005),IF(N(L237)&gt;0,"Accelerating","Slowing"),IF(AND(N(K237)&gt;0,N(L237)&gt;=0),"Accelerating",IF(AND(N(K237)&lt;0,N(L237)&lt;=0),"Slowing","Mixed"))))))</f>
        <v/>
      </c>
      <c r="J237">
        <f>IF(OR(ISNUMBER(SEARCH("Unemployment",C237)),ISNUMBER(SEARCH("Claims",C237)),ISNUMBER(SEARCH("Jobless",C237)),ISNUMBER(SEARCH("Inventories",C237)),ISNUMBER(SEARCH("Wholesale Inventories",C237)),ISNUMBER(SEARCH("JOLTS Job Openings",C237)),ISNUMBER(SEARCH("Inflation Expectations",C237))),-1,1)</f>
        <v/>
      </c>
      <c r="K237">
        <f>IF(OR(G237="",G237="(NA)"),"",J237*G237)</f>
        <v/>
      </c>
      <c r="L237">
        <f>IF(OR(H237="",H237="(NA)"),"",J237*H237)</f>
        <v/>
      </c>
    </row>
    <row r="238">
      <c r="A238" s="13" t="n">
        <v>45996</v>
      </c>
      <c r="B238" s="14" t="inlineStr">
        <is>
          <t>Growth - US</t>
        </is>
      </c>
      <c r="C238" s="15" t="inlineStr">
        <is>
          <t xml:space="preserve"> Personal Income m/m </t>
        </is>
      </c>
      <c r="D238" s="22" t="n">
        <v>0.004</v>
      </c>
      <c r="E238" s="22" t="n">
        <v>0.003</v>
      </c>
      <c r="F238" s="22" t="n">
        <v>0.004</v>
      </c>
      <c r="G238" s="8">
        <f>IF(NOT(ISNUMBER(D238)),"",IF(NOT(ISNUMBER(E238)),"",D238-E238))</f>
        <v/>
      </c>
      <c r="H238" s="8">
        <f>IF(NOT(ISNUMBER(D238)),"",IF(NOT(ISNUMBER(F238)),"",D238-F238))</f>
        <v/>
      </c>
      <c r="I238" s="8">
        <f>IF(AND(K238="",L238=""),"N/A",IF(AND(ABS(N(K238))&lt;0.0005,ABS(N(L238))&lt;0.0005),"Stable",IF(AND(L238="",ABS(N(K238))&gt;=0.0005),IF(N(K238)&gt;0,"Accelerating","Slowing"),IF(AND(K238="",ABS(N(L238))&gt;=0.0005),IF(N(L238)&gt;0,"Accelerating","Slowing"),IF(AND(N(K238)&gt;0,N(L238)&gt;=0),"Accelerating",IF(AND(N(K238)&lt;0,N(L238)&lt;=0),"Slowing","Mixed"))))))</f>
        <v/>
      </c>
      <c r="J238">
        <f>IF(OR(ISNUMBER(SEARCH("Unemployment",C238)),ISNUMBER(SEARCH("Claims",C238)),ISNUMBER(SEARCH("Jobless",C238)),ISNUMBER(SEARCH("Inventories",C238)),ISNUMBER(SEARCH("Wholesale Inventories",C238)),ISNUMBER(SEARCH("JOLTS Job Openings",C238)),ISNUMBER(SEARCH("Inflation Expectations",C238))),-1,1)</f>
        <v/>
      </c>
      <c r="K238">
        <f>IF(OR(G238="",G238="(NA)"),"",J238*G238)</f>
        <v/>
      </c>
      <c r="L238">
        <f>IF(OR(H238="",H238="(NA)"),"",J238*H238)</f>
        <v/>
      </c>
    </row>
    <row r="239">
      <c r="A239" s="23" t="n">
        <v>45996</v>
      </c>
      <c r="B239" s="28" t="inlineStr">
        <is>
          <t>Growth - US</t>
        </is>
      </c>
      <c r="C239" s="24" t="inlineStr">
        <is>
          <t xml:space="preserve"> Personal Spending m/m </t>
        </is>
      </c>
      <c r="D239" s="25" t="n">
        <v>0.003</v>
      </c>
      <c r="E239" s="25" t="n">
        <v>0.003</v>
      </c>
      <c r="F239" s="25" t="n">
        <v>0.005</v>
      </c>
      <c r="G239" s="8">
        <f>IF(NOT(ISNUMBER(D239)),"",IF(NOT(ISNUMBER(E239)),"",D239-E239))</f>
        <v/>
      </c>
      <c r="H239" s="8">
        <f>IF(NOT(ISNUMBER(D239)),"",IF(NOT(ISNUMBER(F239)),"",D239-F239))</f>
        <v/>
      </c>
      <c r="I239" s="8">
        <f>IF(AND(K239="",L239=""),"N/A",IF(AND(ABS(N(K239))&lt;0.0005,ABS(N(L239))&lt;0.0005),"Stable",IF(AND(L239="",ABS(N(K239))&gt;=0.0005),IF(N(K239)&gt;0,"Accelerating","Slowing"),IF(AND(K239="",ABS(N(L239))&gt;=0.0005),IF(N(L239)&gt;0,"Accelerating","Slowing"),IF(AND(N(K239)&gt;0,N(L239)&gt;=0),"Accelerating",IF(AND(N(K239)&lt;0,N(L239)&lt;=0),"Slowing","Mixed"))))))</f>
        <v/>
      </c>
      <c r="J239">
        <f>IF(OR(ISNUMBER(SEARCH("Unemployment",C239)),ISNUMBER(SEARCH("Claims",C239)),ISNUMBER(SEARCH("Jobless",C239)),ISNUMBER(SEARCH("Inventories",C239)),ISNUMBER(SEARCH("Wholesale Inventories",C239)),ISNUMBER(SEARCH("JOLTS Job Openings",C239)),ISNUMBER(SEARCH("Inflation Expectations",C239))),-1,1)</f>
        <v/>
      </c>
      <c r="K239">
        <f>IF(OR(G239="",G239="(NA)"),"",J239*G239)</f>
        <v/>
      </c>
      <c r="L239">
        <f>IF(OR(H239="",H239="(NA)"),"",J239*H239)</f>
        <v/>
      </c>
    </row>
    <row r="240">
      <c r="A240" s="13" t="n">
        <v>45996</v>
      </c>
      <c r="B240" s="14" t="inlineStr">
        <is>
          <t>Growth - US</t>
        </is>
      </c>
      <c r="C240" s="15" t="inlineStr">
        <is>
          <t xml:space="preserve"> Consumer Credit m/m </t>
        </is>
      </c>
      <c r="D240" s="16" t="n">
        <v>92000000</v>
      </c>
      <c r="E240" s="16" t="n">
        <v>118000000</v>
      </c>
      <c r="F240" s="16" t="n">
        <v>110000000</v>
      </c>
      <c r="G240" s="8">
        <f>IF(NOT(ISNUMBER(D240)),"",IF(NOT(ISNUMBER(E240)),"",D240-E240))</f>
        <v/>
      </c>
      <c r="H240" s="8">
        <f>IF(NOT(ISNUMBER(D240)),"",IF(NOT(ISNUMBER(F240)),"",D240-F240))</f>
        <v/>
      </c>
      <c r="I240" s="8">
        <f>IF(AND(K240="",L240=""),"N/A",IF(AND(ABS(N(K240))&lt;0.0005,ABS(N(L240))&lt;0.0005),"Stable",IF(AND(L240="",ABS(N(K240))&gt;=0.0005),IF(N(K240)&gt;0,"Accelerating","Slowing"),IF(AND(K240="",ABS(N(L240))&gt;=0.0005),IF(N(L240)&gt;0,"Accelerating","Slowing"),IF(AND(N(K240)&gt;0,N(L240)&gt;=0),"Accelerating",IF(AND(N(K240)&lt;0,N(L240)&lt;=0),"Slowing","Mixed"))))))</f>
        <v/>
      </c>
      <c r="J240">
        <f>IF(OR(ISNUMBER(SEARCH("Unemployment",C240)),ISNUMBER(SEARCH("Claims",C240)),ISNUMBER(SEARCH("Jobless",C240)),ISNUMBER(SEARCH("Inventories",C240)),ISNUMBER(SEARCH("Wholesale Inventories",C240)),ISNUMBER(SEARCH("JOLTS Job Openings",C240)),ISNUMBER(SEARCH("Inflation Expectations",C240))),-1,1)</f>
        <v/>
      </c>
      <c r="K240">
        <f>IF(OR(G240="",G240="(NA)"),"",J240*G240)</f>
        <v/>
      </c>
      <c r="L240">
        <f>IF(OR(H240="",H240="(NA)"),"",J240*H240)</f>
        <v/>
      </c>
    </row>
    <row r="241">
      <c r="A241" s="13" t="n">
        <v>45996</v>
      </c>
      <c r="B241" s="14" t="inlineStr">
        <is>
          <t>Inflation – US</t>
        </is>
      </c>
      <c r="C241" s="15" t="inlineStr">
        <is>
          <t xml:space="preserve"> Core PCE Price Index m/m </t>
        </is>
      </c>
      <c r="D241" s="22" t="n">
        <v>0.002</v>
      </c>
      <c r="E241" s="22" t="n">
        <v>0.002</v>
      </c>
      <c r="F241" s="22" t="n">
        <v>0.002</v>
      </c>
      <c r="G241" s="8">
        <f>IF(NOT(ISNUMBER(D241)),"",IF(NOT(ISNUMBER(E241)),"",D241-E241))</f>
        <v/>
      </c>
      <c r="H241" s="8">
        <f>IF(NOT(ISNUMBER(D241)),"",IF(NOT(ISNUMBER(F241)),"",D241-F241))</f>
        <v/>
      </c>
      <c r="I241" s="8">
        <f>IF(AND(K241="",L241=""),"N/A",IF(AND(ABS(N(K241))&lt;0.0005,ABS(N(L241))&lt;0.0005),"Stable",IF(AND(L241="",ABS(N(K241))&gt;=0.0005),IF(N(K241)&gt;0,"Accelerating","Slowing"),IF(AND(K241="",ABS(N(L241))&gt;=0.0005),IF(N(L241)&gt;0,"Accelerating","Slowing"),IF(AND(N(K241)&gt;0,N(L241)&gt;=0),"Accelerating",IF(AND(N(K241)&lt;0,N(L241)&lt;=0),"Slowing","Mixed"))))))</f>
        <v/>
      </c>
      <c r="J241">
        <f>IF(OR(ISNUMBER(SEARCH("Unemployment",C241)),ISNUMBER(SEARCH("Claims",C241)),ISNUMBER(SEARCH("Jobless",C241)),ISNUMBER(SEARCH("Inventories",C241)),ISNUMBER(SEARCH("Wholesale Inventories",C241)),ISNUMBER(SEARCH("JOLTS Job Openings",C241)),ISNUMBER(SEARCH("Inflation Expectations",C241))),-1,1)</f>
        <v/>
      </c>
      <c r="K241">
        <f>IF(OR(G241="",G241="(NA)"),"",J241*G241)</f>
        <v/>
      </c>
      <c r="L241">
        <f>IF(OR(H241="",H241="(NA)"),"",J241*H241)</f>
        <v/>
      </c>
    </row>
    <row r="242">
      <c r="A242" s="13" t="n">
        <v>45996</v>
      </c>
      <c r="B242" s="14" t="inlineStr">
        <is>
          <t>Inflation – US</t>
        </is>
      </c>
      <c r="C242" s="15" t="inlineStr">
        <is>
          <t xml:space="preserve"> Prelim UoM Inflation Expectations </t>
        </is>
      </c>
      <c r="D242" s="22" t="n">
        <v>0.041</v>
      </c>
      <c r="E242" s="16" t="inlineStr">
        <is>
          <t xml:space="preserve"> (NA) </t>
        </is>
      </c>
      <c r="F242" s="22" t="n">
        <v>0.045</v>
      </c>
      <c r="G242" s="8">
        <f>IF(NOT(ISNUMBER(D242)),"",IF(NOT(ISNUMBER(E242)),"",D242-E242))</f>
        <v/>
      </c>
      <c r="H242" s="8">
        <f>IF(NOT(ISNUMBER(D242)),"",IF(NOT(ISNUMBER(F242)),"",D242-F242))</f>
        <v/>
      </c>
      <c r="I242" s="8">
        <f>IF(AND(K242="",L242=""),"N/A",IF(AND(ABS(N(K242))&lt;0.0005,ABS(N(L242))&lt;0.0005),"Stable",IF(AND(L242="",ABS(N(K242))&gt;=0.0005),IF(N(K242)&gt;0,"Accelerating","Slowing"),IF(AND(K242="",ABS(N(L242))&gt;=0.0005),IF(N(L242)&gt;0,"Accelerating","Slowing"),IF(AND(N(K242)&gt;0,N(L242)&gt;=0),"Accelerating",IF(AND(N(K242)&lt;0,N(L242)&lt;=0),"Slowing","Mixed"))))))</f>
        <v/>
      </c>
      <c r="J242">
        <f>IF(OR(ISNUMBER(SEARCH("Unemployment",C242)),ISNUMBER(SEARCH("Claims",C242)),ISNUMBER(SEARCH("Jobless",C242)),ISNUMBER(SEARCH("Inventories",C242)),ISNUMBER(SEARCH("Wholesale Inventories",C242)),ISNUMBER(SEARCH("JOLTS Job Openings",C242)),ISNUMBER(SEARCH("Inflation Expectations",C242))),-1,1)</f>
        <v/>
      </c>
      <c r="K242">
        <f>IF(OR(G242="",G242="(NA)"),"",J242*G242)</f>
        <v/>
      </c>
      <c r="L242">
        <f>IF(OR(H242="",H242="(NA)"),"",J242*H242)</f>
        <v/>
      </c>
    </row>
    <row r="243">
      <c r="A243" s="13" t="n">
        <v>45996</v>
      </c>
      <c r="B243" s="14" t="inlineStr">
        <is>
          <t>Labour – CAD</t>
        </is>
      </c>
      <c r="C243" s="15" t="inlineStr">
        <is>
          <t xml:space="preserve"> Employment Change </t>
        </is>
      </c>
      <c r="D243" s="16" t="n">
        <v>53600</v>
      </c>
      <c r="E243" s="16" t="n">
        <v>-1500</v>
      </c>
      <c r="F243" s="16" t="n">
        <v>66600</v>
      </c>
      <c r="G243" s="8">
        <f>IF(NOT(ISNUMBER(D243)),"",IF(NOT(ISNUMBER(E243)),"",D243-E243))</f>
        <v/>
      </c>
      <c r="H243" s="8">
        <f>IF(NOT(ISNUMBER(D243)),"",IF(NOT(ISNUMBER(F243)),"",D243-F243))</f>
        <v/>
      </c>
      <c r="I243" s="8">
        <f>IF(AND(K243="",L243=""),"N/A",IF(AND(ABS(N(K243))&lt;0.0005,ABS(N(L243))&lt;0.0005),"Stable",IF(AND(L243="",ABS(N(K243))&gt;=0.0005),IF(N(K243)&gt;0,"Accelerating","Slowing"),IF(AND(K243="",ABS(N(L243))&gt;=0.0005),IF(N(L243)&gt;0,"Accelerating","Slowing"),IF(AND(N(K243)&gt;0,N(L243)&gt;=0),"Accelerating",IF(AND(N(K243)&lt;0,N(L243)&lt;=0),"Slowing","Mixed"))))))</f>
        <v/>
      </c>
      <c r="J243">
        <f>IF(OR(ISNUMBER(SEARCH("Unemployment",C243)),ISNUMBER(SEARCH("Claims",C243)),ISNUMBER(SEARCH("Jobless",C243)),ISNUMBER(SEARCH("Inventories",C243)),ISNUMBER(SEARCH("Wholesale Inventories",C243)),ISNUMBER(SEARCH("JOLTS Job Openings",C243)),ISNUMBER(SEARCH("Inflation Expectations",C243))),-1,1)</f>
        <v/>
      </c>
      <c r="K243">
        <f>IF(OR(G243="",G243="(NA)"),"",J243*G243)</f>
        <v/>
      </c>
      <c r="L243">
        <f>IF(OR(H243="",H243="(NA)"),"",J243*H243)</f>
        <v/>
      </c>
    </row>
    <row r="244">
      <c r="A244" s="13" t="n">
        <v>46000</v>
      </c>
      <c r="B244" s="14" t="inlineStr">
        <is>
          <t>Growth - EUR</t>
        </is>
      </c>
      <c r="C244" s="15" t="inlineStr">
        <is>
          <t>German Trade Balance</t>
        </is>
      </c>
      <c r="D244" s="16" t="n">
        <v>16.9</v>
      </c>
      <c r="E244" s="16" t="n">
        <v>15.9</v>
      </c>
      <c r="F244" s="16" t="n">
        <v>15.3</v>
      </c>
      <c r="G244" s="8">
        <f>IF(NOT(ISNUMBER(D244)),"",IF(NOT(ISNUMBER(E244)),"",D244-E244))</f>
        <v/>
      </c>
      <c r="H244" s="8">
        <f>IF(NOT(ISNUMBER(D244)),"",IF(NOT(ISNUMBER(F244)),"",D244-F244))</f>
        <v/>
      </c>
      <c r="I244" s="8">
        <f>IF(AND(K244="",L244=""),"N/A",IF(AND(ABS(N(K244))&lt;0.0005,ABS(N(L244))&lt;0.0005),"Stable",IF(AND(L244="",ABS(N(K244))&gt;=0.0005),IF(N(K244)&gt;0,"Accelerating","Slowing"),IF(AND(K244="",ABS(N(L244))&gt;=0.0005),IF(N(L244)&gt;0,"Accelerating","Slowing"),IF(AND(N(K244)&gt;0,N(L244)&gt;=0),"Accelerating",IF(AND(N(K244)&lt;0,N(L244)&lt;=0),"Slowing","Mixed"))))))</f>
        <v/>
      </c>
      <c r="J244">
        <f>IF(OR(ISNUMBER(SEARCH("Unemployment",C244)),ISNUMBER(SEARCH("Claims",C244)),ISNUMBER(SEARCH("Jobless",C244)),ISNUMBER(SEARCH("Inventories",C244)),ISNUMBER(SEARCH("Wholesale Inventories",C244)),ISNUMBER(SEARCH("JOLTS Job Openings",C244)),ISNUMBER(SEARCH("Inflation Expectations",C244))),-1,1)</f>
        <v/>
      </c>
      <c r="K244">
        <f>IF(OR(G244="",G244="(NA)"),"",J244*G244)</f>
        <v/>
      </c>
      <c r="L244">
        <f>IF(OR(H244="",H244="(NA)"),"",J244*H244)</f>
        <v/>
      </c>
    </row>
    <row r="245">
      <c r="A245" s="13" t="n">
        <v>45996</v>
      </c>
      <c r="B245" s="14" t="inlineStr">
        <is>
          <t>Labour – CAD</t>
        </is>
      </c>
      <c r="C245" s="15" t="inlineStr">
        <is>
          <t xml:space="preserve"> Unemployment Rate </t>
        </is>
      </c>
      <c r="D245" s="22" t="n">
        <v>0.065</v>
      </c>
      <c r="E245" s="22" t="n">
        <v>0.07000000000000001</v>
      </c>
      <c r="F245" s="22" t="n">
        <v>0.06900000000000001</v>
      </c>
      <c r="G245" s="8">
        <f>IF(NOT(ISNUMBER(D245)),"",IF(NOT(ISNUMBER(E245)),"",D245-E245))</f>
        <v/>
      </c>
      <c r="H245" s="8">
        <f>IF(NOT(ISNUMBER(D245)),"",IF(NOT(ISNUMBER(F245)),"",D245-F245))</f>
        <v/>
      </c>
      <c r="I245" s="8">
        <f>IF(AND(K245="",L245=""),"N/A",IF(AND(ABS(N(K245))&lt;0.0005,ABS(N(L245))&lt;0.0005),"Stable",IF(AND(L245="",ABS(N(K245))&gt;=0.0005),IF(N(K245)&gt;0,"Accelerating","Slowing"),IF(AND(K245="",ABS(N(L245))&gt;=0.0005),IF(N(L245)&gt;0,"Accelerating","Slowing"),IF(AND(N(K245)&gt;0,N(L245)&gt;=0),"Accelerating",IF(AND(N(K245)&lt;0,N(L245)&lt;=0),"Slowing","Mixed"))))))</f>
        <v/>
      </c>
      <c r="J245">
        <f>IF(OR(ISNUMBER(SEARCH("Unemployment",C245)),ISNUMBER(SEARCH("Claims",C245)),ISNUMBER(SEARCH("Jobless",C245)),ISNUMBER(SEARCH("Inventories",C245)),ISNUMBER(SEARCH("Wholesale Inventories",C245)),ISNUMBER(SEARCH("JOLTS Job Openings",C245)),ISNUMBER(SEARCH("Inflation Expectations",C245))),-1,1)</f>
        <v/>
      </c>
      <c r="K245">
        <f>IF(OR(G245="",G245="(NA)"),"",J245*G245)</f>
        <v/>
      </c>
      <c r="L245">
        <f>IF(OR(H245="",H245="(NA)"),"",J245*H245)</f>
        <v/>
      </c>
    </row>
    <row r="246">
      <c r="A246" s="13" t="n">
        <v>45997</v>
      </c>
      <c r="B246" s="14" t="inlineStr">
        <is>
          <t>Growth - EUR</t>
        </is>
      </c>
      <c r="C246" s="15" t="inlineStr">
        <is>
          <t>German Industrial Production m/m</t>
        </is>
      </c>
      <c r="D246" s="22" t="n">
        <v>0.018</v>
      </c>
      <c r="E246" s="22" t="n">
        <v>0.002</v>
      </c>
      <c r="F246" s="22" t="n">
        <v>0.013</v>
      </c>
      <c r="G246" s="8">
        <f>IF(NOT(ISNUMBER(D246)),"",IF(NOT(ISNUMBER(E246)),"",D246-E246))</f>
        <v/>
      </c>
      <c r="H246" s="8">
        <f>IF(NOT(ISNUMBER(D246)),"",IF(NOT(ISNUMBER(F246)),"",D246-F246))</f>
        <v/>
      </c>
      <c r="I246" s="8">
        <f>IF(AND(K246="",L246=""),"N/A",IF(AND(ABS(N(K246))&lt;0.0005,ABS(N(L246))&lt;0.0005),"Stable",IF(AND(L246="",ABS(N(K246))&gt;=0.0005),IF(N(K246)&gt;0,"Accelerating","Slowing"),IF(AND(K246="",ABS(N(L246))&gt;=0.0005),IF(N(L246)&gt;0,"Accelerating","Slowing"),IF(AND(N(K246)&gt;0,N(L246)&gt;=0),"Accelerating",IF(AND(N(K246)&lt;0,N(L246)&lt;=0),"Slowing","Mixed"))))))</f>
        <v/>
      </c>
      <c r="J246">
        <f>IF(OR(ISNUMBER(SEARCH("Unemployment",C246)),ISNUMBER(SEARCH("Claims",C246)),ISNUMBER(SEARCH("Jobless",C246)),ISNUMBER(SEARCH("Inventories",C246)),ISNUMBER(SEARCH("Wholesale Inventories",C246)),ISNUMBER(SEARCH("JOLTS Job Openings",C246)),ISNUMBER(SEARCH("Inflation Expectations",C246))),-1,1)</f>
        <v/>
      </c>
      <c r="K246">
        <f>IF(OR(G246="",G246="(NA)"),"",J246*G246)</f>
        <v/>
      </c>
      <c r="L246">
        <f>IF(OR(H246="",H246="(NA)"),"",J246*H246)</f>
        <v/>
      </c>
    </row>
    <row r="247">
      <c r="A247" s="13" t="n">
        <v>46000</v>
      </c>
      <c r="B247" s="14" t="inlineStr">
        <is>
          <t>Growth - EUR</t>
        </is>
      </c>
      <c r="C247" s="15" t="inlineStr">
        <is>
          <t>Sentix Investor Confidence</t>
        </is>
      </c>
      <c r="D247" s="29" t="n">
        <v>-0.062</v>
      </c>
      <c r="E247" s="29" t="n">
        <v>-0.062</v>
      </c>
      <c r="F247" s="29" t="n">
        <v>-0.074</v>
      </c>
      <c r="G247" s="8">
        <f>IF(NOT(ISNUMBER(D247)),"",IF(NOT(ISNUMBER(E247)),"",D247-E247))</f>
        <v/>
      </c>
      <c r="H247" s="8">
        <f>IF(NOT(ISNUMBER(D247)),"",IF(NOT(ISNUMBER(F247)),"",D247-F247))</f>
        <v/>
      </c>
      <c r="I247" s="8">
        <f>IF(AND(K247="",L247=""),"N/A",IF(AND(ABS(N(K247))&lt;0.0005,ABS(N(L247))&lt;0.0005),"Stable",IF(AND(L247="",ABS(N(K247))&gt;=0.0005),IF(N(K247)&gt;0,"Accelerating","Slowing"),IF(AND(K247="",ABS(N(L247))&gt;=0.0005),IF(N(L247)&gt;0,"Accelerating","Slowing"),IF(AND(N(K247)&gt;0,N(L247)&gt;=0),"Accelerating",IF(AND(N(K247)&lt;0,N(L247)&lt;=0),"Slowing","Mixed"))))))</f>
        <v/>
      </c>
      <c r="J247">
        <f>IF(OR(ISNUMBER(SEARCH("Unemployment",C247)),ISNUMBER(SEARCH("Claims",C247)),ISNUMBER(SEARCH("Jobless",C247)),ISNUMBER(SEARCH("Inventories",C247)),ISNUMBER(SEARCH("Wholesale Inventories",C247)),ISNUMBER(SEARCH("JOLTS Job Openings",C247)),ISNUMBER(SEARCH("Inflation Expectations",C247))),-1,1)</f>
        <v/>
      </c>
      <c r="K247">
        <f>IF(OR(G247="",G247="(NA)"),"",J247*G247)</f>
        <v/>
      </c>
      <c r="L247">
        <f>IF(OR(H247="",H247="(NA)"),"",J247*H247)</f>
        <v/>
      </c>
    </row>
    <row r="248">
      <c r="A248" s="13" t="n">
        <v>46000</v>
      </c>
      <c r="B248" s="14" t="inlineStr">
        <is>
          <t>Growth - US</t>
        </is>
      </c>
      <c r="C248" s="15" t="inlineStr">
        <is>
          <t>NFIB Small Business Index</t>
        </is>
      </c>
      <c r="D248" s="29" t="n">
        <v>99</v>
      </c>
      <c r="E248" s="29" t="n">
        <v>98.40000000000001</v>
      </c>
      <c r="F248" s="29" t="n">
        <v>98.2</v>
      </c>
      <c r="G248" s="8">
        <f>IF(NOT(ISNUMBER(D248)),"",IF(NOT(ISNUMBER(E248)),"",D248-E248))</f>
        <v/>
      </c>
      <c r="H248" s="8">
        <f>IF(NOT(ISNUMBER(D248)),"",IF(NOT(ISNUMBER(F248)),"",D248-F248))</f>
        <v/>
      </c>
      <c r="I248" s="8">
        <f>IF(AND(K248="",L248=""),"N/A",IF(AND(ABS(N(K248))&lt;0.0005,ABS(N(L248))&lt;0.0005),"Stable",IF(AND(L248="",ABS(N(K248))&gt;=0.0005),IF(N(K248)&gt;0,"Accelerating","Slowing"),IF(AND(K248="",ABS(N(L248))&gt;=0.0005),IF(N(L248)&gt;0,"Accelerating","Slowing"),IF(AND(N(K248)&gt;0,N(L248)&gt;=0),"Accelerating",IF(AND(N(K248)&lt;0,N(L248)&lt;=0),"Slowing","Mixed"))))))</f>
        <v/>
      </c>
      <c r="J248">
        <f>IF(OR(ISNUMBER(SEARCH("Unemployment",C248)),ISNUMBER(SEARCH("Claims",C248)),ISNUMBER(SEARCH("Jobless",C248)),ISNUMBER(SEARCH("Inventories",C248)),ISNUMBER(SEARCH("Wholesale Inventories",C248)),ISNUMBER(SEARCH("JOLTS Job Openings",C248)),ISNUMBER(SEARCH("Inflation Expectations",C248))),-1,1)</f>
        <v/>
      </c>
      <c r="K248">
        <f>IF(OR(G248="",G248="(NA)"),"",J248*G248)</f>
        <v/>
      </c>
      <c r="L248">
        <f>IF(OR(H248="",H248="(NA)"),"",J248*H248)</f>
        <v/>
      </c>
    </row>
    <row r="249">
      <c r="A249" s="13" t="n">
        <v>46000</v>
      </c>
      <c r="B249" s="14" t="inlineStr">
        <is>
          <t>Labour – US</t>
        </is>
      </c>
      <c r="C249" s="15" t="inlineStr">
        <is>
          <t>ADP Weekly Employment Change</t>
        </is>
      </c>
      <c r="D249" s="29" t="n">
        <v>4.8</v>
      </c>
      <c r="E249" s="29" t="n"/>
      <c r="F249" s="29" t="n">
        <v>-13.5</v>
      </c>
      <c r="G249" s="8">
        <f>IF(NOT(ISNUMBER(D249)),"",IF(NOT(ISNUMBER(E249)),"",D249-E249))</f>
        <v/>
      </c>
      <c r="H249" s="8">
        <f>IF(NOT(ISNUMBER(D249)),"",IF(NOT(ISNUMBER(F249)),"",D249-F249))</f>
        <v/>
      </c>
      <c r="I249" s="8">
        <f>IF(AND(K249="",L249=""),"N/A",IF(AND(ABS(N(K249))&lt;0.0005,ABS(N(L249))&lt;0.0005),"Stable",IF(AND(L249="",ABS(N(K249))&gt;=0.0005),IF(N(K249)&gt;0,"Accelerating","Slowing"),IF(AND(K249="",ABS(N(L249))&gt;=0.0005),IF(N(L249)&gt;0,"Accelerating","Slowing"),IF(AND(N(K249)&gt;0,N(L249)&gt;=0),"Accelerating",IF(AND(N(K249)&lt;0,N(L249)&lt;=0),"Slowing","Mixed"))))))</f>
        <v/>
      </c>
      <c r="J249">
        <f>IF(OR(ISNUMBER(SEARCH("Unemployment",C249)),ISNUMBER(SEARCH("Claims",C249)),ISNUMBER(SEARCH("Jobless",C249)),ISNUMBER(SEARCH("Inventories",C249)),ISNUMBER(SEARCH("Wholesale Inventories",C249)),ISNUMBER(SEARCH("JOLTS Job Openings",C249)),ISNUMBER(SEARCH("Inflation Expectations",C249))),-1,1)</f>
        <v/>
      </c>
      <c r="K249">
        <f>IF(OR(G249="",G249="(NA)"),"",J249*G249)</f>
        <v/>
      </c>
      <c r="L249">
        <f>IF(OR(H249="",H249="(NA)"),"",J249*H249)</f>
        <v/>
      </c>
    </row>
    <row r="250">
      <c r="A250" s="13" t="n">
        <v>45901</v>
      </c>
      <c r="B250" s="14" t="inlineStr">
        <is>
          <t>Labour – US</t>
        </is>
      </c>
      <c r="C250" s="15" t="inlineStr">
        <is>
          <t>JOLTS Job Openings</t>
        </is>
      </c>
      <c r="D250" s="29" t="n">
        <v>7.66</v>
      </c>
      <c r="E250" s="29" t="n"/>
      <c r="F250" s="29" t="n">
        <v>7.23</v>
      </c>
      <c r="G250" s="8">
        <f>IF(NOT(ISNUMBER(D250)),"",IF(NOT(ISNUMBER(E250)),"",D250-E250))</f>
        <v/>
      </c>
      <c r="H250" s="8">
        <f>IF(NOT(ISNUMBER(D250)),"",IF(NOT(ISNUMBER(F250)),"",D250-F250))</f>
        <v/>
      </c>
      <c r="I250" s="8">
        <f>IF(AND(K250="",L250=""),"N/A",IF(AND(ABS(N(K250))&lt;0.0005,ABS(N(L250))&lt;0.0005),"Stable",IF(AND(L250="",ABS(N(K250))&gt;=0.0005),IF(N(K250)&gt;0,"Accelerating","Slowing"),IF(AND(K250="",ABS(N(L250))&gt;=0.0005),IF(N(L250)&gt;0,"Accelerating","Slowing"),IF(AND(N(K250)&gt;0,N(L250)&gt;=0),"Accelerating",IF(AND(N(K250)&lt;0,N(L250)&lt;=0),"Slowing","Mixed"))))))</f>
        <v/>
      </c>
      <c r="J250">
        <f>IF(OR(ISNUMBER(SEARCH("Unemployment",C250)),ISNUMBER(SEARCH("Claims",C250)),ISNUMBER(SEARCH("Jobless",C250)),ISNUMBER(SEARCH("Inventories",C250)),ISNUMBER(SEARCH("Wholesale Inventories",C250)),ISNUMBER(SEARCH("JOLTS Job Openings",C250)),ISNUMBER(SEARCH("Inflation Expectations",C250))),-1,1)</f>
        <v/>
      </c>
      <c r="K250">
        <f>IF(OR(G250="",G250="(NA)"),"",J250*G250)</f>
        <v/>
      </c>
      <c r="L250">
        <f>IF(OR(H250="",H250="(NA)"),"",J250*H250)</f>
        <v/>
      </c>
    </row>
    <row r="251">
      <c r="A251" s="13" t="n">
        <v>46000</v>
      </c>
      <c r="B251" s="14" t="inlineStr">
        <is>
          <t>Labour – US</t>
        </is>
      </c>
      <c r="C251" s="15" t="inlineStr">
        <is>
          <t>JOLTS Job Openings</t>
        </is>
      </c>
      <c r="D251" s="29" t="n">
        <v>7.67</v>
      </c>
      <c r="E251" s="29" t="n">
        <v>7.14</v>
      </c>
      <c r="F251" s="29" t="n">
        <v>7.66</v>
      </c>
      <c r="G251" s="8">
        <f>IF(NOT(ISNUMBER(D251)),"",IF(NOT(ISNUMBER(E251)),"",D251-E251))</f>
        <v/>
      </c>
      <c r="H251" s="8">
        <f>IF(NOT(ISNUMBER(D251)),"",IF(NOT(ISNUMBER(F251)),"",D251-F251))</f>
        <v/>
      </c>
      <c r="I251" s="8">
        <f>IF(AND(K251="",L251=""),"N/A",IF(AND(ABS(N(K251))&lt;0.0005,ABS(N(L251))&lt;0.0005),"Stable",IF(AND(L251="",ABS(N(K251))&gt;=0.0005),IF(N(K251)&gt;0,"Accelerating","Slowing"),IF(AND(K251="",ABS(N(L251))&gt;=0.0005),IF(N(L251)&gt;0,"Accelerating","Slowing"),IF(AND(N(K251)&gt;0,N(L251)&gt;=0),"Accelerating",IF(AND(N(K251)&lt;0,N(L251)&lt;=0),"Slowing","Mixed"))))))</f>
        <v/>
      </c>
      <c r="J251">
        <f>IF(OR(ISNUMBER(SEARCH("Unemployment",C251)),ISNUMBER(SEARCH("Claims",C251)),ISNUMBER(SEARCH("Jobless",C251)),ISNUMBER(SEARCH("Inventories",C251)),ISNUMBER(SEARCH("Wholesale Inventories",C251)),ISNUMBER(SEARCH("JOLTS Job Openings",C251)),ISNUMBER(SEARCH("Inflation Expectations",C251))),-1,1)</f>
        <v/>
      </c>
      <c r="K251">
        <f>IF(OR(G251="",G251="(NA)"),"",J251*G251)</f>
        <v/>
      </c>
      <c r="L251">
        <f>IF(OR(H251="",H251="(NA)"),"",J251*H251)</f>
        <v/>
      </c>
    </row>
    <row r="252">
      <c r="A252" s="13" t="n">
        <v>46000</v>
      </c>
      <c r="B252" s="14" t="inlineStr">
        <is>
          <t>Growth - US</t>
        </is>
      </c>
      <c r="C252" s="15" t="inlineStr">
        <is>
          <t>CB Leading Index m/m</t>
        </is>
      </c>
      <c r="D252" s="29" t="n">
        <v>-0.3</v>
      </c>
      <c r="E252" s="29" t="n">
        <v>-0.3</v>
      </c>
      <c r="F252" s="29" t="n">
        <v>-0.3</v>
      </c>
      <c r="G252" s="8">
        <f>IF(NOT(ISNUMBER(D252)),"",IF(NOT(ISNUMBER(E252)),"",D252-E252))</f>
        <v/>
      </c>
      <c r="H252" s="8">
        <f>IF(NOT(ISNUMBER(D252)),"",IF(NOT(ISNUMBER(F252)),"",D252-F252))</f>
        <v/>
      </c>
      <c r="I252" s="8">
        <f>IF(AND(K252="",L252=""),"N/A",IF(AND(ABS(N(K252))&lt;0.0005,ABS(N(L252))&lt;0.0005),"Stable",IF(AND(L252="",ABS(N(K252))&gt;=0.0005),IF(N(K252)&gt;0,"Accelerating","Slowing"),IF(AND(K252="",ABS(N(L252))&gt;=0.0005),IF(N(L252)&gt;0,"Accelerating","Slowing"),IF(AND(N(K252)&gt;0,N(L252)&gt;=0),"Accelerating",IF(AND(N(K252)&lt;0,N(L252)&lt;=0),"Slowing","Mixed"))))))</f>
        <v/>
      </c>
      <c r="J252">
        <f>IF(OR(ISNUMBER(SEARCH("Unemployment",C252)),ISNUMBER(SEARCH("Claims",C252)),ISNUMBER(SEARCH("Jobless",C252)),ISNUMBER(SEARCH("Inventories",C252)),ISNUMBER(SEARCH("Wholesale Inventories",C252)),ISNUMBER(SEARCH("JOLTS Job Openings",C252)),ISNUMBER(SEARCH("Inflation Expectations",C252))),-1,1)</f>
        <v/>
      </c>
      <c r="K252">
        <f>IF(OR(G252="",G252="(NA)"),"",J252*G252)</f>
        <v/>
      </c>
      <c r="L252">
        <f>IF(OR(H252="",H252="(NA)"),"",J252*H252)</f>
        <v/>
      </c>
    </row>
    <row r="253">
      <c r="A253" s="13" t="n">
        <v>46001</v>
      </c>
      <c r="B253" s="14" t="inlineStr">
        <is>
          <t>Growth - EUR</t>
        </is>
      </c>
      <c r="C253" s="15" t="inlineStr">
        <is>
          <t>Italian Industrial Production m/m</t>
        </is>
      </c>
      <c r="D253" s="29" t="n">
        <v>-1</v>
      </c>
      <c r="E253" s="30" t="n">
        <v>-0.003</v>
      </c>
      <c r="F253" s="30" t="n">
        <v>0.028</v>
      </c>
      <c r="G253" s="8">
        <f>IF(NOT(ISNUMBER(D253)),"",IF(NOT(ISNUMBER(E253)),"",D253-E253))</f>
        <v/>
      </c>
      <c r="H253" s="8">
        <f>IF(NOT(ISNUMBER(D253)),"",IF(NOT(ISNUMBER(F253)),"",D253-F253))</f>
        <v/>
      </c>
      <c r="I253" s="8">
        <f>IF(AND(K253="",L253=""),"N/A",IF(AND(ABS(N(K253))&lt;0.0005,ABS(N(L253))&lt;0.0005),"Stable",IF(AND(L253="",ABS(N(K253))&gt;=0.0005),IF(N(K253)&gt;0,"Accelerating","Slowing"),IF(AND(K253="",ABS(N(L253))&gt;=0.0005),IF(N(L253)&gt;0,"Accelerating","Slowing"),IF(AND(N(K253)&gt;0,N(L253)&gt;=0),"Accelerating",IF(AND(N(K253)&lt;0,N(L253)&lt;=0),"Slowing","Mixed"))))))</f>
        <v/>
      </c>
      <c r="J253">
        <f>IF(OR(ISNUMBER(SEARCH("Unemployment",C253)),ISNUMBER(SEARCH("Claims",C253)),ISNUMBER(SEARCH("Jobless",C253)),ISNUMBER(SEARCH("Inventories",C253)),ISNUMBER(SEARCH("Wholesale Inventories",C253)),ISNUMBER(SEARCH("JOLTS Job Openings",C253)),ISNUMBER(SEARCH("Inflation Expectations",C253))),-1,1)</f>
        <v/>
      </c>
      <c r="K253">
        <f>IF(OR(G253="",G253="(NA)"),"",J253*G253)</f>
        <v/>
      </c>
      <c r="L253">
        <f>IF(OR(H253="",H253="(NA)"),"",J253*H253)</f>
        <v/>
      </c>
    </row>
    <row r="254">
      <c r="A254" s="13" t="n">
        <v>46001</v>
      </c>
      <c r="B254" s="14" t="inlineStr">
        <is>
          <t>Inflation – US</t>
        </is>
      </c>
      <c r="C254" s="15" t="inlineStr">
        <is>
          <t>Employment Cost Index q/q</t>
        </is>
      </c>
      <c r="D254" s="29" t="n">
        <v>0.008</v>
      </c>
      <c r="E254" s="30" t="n">
        <v>0.008999999999999999</v>
      </c>
      <c r="F254" s="30" t="n">
        <v>0.008999999999999999</v>
      </c>
      <c r="G254" s="8">
        <f>IF(NOT(ISNUMBER(D254)),"",IF(NOT(ISNUMBER(E254)),"",D254-E254))</f>
        <v/>
      </c>
      <c r="H254" s="8">
        <f>IF(NOT(ISNUMBER(D254)),"",IF(NOT(ISNUMBER(F254)),"",D254-F254))</f>
        <v/>
      </c>
      <c r="I254" s="8">
        <f>IF(AND(K254="",L254=""),"N/A",IF(AND(ABS(N(K254))&lt;0.0005,ABS(N(L254))&lt;0.0005),"Stable",IF(AND(L254="",ABS(N(K254))&gt;=0.0005),IF(N(K254)&gt;0,"Accelerating","Slowing"),IF(AND(K254="",ABS(N(L254))&gt;=0.0005),IF(N(L254)&gt;0,"Accelerating","Slowing"),IF(AND(N(K254)&gt;0,N(L254)&gt;=0),"Accelerating",IF(AND(N(K254)&lt;0,N(L254)&lt;=0),"Slowing","Mixed"))))))</f>
        <v/>
      </c>
      <c r="J254">
        <f>IF(OR(ISNUMBER(SEARCH("Unemployment",C254)),ISNUMBER(SEARCH("Claims",C254)),ISNUMBER(SEARCH("Jobless",C254)),ISNUMBER(SEARCH("Inventories",C254)),ISNUMBER(SEARCH("Wholesale Inventories",C254)),ISNUMBER(SEARCH("JOLTS Job Openings",C254)),ISNUMBER(SEARCH("Inflation Expectations",C254))),-1,1)</f>
        <v/>
      </c>
      <c r="K254">
        <f>IF(OR(G254="",G254="(NA)"),"",J254*G254)</f>
        <v/>
      </c>
      <c r="L254">
        <f>IF(OR(H254="",H254="(NA)"),"",J254*H254)</f>
        <v/>
      </c>
    </row>
    <row r="255">
      <c r="A255" s="13" t="n">
        <v>46001</v>
      </c>
      <c r="B255" s="14" t="inlineStr">
        <is>
          <t>Growth - US</t>
        </is>
      </c>
      <c r="C255" s="15" t="inlineStr">
        <is>
          <t>Federal Funds Rate</t>
        </is>
      </c>
      <c r="D255" s="29" t="n">
        <v>0.0375</v>
      </c>
      <c r="E255" s="31" t="n">
        <v>0.0375</v>
      </c>
      <c r="F255" s="31" t="n">
        <v>0.04</v>
      </c>
      <c r="G255" s="8">
        <f>IF(NOT(ISNUMBER(D255)),"",IF(NOT(ISNUMBER(E255)),"",D255-E255))</f>
        <v/>
      </c>
      <c r="H255" s="8">
        <f>IF(NOT(ISNUMBER(D255)),"",IF(NOT(ISNUMBER(F255)),"",D255-F255))</f>
        <v/>
      </c>
      <c r="I255" s="8">
        <f>IF(AND(K255="",L255=""),"N/A",IF(AND(ABS(N(K255))&lt;0.0005,ABS(N(L255))&lt;0.0005),"Stable",IF(AND(L255="",ABS(N(K255))&gt;=0.0005),IF(N(K255)&gt;0,"Accelerating","Slowing"),IF(AND(K255="",ABS(N(L255))&gt;=0.0005),IF(N(L255)&gt;0,"Accelerating","Slowing"),IF(AND(N(K255)&gt;0,N(L255)&gt;=0),"Accelerating",IF(AND(N(K255)&lt;0,N(L255)&lt;=0),"Slowing","Mixed"))))))</f>
        <v/>
      </c>
      <c r="J255">
        <f>IF(OR(ISNUMBER(SEARCH("Unemployment",C255)),ISNUMBER(SEARCH("Claims",C255)),ISNUMBER(SEARCH("Jobless",C255)),ISNUMBER(SEARCH("Inventories",C255)),ISNUMBER(SEARCH("Wholesale Inventories",C255)),ISNUMBER(SEARCH("JOLTS Job Openings",C255)),ISNUMBER(SEARCH("Inflation Expectations",C255))),-1,1)</f>
        <v/>
      </c>
      <c r="K255">
        <f>IF(OR(G255="",G255="(NA)"),"",J255*G255)</f>
        <v/>
      </c>
      <c r="L255">
        <f>IF(OR(H255="",H255="(NA)"),"",J255*H255)</f>
        <v/>
      </c>
    </row>
    <row r="256">
      <c r="A256" s="13" t="n">
        <v>46001</v>
      </c>
      <c r="B256" s="14" t="inlineStr">
        <is>
          <t>Growth - US</t>
        </is>
      </c>
      <c r="C256" s="15" t="inlineStr">
        <is>
          <t>Federal Budget Balance</t>
        </is>
      </c>
      <c r="D256" s="29" t="n">
        <v>-173.3</v>
      </c>
      <c r="E256" s="32" t="n">
        <v>-186.5</v>
      </c>
      <c r="F256" s="32" t="n">
        <v>-284.4</v>
      </c>
      <c r="G256" s="8">
        <f>IF(NOT(ISNUMBER(D256)),"",IF(NOT(ISNUMBER(E256)),"",D256-E256))</f>
        <v/>
      </c>
      <c r="H256" s="8">
        <f>IF(NOT(ISNUMBER(D256)),"",IF(NOT(ISNUMBER(F256)),"",D256-F256))</f>
        <v/>
      </c>
      <c r="I256" s="8">
        <f>IF(AND(K256="",L256=""),"N/A",IF(AND(ABS(N(K256))&lt;0.0005,ABS(N(L256))&lt;0.0005),"Stable",IF(AND(L256="",ABS(N(K256))&gt;=0.0005),IF(N(K256)&gt;0,"Accelerating","Slowing"),IF(AND(K256="",ABS(N(L256))&gt;=0.0005),IF(N(L256)&gt;0,"Accelerating","Slowing"),IF(AND(N(K256)&gt;0,N(L256)&gt;=0),"Accelerating",IF(AND(N(K256)&lt;0,N(L256)&lt;=0),"Slowing","Mixed"))))))</f>
        <v/>
      </c>
      <c r="J256">
        <f>IF(OR(ISNUMBER(SEARCH("Unemployment",C256)),ISNUMBER(SEARCH("Claims",C256)),ISNUMBER(SEARCH("Jobless",C256)),ISNUMBER(SEARCH("Inventories",C256)),ISNUMBER(SEARCH("Wholesale Inventories",C256)),ISNUMBER(SEARCH("JOLTS Job Openings",C256)),ISNUMBER(SEARCH("Inflation Expectations",C256))),-1,1)</f>
        <v/>
      </c>
      <c r="K256">
        <f>IF(OR(G256="",G256="(NA)"),"",J256*G256)</f>
        <v/>
      </c>
      <c r="L256">
        <f>IF(OR(H256="",H256="(NA)"),"",J256*H256)</f>
        <v/>
      </c>
    </row>
    <row r="257">
      <c r="A257" s="13" t="n">
        <v>46002</v>
      </c>
      <c r="B257" s="14" t="inlineStr">
        <is>
          <t>Labour – EUR</t>
        </is>
      </c>
      <c r="C257" s="15" t="inlineStr">
        <is>
          <t>Italian Quarterly Unemployment Rate</t>
        </is>
      </c>
      <c r="D257" s="30" t="n">
        <v>0.061</v>
      </c>
      <c r="E257" s="30" t="n">
        <v>0.063</v>
      </c>
      <c r="F257" s="30" t="n">
        <v>0.063</v>
      </c>
      <c r="G257" s="8">
        <f>IF(NOT(ISNUMBER(D257)),"",IF(NOT(ISNUMBER(E257)),"",D257-E257))</f>
        <v/>
      </c>
      <c r="H257" s="8">
        <f>IF(NOT(ISNUMBER(D257)),"",IF(NOT(ISNUMBER(F257)),"",D257-F257))</f>
        <v/>
      </c>
      <c r="I257" s="8">
        <f>IF(AND(K257="",L257=""),"N/A",IF(AND(ABS(N(K257))&lt;0.0005,ABS(N(L257))&lt;0.0005),"Stable",IF(AND(L257="",ABS(N(K257))&gt;=0.0005),IF(N(K257)&gt;0,"Accelerating","Slowing"),IF(AND(K257="",ABS(N(L257))&gt;=0.0005),IF(N(L257)&gt;0,"Accelerating","Slowing"),IF(AND(N(K257)&gt;0,N(L257)&gt;=0),"Accelerating",IF(AND(N(K257)&lt;0,N(L257)&lt;=0),"Slowing","Mixed"))))))</f>
        <v/>
      </c>
      <c r="J257">
        <f>IF(OR(ISNUMBER(SEARCH("Unemployment",C257)),ISNUMBER(SEARCH("Claims",C257)),ISNUMBER(SEARCH("Jobless",C257)),ISNUMBER(SEARCH("Inventories",C257)),ISNUMBER(SEARCH("Wholesale Inventories",C257)),ISNUMBER(SEARCH("JOLTS Job Openings",C257)),ISNUMBER(SEARCH("Inflation Expectations",C257))),-1,1)</f>
        <v/>
      </c>
      <c r="K257">
        <f>IF(OR(G257="",G257="(NA)"),"",J257*G257)</f>
        <v/>
      </c>
      <c r="L257">
        <f>IF(OR(H257="",H257="(NA)"),"",J257*H257)</f>
        <v/>
      </c>
    </row>
    <row r="258">
      <c r="A258" s="13" t="n">
        <v>46002</v>
      </c>
      <c r="B258" s="14" t="inlineStr">
        <is>
          <t>Labour – US</t>
        </is>
      </c>
      <c r="C258" s="15" t="inlineStr">
        <is>
          <t>Unemployment Claims</t>
        </is>
      </c>
      <c r="D258" s="29" t="n">
        <v>236</v>
      </c>
      <c r="E258" s="32" t="n">
        <v>220</v>
      </c>
      <c r="F258" s="32" t="n">
        <v>191</v>
      </c>
      <c r="G258" s="8">
        <f>IF(NOT(ISNUMBER(D258)),"",IF(NOT(ISNUMBER(E258)),"",D258-E258))</f>
        <v/>
      </c>
      <c r="H258" s="8">
        <f>IF(NOT(ISNUMBER(D258)),"",IF(NOT(ISNUMBER(F258)),"",D258-F258))</f>
        <v/>
      </c>
      <c r="I258" s="8">
        <f>IF(AND(K258="",L258=""),"N/A",IF(AND(ABS(N(K258))&lt;0.0005,ABS(N(L258))&lt;0.0005),"Stable",IF(AND(L258="",ABS(N(K258))&gt;=0.0005),IF(N(K258)&gt;0,"Accelerating","Slowing"),IF(AND(K258="",ABS(N(L258))&gt;=0.0005),IF(N(L258)&gt;0,"Accelerating","Slowing"),IF(AND(N(K258)&gt;0,N(L258)&gt;=0),"Accelerating",IF(AND(N(K258)&lt;0,N(L258)&lt;=0),"Slowing","Mixed"))))))</f>
        <v/>
      </c>
      <c r="J258">
        <f>IF(OR(ISNUMBER(SEARCH("Unemployment",C258)),ISNUMBER(SEARCH("Claims",C258)),ISNUMBER(SEARCH("Jobless",C258)),ISNUMBER(SEARCH("Inventories",C258)),ISNUMBER(SEARCH("Wholesale Inventories",C258)),ISNUMBER(SEARCH("JOLTS Job Openings",C258)),ISNUMBER(SEARCH("Inflation Expectations",C258))),-1,1)</f>
        <v/>
      </c>
      <c r="K258">
        <f>IF(OR(G258="",G258="(NA)"),"",J258*G258)</f>
        <v/>
      </c>
      <c r="L258">
        <f>IF(OR(H258="",H258="(NA)"),"",J258*H258)</f>
        <v/>
      </c>
    </row>
    <row r="259">
      <c r="A259" s="13" t="n">
        <v>46002</v>
      </c>
      <c r="B259" s="14" t="inlineStr">
        <is>
          <t>Growth - US</t>
        </is>
      </c>
      <c r="C259" s="15" t="inlineStr">
        <is>
          <t>Trade Balance</t>
        </is>
      </c>
      <c r="D259" s="29" t="n">
        <v>-52.8</v>
      </c>
      <c r="E259" s="32" t="n">
        <v>-62.5</v>
      </c>
      <c r="F259" s="32" t="n">
        <v>-59.6</v>
      </c>
      <c r="G259" s="8">
        <f>IF(NOT(ISNUMBER(D259)),"",IF(NOT(ISNUMBER(E259)),"",D259-E259))</f>
        <v/>
      </c>
      <c r="H259" s="8">
        <f>IF(NOT(ISNUMBER(D259)),"",IF(NOT(ISNUMBER(F259)),"",D259-F259))</f>
        <v/>
      </c>
      <c r="I259" s="8">
        <f>IF(AND(K259="",L259=""),"N/A",IF(AND(ABS(N(K259))&lt;0.0005,ABS(N(L259))&lt;0.0005),"Stable",IF(AND(L259="",ABS(N(K259))&gt;=0.0005),IF(N(K259)&gt;0,"Accelerating","Slowing"),IF(AND(K259="",ABS(N(L259))&gt;=0.0005),IF(N(L259)&gt;0,"Accelerating","Slowing"),IF(AND(N(K259)&gt;0,N(L259)&gt;=0),"Accelerating",IF(AND(N(K259)&lt;0,N(L259)&lt;=0),"Slowing","Mixed"))))))</f>
        <v/>
      </c>
      <c r="J259">
        <f>IF(OR(ISNUMBER(SEARCH("Unemployment",C259)),ISNUMBER(SEARCH("Claims",C259)),ISNUMBER(SEARCH("Jobless",C259)),ISNUMBER(SEARCH("Inventories",C259)),ISNUMBER(SEARCH("Wholesale Inventories",C259)),ISNUMBER(SEARCH("JOLTS Job Openings",C259)),ISNUMBER(SEARCH("Inflation Expectations",C259))),-1,1)</f>
        <v/>
      </c>
      <c r="K259">
        <f>IF(OR(G259="",G259="(NA)"),"",J259*G259)</f>
        <v/>
      </c>
      <c r="L259">
        <f>IF(OR(H259="",H259="(NA)"),"",J259*H259)</f>
        <v/>
      </c>
    </row>
    <row r="260">
      <c r="A260" s="13" t="n">
        <v>46002</v>
      </c>
      <c r="B260" s="14" t="inlineStr">
        <is>
          <t>Growth - US</t>
        </is>
      </c>
      <c r="C260" s="15" t="inlineStr">
        <is>
          <t>Final Wholesale Inventories m/m</t>
        </is>
      </c>
      <c r="D260" s="30" t="n">
        <v>0.005</v>
      </c>
      <c r="E260" s="30" t="n">
        <v>0.001</v>
      </c>
      <c r="F260" s="30" t="n">
        <v>0</v>
      </c>
      <c r="G260" s="8">
        <f>IF(NOT(ISNUMBER(D260)),"",IF(NOT(ISNUMBER(E260)),"",D260-E260))</f>
        <v/>
      </c>
      <c r="H260" s="8">
        <f>IF(NOT(ISNUMBER(D260)),"",IF(NOT(ISNUMBER(F260)),"",D260-F260))</f>
        <v/>
      </c>
      <c r="I260" s="8">
        <f>IF(AND(K260="",L260=""),"N/A",IF(AND(ABS(N(K260))&lt;0.0005,ABS(N(L260))&lt;0.0005),"Stable",IF(AND(L260="",ABS(N(K260))&gt;=0.0005),IF(N(K260)&gt;0,"Accelerating","Slowing"),IF(AND(K260="",ABS(N(L260))&gt;=0.0005),IF(N(L260)&gt;0,"Accelerating","Slowing"),IF(AND(N(K260)&gt;0,N(L260)&gt;=0),"Accelerating",IF(AND(N(K260)&lt;0,N(L260)&lt;=0),"Slowing","Mixed"))))))</f>
        <v/>
      </c>
      <c r="J260">
        <f>IF(OR(ISNUMBER(SEARCH("Unemployment",C260)),ISNUMBER(SEARCH("Claims",C260)),ISNUMBER(SEARCH("Jobless",C260)),ISNUMBER(SEARCH("Inventories",C260)),ISNUMBER(SEARCH("Wholesale Inventories",C260)),ISNUMBER(SEARCH("JOLTS Job Openings",C260)),ISNUMBER(SEARCH("Inflation Expectations",C260))),-1,1)</f>
        <v/>
      </c>
      <c r="K260">
        <f>IF(OR(G260="",G260="(NA)"),"",J260*G260)</f>
        <v/>
      </c>
      <c r="L260">
        <f>IF(OR(H260="",H260="(NA)"),"",J260*H260)</f>
        <v/>
      </c>
    </row>
    <row r="261">
      <c r="A261" s="13" t="n">
        <v>46003</v>
      </c>
      <c r="B261" s="14" t="inlineStr">
        <is>
          <t>Inflation – EUR</t>
        </is>
      </c>
      <c r="C261" s="15" t="inlineStr">
        <is>
          <t>German Final CPI m/m</t>
        </is>
      </c>
      <c r="D261" s="30" t="n">
        <v>-0.002</v>
      </c>
      <c r="E261" s="30" t="n">
        <v>-0.002</v>
      </c>
      <c r="F261" s="30" t="n">
        <v>-0.002</v>
      </c>
      <c r="G261" s="8">
        <f>IF(NOT(ISNUMBER(D261)),"",IF(NOT(ISNUMBER(E261)),"",D261-E261))</f>
        <v/>
      </c>
      <c r="H261" s="8">
        <f>IF(NOT(ISNUMBER(D261)),"",IF(NOT(ISNUMBER(F261)),"",D261-F261))</f>
        <v/>
      </c>
      <c r="I261" s="8">
        <f>IF(AND(K261="",L261=""),"N/A",IF(AND(ABS(N(K261))&lt;0.0005,ABS(N(L261))&lt;0.0005),"Stable",IF(AND(L261="",ABS(N(K261))&gt;=0.0005),IF(N(K261)&gt;0,"Accelerating","Slowing"),IF(AND(K261="",ABS(N(L261))&gt;=0.0005),IF(N(L261)&gt;0,"Accelerating","Slowing"),IF(AND(N(K261)&gt;0,N(L261)&gt;=0),"Accelerating",IF(AND(N(K261)&lt;0,N(L261)&lt;=0),"Slowing","Mixed"))))))</f>
        <v/>
      </c>
      <c r="J261">
        <f>IF(OR(ISNUMBER(SEARCH("Unemployment",C261)),ISNUMBER(SEARCH("Claims",C261)),ISNUMBER(SEARCH("Jobless",C261)),ISNUMBER(SEARCH("Inventories",C261)),ISNUMBER(SEARCH("Wholesale Inventories",C261)),ISNUMBER(SEARCH("JOLTS Job Openings",C261)),ISNUMBER(SEARCH("Inflation Expectations",C261))),-1,1)</f>
        <v/>
      </c>
      <c r="K261">
        <f>IF(OR(G261="",G261="(NA)"),"",J261*G261)</f>
        <v/>
      </c>
      <c r="L261">
        <f>IF(OR(H261="",H261="(NA)"),"",J261*H261)</f>
        <v/>
      </c>
    </row>
    <row r="262">
      <c r="A262" s="13" t="n">
        <v>46003</v>
      </c>
      <c r="B262" s="14" t="inlineStr">
        <is>
          <t>Inflation – EUR</t>
        </is>
      </c>
      <c r="C262" s="15" t="inlineStr">
        <is>
          <t>French Final CPI m/m</t>
        </is>
      </c>
      <c r="D262" s="30" t="n">
        <v>-0.002</v>
      </c>
      <c r="E262" s="30" t="n">
        <v>-0.001</v>
      </c>
      <c r="F262" s="30" t="n">
        <v>-0.001</v>
      </c>
      <c r="G262" s="8">
        <f>IF(NOT(ISNUMBER(D262)),"",IF(NOT(ISNUMBER(E262)),"",D262-E262))</f>
        <v/>
      </c>
      <c r="H262" s="8">
        <f>IF(NOT(ISNUMBER(D262)),"",IF(NOT(ISNUMBER(F262)),"",D262-F262))</f>
        <v/>
      </c>
      <c r="I262" s="8">
        <f>IF(AND(K262="",L262=""),"N/A",IF(AND(ABS(N(K262))&lt;0.0005,ABS(N(L262))&lt;0.0005),"Stable",IF(AND(L262="",ABS(N(K262))&gt;=0.0005),IF(N(K262)&gt;0,"Accelerating","Slowing"),IF(AND(K262="",ABS(N(L262))&gt;=0.0005),IF(N(L262)&gt;0,"Accelerating","Slowing"),IF(AND(N(K262)&gt;0,N(L262)&gt;=0),"Accelerating",IF(AND(N(K262)&lt;0,N(L262)&lt;=0),"Slowing","Mixed"))))))</f>
        <v/>
      </c>
      <c r="J262">
        <f>IF(OR(ISNUMBER(SEARCH("Unemployment",C262)),ISNUMBER(SEARCH("Claims",C262)),ISNUMBER(SEARCH("Jobless",C262)),ISNUMBER(SEARCH("Inventories",C262)),ISNUMBER(SEARCH("Wholesale Inventories",C262)),ISNUMBER(SEARCH("JOLTS Job Openings",C262)),ISNUMBER(SEARCH("Inflation Expectations",C262))),-1,1)</f>
        <v/>
      </c>
      <c r="K262">
        <f>IF(OR(G262="",G262="(NA)"),"",J262*G262)</f>
        <v/>
      </c>
      <c r="L262">
        <f>IF(OR(H262="",H262="(NA)"),"",J262*H262)</f>
        <v/>
      </c>
    </row>
    <row r="263">
      <c r="A263" s="13" t="n">
        <v>46003</v>
      </c>
      <c r="B263" s="14" t="inlineStr">
        <is>
          <t>Inflation – EUR</t>
        </is>
      </c>
      <c r="C263" s="15" t="inlineStr">
        <is>
          <t>Spain Final CPI m/m</t>
        </is>
      </c>
      <c r="D263" s="30" t="n">
        <v>0.002</v>
      </c>
      <c r="E263" s="30" t="n">
        <v>0.002</v>
      </c>
      <c r="F263" s="30" t="n">
        <v>0.002</v>
      </c>
      <c r="G263" s="8">
        <f>IF(NOT(ISNUMBER(D263)),"",IF(NOT(ISNUMBER(E263)),"",D263-E263))</f>
        <v/>
      </c>
      <c r="H263" s="8">
        <f>IF(NOT(ISNUMBER(D263)),"",IF(NOT(ISNUMBER(F263)),"",D263-F263))</f>
        <v/>
      </c>
      <c r="I263" s="8">
        <f>IF(AND(K263="",L263=""),"N/A",IF(AND(ABS(N(K263))&lt;0.0005,ABS(N(L263))&lt;0.0005),"Stable",IF(AND(L263="",ABS(N(K263))&gt;=0.0005),IF(N(K263)&gt;0,"Accelerating","Slowing"),IF(AND(K263="",ABS(N(L263))&gt;=0.0005),IF(N(L263)&gt;0,"Accelerating","Slowing"),IF(AND(N(K263)&gt;0,N(L263)&gt;=0),"Accelerating",IF(AND(N(K263)&lt;0,N(L263)&lt;=0),"Slowing","Mixed"))))))</f>
        <v/>
      </c>
      <c r="J263">
        <f>IF(OR(ISNUMBER(SEARCH("Unemployment",C263)),ISNUMBER(SEARCH("Claims",C263)),ISNUMBER(SEARCH("Jobless",C263)),ISNUMBER(SEARCH("Inventories",C263)),ISNUMBER(SEARCH("Wholesale Inventories",C263)),ISNUMBER(SEARCH("JOLTS Job Openings",C263)),ISNUMBER(SEARCH("Inflation Expectations",C263))),-1,1)</f>
        <v/>
      </c>
      <c r="K263">
        <f>IF(OR(G263="",G263="(NA)"),"",J263*G263)</f>
        <v/>
      </c>
      <c r="L263">
        <f>IF(OR(H263="",H263="(NA)"),"",J263*H263)</f>
        <v/>
      </c>
    </row>
    <row r="264">
      <c r="A264" s="23" t="n">
        <v>46006</v>
      </c>
      <c r="B264" s="14" t="inlineStr">
        <is>
          <t>Growth - EUR</t>
        </is>
      </c>
      <c r="C264" s="24" t="inlineStr">
        <is>
          <t>German WPI m/m</t>
        </is>
      </c>
      <c r="D264" s="33" t="n">
        <v>0.003</v>
      </c>
      <c r="E264" s="33" t="n">
        <v>0.002</v>
      </c>
      <c r="F264" s="33" t="n">
        <v>0.003</v>
      </c>
      <c r="G264" s="8">
        <f>IF(NOT(ISNUMBER(D264)),"",IF(NOT(ISNUMBER(E264)),"",D264-E264))</f>
        <v/>
      </c>
      <c r="H264" s="8">
        <f>IF(NOT(ISNUMBER(D264)),"",IF(NOT(ISNUMBER(F264)),"",D264-F264))</f>
        <v/>
      </c>
      <c r="I264" s="8">
        <f>IF(AND(K264="",L264=""),"N/A",IF(AND(ABS(N(K264))&lt;0.0005,ABS(N(L264))&lt;0.0005),"Stable",IF(AND(L264="",ABS(N(K264))&gt;=0.0005),IF(N(K264)&gt;0,"Accelerating","Slowing"),IF(AND(K264="",ABS(N(L264))&gt;=0.0005),IF(N(L264)&gt;0,"Accelerating","Slowing"),IF(AND(N(K264)&gt;0,N(L264)&gt;=0),"Accelerating",IF(AND(N(K264)&lt;0,N(L264)&lt;=0),"Slowing","Mixed"))))))</f>
        <v/>
      </c>
      <c r="J264">
        <f>IF(OR(ISNUMBER(SEARCH("Unemployment",C264)),ISNUMBER(SEARCH("Claims",C264)),ISNUMBER(SEARCH("Jobless",C264)),ISNUMBER(SEARCH("Inventories",C264)),ISNUMBER(SEARCH("Wholesale Inventories",C264)),ISNUMBER(SEARCH("JOLTS Job Openings",C264)),ISNUMBER(SEARCH("Inflation Expectations",C264))),-1,1)</f>
        <v/>
      </c>
      <c r="K264">
        <f>IF(OR(G264="",G264="(NA)"),"",J264*G264)</f>
        <v/>
      </c>
      <c r="L264">
        <f>IF(OR(H264="",H264="(NA)"),"",J264*H264)</f>
        <v/>
      </c>
    </row>
    <row r="265">
      <c r="A265" s="23" t="n">
        <v>46006</v>
      </c>
      <c r="B265" s="14" t="inlineStr">
        <is>
          <t>Growth - EUR</t>
        </is>
      </c>
      <c r="C265" s="24" t="inlineStr">
        <is>
          <t>Industrial Production m/m</t>
        </is>
      </c>
      <c r="D265" s="33" t="n">
        <v>0.008</v>
      </c>
      <c r="E265" s="33" t="n">
        <v>0.007</v>
      </c>
      <c r="F265" s="33" t="n">
        <v>0.002</v>
      </c>
      <c r="G265" s="8">
        <f>IF(NOT(ISNUMBER(D265)),"",IF(NOT(ISNUMBER(E265)),"",D265-E265))</f>
        <v/>
      </c>
      <c r="H265" s="8">
        <f>IF(NOT(ISNUMBER(D265)),"",IF(NOT(ISNUMBER(F265)),"",D265-F265))</f>
        <v/>
      </c>
      <c r="I265" s="8">
        <f>IF(AND(K265="",L265=""),"N/A",IF(AND(ABS(N(K265))&lt;0.0005,ABS(N(L265))&lt;0.0005),"Stable",IF(AND(L265="",ABS(N(K265))&gt;=0.0005),IF(N(K265)&gt;0,"Accelerating","Slowing"),IF(AND(K265="",ABS(N(L265))&gt;=0.0005),IF(N(L265)&gt;0,"Accelerating","Slowing"),IF(AND(N(K265)&gt;0,N(L265)&gt;=0),"Accelerating",IF(AND(N(K265)&lt;0,N(L265)&lt;=0),"Slowing","Mixed"))))))</f>
        <v/>
      </c>
      <c r="J265">
        <f>IF(OR(ISNUMBER(SEARCH("Unemployment",C265)),ISNUMBER(SEARCH("Claims",C265)),ISNUMBER(SEARCH("Jobless",C265)),ISNUMBER(SEARCH("Inventories",C265)),ISNUMBER(SEARCH("Wholesale Inventories",C265)),ISNUMBER(SEARCH("JOLTS Job Openings",C265)),ISNUMBER(SEARCH("Inflation Expectations",C265))),-1,1)</f>
        <v/>
      </c>
      <c r="K265">
        <f>IF(OR(G265="",G265="(NA)"),"",J265*G265)</f>
        <v/>
      </c>
      <c r="L265">
        <f>IF(OR(H265="",H265="(NA)"),"",J265*H265)</f>
        <v/>
      </c>
    </row>
    <row r="266">
      <c r="A266" s="23" t="n">
        <v>46006</v>
      </c>
      <c r="B266" s="14" t="inlineStr">
        <is>
          <t>Growth - US</t>
        </is>
      </c>
      <c r="C266" s="24" t="inlineStr">
        <is>
          <t>Empire State Manufacturing Index</t>
        </is>
      </c>
      <c r="D266" s="33" t="n">
        <v>-0.039</v>
      </c>
      <c r="E266" s="33" t="n">
        <v>0.098</v>
      </c>
      <c r="F266" s="33" t="n">
        <v>0.187</v>
      </c>
      <c r="G266" s="8">
        <f>IF(NOT(ISNUMBER(D266)),"",IF(NOT(ISNUMBER(E266)),"",D266-E266))</f>
        <v/>
      </c>
      <c r="H266" s="8">
        <f>IF(NOT(ISNUMBER(D266)),"",IF(NOT(ISNUMBER(F266)),"",D266-F266))</f>
        <v/>
      </c>
      <c r="I266" s="8">
        <f>IF(AND(K266="",L266=""),"N/A",IF(AND(ABS(N(K266))&lt;0.0005,ABS(N(L266))&lt;0.0005),"Stable",IF(AND(L266="",ABS(N(K266))&gt;=0.0005),IF(N(K266)&gt;0,"Accelerating","Slowing"),IF(AND(K266="",ABS(N(L266))&gt;=0.0005),IF(N(L266)&gt;0,"Accelerating","Slowing"),IF(AND(N(K266)&gt;0,N(L266)&gt;=0),"Accelerating",IF(AND(N(K266)&lt;0,N(L266)&lt;=0),"Slowing","Mixed"))))))</f>
        <v/>
      </c>
      <c r="J266">
        <f>IF(OR(ISNUMBER(SEARCH("Unemployment",C266)),ISNUMBER(SEARCH("Claims",C266)),ISNUMBER(SEARCH("Jobless",C266)),ISNUMBER(SEARCH("Inventories",C266)),ISNUMBER(SEARCH("Wholesale Inventories",C266)),ISNUMBER(SEARCH("JOLTS Job Openings",C266)),ISNUMBER(SEARCH("Inflation Expectations",C266))),-1,1)</f>
        <v/>
      </c>
      <c r="K266">
        <f>IF(OR(G266="",G266="(NA)"),"",J266*G266)</f>
        <v/>
      </c>
      <c r="L266">
        <f>IF(OR(H266="",H266="(NA)"),"",J266*H266)</f>
        <v/>
      </c>
    </row>
    <row r="267">
      <c r="A267" s="23" t="n">
        <v>46006</v>
      </c>
      <c r="B267" s="14" t="inlineStr">
        <is>
          <t>Growth - US</t>
        </is>
      </c>
      <c r="C267" s="24" t="inlineStr">
        <is>
          <t>NAHB Housing Market Index</t>
        </is>
      </c>
      <c r="D267" s="33" t="n">
        <v>0</v>
      </c>
      <c r="E267" s="33" t="n">
        <v>0.39</v>
      </c>
      <c r="F267" s="33" t="n">
        <v>0.38</v>
      </c>
      <c r="G267" s="8">
        <f>IF(NOT(ISNUMBER(D267)),"",IF(NOT(ISNUMBER(E267)),"",D267-E267))</f>
        <v/>
      </c>
      <c r="H267" s="8">
        <f>IF(NOT(ISNUMBER(D267)),"",IF(NOT(ISNUMBER(F267)),"",D267-F267))</f>
        <v/>
      </c>
      <c r="I267" s="8">
        <f>IF(AND(K267="",L267=""),"N/A",IF(AND(ABS(N(K267))&lt;0.0005,ABS(N(L267))&lt;0.0005),"Stable",IF(AND(L267="",ABS(N(K267))&gt;=0.0005),IF(N(K267)&gt;0,"Accelerating","Slowing"),IF(AND(K267="",ABS(N(L267))&gt;=0.0005),IF(N(L267)&gt;0,"Accelerating","Slowing"),IF(AND(N(K267)&gt;0,N(L267)&gt;=0),"Accelerating",IF(AND(N(K267)&lt;0,N(L267)&lt;=0),"Slowing","Mixed"))))))</f>
        <v/>
      </c>
      <c r="J267">
        <f>IF(OR(ISNUMBER(SEARCH("Unemployment",C267)),ISNUMBER(SEARCH("Claims",C267)),ISNUMBER(SEARCH("Jobless",C267)),ISNUMBER(SEARCH("Inventories",C267)),ISNUMBER(SEARCH("Wholesale Inventories",C267)),ISNUMBER(SEARCH("JOLTS Job Openings",C267)),ISNUMBER(SEARCH("Inflation Expectations",C267))),-1,1)</f>
        <v/>
      </c>
      <c r="K267">
        <f>IF(OR(G267="",G267="(NA)"),"",J267*G267)</f>
        <v/>
      </c>
      <c r="L267">
        <f>IF(OR(H267="",H267="(NA)"),"",J267*H267)</f>
        <v/>
      </c>
    </row>
    <row r="268">
      <c r="A268" s="23" t="n">
        <v>46007</v>
      </c>
      <c r="B268" s="14" t="inlineStr">
        <is>
          <t>Growth - EUR</t>
        </is>
      </c>
      <c r="C268" s="24" t="inlineStr">
        <is>
          <t>French Flash Manufacturing PMI</t>
        </is>
      </c>
      <c r="D268" s="34" t="n">
        <v>50.6</v>
      </c>
      <c r="E268" s="34" t="n">
        <v>48.1</v>
      </c>
      <c r="F268" s="34" t="n">
        <v>47.8</v>
      </c>
      <c r="G268" s="8">
        <f>IF(NOT(ISNUMBER(D268)),"",IF(NOT(ISNUMBER(E268)),"",D268-E268))</f>
        <v/>
      </c>
      <c r="H268" s="8">
        <f>IF(NOT(ISNUMBER(D268)),"",IF(NOT(ISNUMBER(F268)),"",D268-F268))</f>
        <v/>
      </c>
      <c r="I268" s="8">
        <f>IF(AND(K268="",L268=""),"N/A",IF(AND(ABS(N(K268))&lt;0.0005,ABS(N(L268))&lt;0.0005),"Stable",IF(AND(L268="",ABS(N(K268))&gt;=0.0005),IF(N(K268)&gt;0,"Accelerating","Slowing"),IF(AND(K268="",ABS(N(L268))&gt;=0.0005),IF(N(L268)&gt;0,"Accelerating","Slowing"),IF(AND(N(K268)&gt;0,N(L268)&gt;=0),"Accelerating",IF(AND(N(K268)&lt;0,N(L268)&lt;=0),"Slowing","Mixed"))))))</f>
        <v/>
      </c>
      <c r="J268">
        <f>IF(OR(ISNUMBER(SEARCH("Unemployment",C268)),ISNUMBER(SEARCH("Claims",C268)),ISNUMBER(SEARCH("Jobless",C268)),ISNUMBER(SEARCH("Inventories",C268)),ISNUMBER(SEARCH("Wholesale Inventories",C268)),ISNUMBER(SEARCH("JOLTS Job Openings",C268)),ISNUMBER(SEARCH("Inflation Expectations",C268))),-1,1)</f>
        <v/>
      </c>
      <c r="K268">
        <f>IF(OR(G268="",G268="(NA)"),"",J268*G268)</f>
        <v/>
      </c>
      <c r="L268">
        <f>IF(OR(H268="",H268="(NA)"),"",J268*H268)</f>
        <v/>
      </c>
    </row>
    <row r="269">
      <c r="A269" s="23" t="n">
        <v>46007</v>
      </c>
      <c r="B269" s="14" t="inlineStr">
        <is>
          <t>Growth - EUR</t>
        </is>
      </c>
      <c r="C269" s="24" t="inlineStr">
        <is>
          <t>French Flash Services PMI</t>
        </is>
      </c>
      <c r="D269" s="34" t="n">
        <v>50.2</v>
      </c>
      <c r="E269" s="34" t="n">
        <v>51.1</v>
      </c>
      <c r="F269" s="34" t="n">
        <v>51.4</v>
      </c>
      <c r="G269" s="8">
        <f>IF(NOT(ISNUMBER(D269)),"",IF(NOT(ISNUMBER(E269)),"",D269-E269))</f>
        <v/>
      </c>
      <c r="H269" s="8">
        <f>IF(NOT(ISNUMBER(D269)),"",IF(NOT(ISNUMBER(F269)),"",D269-F269))</f>
        <v/>
      </c>
      <c r="I269" s="8">
        <f>IF(AND(K269="",L269=""),"N/A",IF(AND(ABS(N(K269))&lt;0.0005,ABS(N(L269))&lt;0.0005),"Stable",IF(AND(L269="",ABS(N(K269))&gt;=0.0005),IF(N(K269)&gt;0,"Accelerating","Slowing"),IF(AND(K269="",ABS(N(L269))&gt;=0.0005),IF(N(L269)&gt;0,"Accelerating","Slowing"),IF(AND(N(K269)&gt;0,N(L269)&gt;=0),"Accelerating",IF(AND(N(K269)&lt;0,N(L269)&lt;=0),"Slowing","Mixed"))))))</f>
        <v/>
      </c>
      <c r="J269">
        <f>IF(OR(ISNUMBER(SEARCH("Unemployment",C269)),ISNUMBER(SEARCH("Claims",C269)),ISNUMBER(SEARCH("Jobless",C269)),ISNUMBER(SEARCH("Inventories",C269)),ISNUMBER(SEARCH("Wholesale Inventories",C269)),ISNUMBER(SEARCH("JOLTS Job Openings",C269)),ISNUMBER(SEARCH("Inflation Expectations",C269))),-1,1)</f>
        <v/>
      </c>
      <c r="K269">
        <f>IF(OR(G269="",G269="(NA)"),"",J269*G269)</f>
        <v/>
      </c>
      <c r="L269">
        <f>IF(OR(H269="",H269="(NA)"),"",J269*H269)</f>
        <v/>
      </c>
    </row>
    <row r="270">
      <c r="A270" s="23" t="n">
        <v>46007</v>
      </c>
      <c r="B270" s="14" t="inlineStr">
        <is>
          <t>Growth - EUR</t>
        </is>
      </c>
      <c r="C270" s="24" t="inlineStr">
        <is>
          <t>German Flash Manufacturing PMI</t>
        </is>
      </c>
      <c r="D270" s="34" t="n">
        <v>47.7</v>
      </c>
      <c r="E270" s="34" t="n">
        <v>48.6</v>
      </c>
      <c r="F270" s="34" t="n">
        <v>48.2</v>
      </c>
      <c r="G270" s="8">
        <f>IF(NOT(ISNUMBER(D270)),"",IF(NOT(ISNUMBER(E270)),"",D270-E270))</f>
        <v/>
      </c>
      <c r="H270" s="8">
        <f>IF(NOT(ISNUMBER(D270)),"",IF(NOT(ISNUMBER(F270)),"",D270-F270))</f>
        <v/>
      </c>
      <c r="I270" s="8">
        <f>IF(AND(K270="",L270=""),"N/A",IF(AND(ABS(N(K270))&lt;0.0005,ABS(N(L270))&lt;0.0005),"Stable",IF(AND(L270="",ABS(N(K270))&gt;=0.0005),IF(N(K270)&gt;0,"Accelerating","Slowing"),IF(AND(K270="",ABS(N(L270))&gt;=0.0005),IF(N(L270)&gt;0,"Accelerating","Slowing"),IF(AND(N(K270)&gt;0,N(L270)&gt;=0),"Accelerating",IF(AND(N(K270)&lt;0,N(L270)&lt;=0),"Slowing","Mixed"))))))</f>
        <v/>
      </c>
      <c r="J270">
        <f>IF(OR(ISNUMBER(SEARCH("Unemployment",C270)),ISNUMBER(SEARCH("Claims",C270)),ISNUMBER(SEARCH("Jobless",C270)),ISNUMBER(SEARCH("Inventories",C270)),ISNUMBER(SEARCH("Wholesale Inventories",C270)),ISNUMBER(SEARCH("JOLTS Job Openings",C270)),ISNUMBER(SEARCH("Inflation Expectations",C270))),-1,1)</f>
        <v/>
      </c>
      <c r="K270">
        <f>IF(OR(G270="",G270="(NA)"),"",J270*G270)</f>
        <v/>
      </c>
      <c r="L270">
        <f>IF(OR(H270="",H270="(NA)"),"",J270*H270)</f>
        <v/>
      </c>
    </row>
    <row r="271">
      <c r="A271" s="23" t="n">
        <v>46007</v>
      </c>
      <c r="B271" s="14" t="inlineStr">
        <is>
          <t>Growth - EUR</t>
        </is>
      </c>
      <c r="C271" s="24" t="inlineStr">
        <is>
          <t>German Flash Services PMI</t>
        </is>
      </c>
      <c r="D271" s="34" t="n">
        <v>52.6</v>
      </c>
      <c r="E271" s="34" t="n">
        <v>53</v>
      </c>
      <c r="F271" s="34" t="n">
        <v>53.1</v>
      </c>
      <c r="G271" s="8">
        <f>IF(NOT(ISNUMBER(D271)),"",IF(NOT(ISNUMBER(E271)),"",D271-E271))</f>
        <v/>
      </c>
      <c r="H271" s="8">
        <f>IF(NOT(ISNUMBER(D271)),"",IF(NOT(ISNUMBER(F271)),"",D271-F271))</f>
        <v/>
      </c>
      <c r="I271" s="8">
        <f>IF(AND(K271="",L271=""),"N/A",IF(AND(ABS(N(K271))&lt;0.0005,ABS(N(L271))&lt;0.0005),"Stable",IF(AND(L271="",ABS(N(K271))&gt;=0.0005),IF(N(K271)&gt;0,"Accelerating","Slowing"),IF(AND(K271="",ABS(N(L271))&gt;=0.0005),IF(N(L271)&gt;0,"Accelerating","Slowing"),IF(AND(N(K271)&gt;0,N(L271)&gt;=0),"Accelerating",IF(AND(N(K271)&lt;0,N(L271)&lt;=0),"Slowing","Mixed"))))))</f>
        <v/>
      </c>
      <c r="J271">
        <f>IF(OR(ISNUMBER(SEARCH("Unemployment",C271)),ISNUMBER(SEARCH("Claims",C271)),ISNUMBER(SEARCH("Jobless",C271)),ISNUMBER(SEARCH("Inventories",C271)),ISNUMBER(SEARCH("Wholesale Inventories",C271)),ISNUMBER(SEARCH("JOLTS Job Openings",C271)),ISNUMBER(SEARCH("Inflation Expectations",C271))),-1,1)</f>
        <v/>
      </c>
      <c r="K271">
        <f>IF(OR(G271="",G271="(NA)"),"",J271*G271)</f>
        <v/>
      </c>
      <c r="L271">
        <f>IF(OR(H271="",H271="(NA)"),"",J271*H271)</f>
        <v/>
      </c>
    </row>
    <row r="272">
      <c r="A272" s="23" t="n">
        <v>46007</v>
      </c>
      <c r="B272" s="14" t="inlineStr">
        <is>
          <t>Growth - EUR</t>
        </is>
      </c>
      <c r="C272" s="24" t="inlineStr">
        <is>
          <t>Flash Manufacturing PMI</t>
        </is>
      </c>
      <c r="D272" s="34" t="n">
        <v>49.2</v>
      </c>
      <c r="E272" s="34" t="n">
        <v>49.9</v>
      </c>
      <c r="F272" s="34" t="n">
        <v>49.6</v>
      </c>
      <c r="G272" s="8">
        <f>IF(NOT(ISNUMBER(D272)),"",IF(NOT(ISNUMBER(E272)),"",D272-E272))</f>
        <v/>
      </c>
      <c r="H272" s="8">
        <f>IF(NOT(ISNUMBER(D272)),"",IF(NOT(ISNUMBER(F272)),"",D272-F272))</f>
        <v/>
      </c>
      <c r="I272" s="8">
        <f>IF(AND(K272="",L272=""),"N/A",IF(AND(ABS(N(K272))&lt;0.0005,ABS(N(L272))&lt;0.0005),"Stable",IF(AND(L272="",ABS(N(K272))&gt;=0.0005),IF(N(K272)&gt;0,"Accelerating","Slowing"),IF(AND(K272="",ABS(N(L272))&gt;=0.0005),IF(N(L272)&gt;0,"Accelerating","Slowing"),IF(AND(N(K272)&gt;0,N(L272)&gt;=0),"Accelerating",IF(AND(N(K272)&lt;0,N(L272)&lt;=0),"Slowing","Mixed"))))))</f>
        <v/>
      </c>
      <c r="J272">
        <f>IF(OR(ISNUMBER(SEARCH("Unemployment",C272)),ISNUMBER(SEARCH("Claims",C272)),ISNUMBER(SEARCH("Jobless",C272)),ISNUMBER(SEARCH("Inventories",C272)),ISNUMBER(SEARCH("Wholesale Inventories",C272)),ISNUMBER(SEARCH("JOLTS Job Openings",C272)),ISNUMBER(SEARCH("Inflation Expectations",C272))),-1,1)</f>
        <v/>
      </c>
      <c r="K272">
        <f>IF(OR(G272="",G272="(NA)"),"",J272*G272)</f>
        <v/>
      </c>
      <c r="L272">
        <f>IF(OR(H272="",H272="(NA)"),"",J272*H272)</f>
        <v/>
      </c>
    </row>
    <row r="273">
      <c r="A273" s="23" t="n">
        <v>46007</v>
      </c>
      <c r="B273" s="14" t="inlineStr">
        <is>
          <t>Growth - EUR</t>
        </is>
      </c>
      <c r="C273" s="24" t="inlineStr">
        <is>
          <t>Flash Services PMI</t>
        </is>
      </c>
      <c r="D273" s="34" t="n">
        <v>52.6</v>
      </c>
      <c r="E273" s="34" t="n">
        <v>53.3</v>
      </c>
      <c r="F273" s="34" t="n">
        <v>53.6</v>
      </c>
      <c r="G273" s="8">
        <f>IF(NOT(ISNUMBER(D273)),"",IF(NOT(ISNUMBER(E273)),"",D273-E273))</f>
        <v/>
      </c>
      <c r="H273" s="8">
        <f>IF(NOT(ISNUMBER(D273)),"",IF(NOT(ISNUMBER(F273)),"",D273-F273))</f>
        <v/>
      </c>
      <c r="I273" s="8">
        <f>IF(AND(K273="",L273=""),"N/A",IF(AND(ABS(N(K273))&lt;0.0005,ABS(N(L273))&lt;0.0005),"Stable",IF(AND(L273="",ABS(N(K273))&gt;=0.0005),IF(N(K273)&gt;0,"Accelerating","Slowing"),IF(AND(K273="",ABS(N(L273))&gt;=0.0005),IF(N(L273)&gt;0,"Accelerating","Slowing"),IF(AND(N(K273)&gt;0,N(L273)&gt;=0),"Accelerating",IF(AND(N(K273)&lt;0,N(L273)&lt;=0),"Slowing","Mixed"))))))</f>
        <v/>
      </c>
      <c r="J273">
        <f>IF(OR(ISNUMBER(SEARCH("Unemployment",C273)),ISNUMBER(SEARCH("Claims",C273)),ISNUMBER(SEARCH("Jobless",C273)),ISNUMBER(SEARCH("Inventories",C273)),ISNUMBER(SEARCH("Wholesale Inventories",C273)),ISNUMBER(SEARCH("JOLTS Job Openings",C273)),ISNUMBER(SEARCH("Inflation Expectations",C273))),-1,1)</f>
        <v/>
      </c>
      <c r="K273">
        <f>IF(OR(G273="",G273="(NA)"),"",J273*G273)</f>
        <v/>
      </c>
      <c r="L273">
        <f>IF(OR(H273="",H273="(NA)"),"",J273*H273)</f>
        <v/>
      </c>
    </row>
    <row r="274">
      <c r="A274" s="23" t="n">
        <v>46007</v>
      </c>
      <c r="B274" s="14" t="inlineStr">
        <is>
          <t>Growth - EUR</t>
        </is>
      </c>
      <c r="C274" s="24" t="inlineStr">
        <is>
          <t>Italian Trade Balance</t>
        </is>
      </c>
      <c r="D274" s="34" t="n">
        <v>4.16</v>
      </c>
      <c r="E274" s="34" t="n">
        <v>3.21</v>
      </c>
      <c r="F274" s="34" t="n">
        <v>2.85</v>
      </c>
      <c r="G274" s="8">
        <f>IF(NOT(ISNUMBER(D274)),"",IF(NOT(ISNUMBER(E274)),"",D274-E274))</f>
        <v/>
      </c>
      <c r="H274" s="8">
        <f>IF(NOT(ISNUMBER(D274)),"",IF(NOT(ISNUMBER(F274)),"",D274-F274))</f>
        <v/>
      </c>
      <c r="I274" s="8">
        <f>IF(AND(K274="",L274=""),"N/A",IF(AND(ABS(N(K274))&lt;0.0005,ABS(N(L274))&lt;0.0005),"Stable",IF(AND(L274="",ABS(N(K274))&gt;=0.0005),IF(N(K274)&gt;0,"Accelerating","Slowing"),IF(AND(K274="",ABS(N(L274))&gt;=0.0005),IF(N(L274)&gt;0,"Accelerating","Slowing"),IF(AND(N(K274)&gt;0,N(L274)&gt;=0),"Accelerating",IF(AND(N(K274)&lt;0,N(L274)&lt;=0),"Slowing","Mixed"))))))</f>
        <v/>
      </c>
      <c r="J274">
        <f>IF(OR(ISNUMBER(SEARCH("Unemployment",C274)),ISNUMBER(SEARCH("Claims",C274)),ISNUMBER(SEARCH("Jobless",C274)),ISNUMBER(SEARCH("Inventories",C274)),ISNUMBER(SEARCH("Wholesale Inventories",C274)),ISNUMBER(SEARCH("JOLTS Job Openings",C274)),ISNUMBER(SEARCH("Inflation Expectations",C274))),-1,1)</f>
        <v/>
      </c>
      <c r="K274">
        <f>IF(OR(G274="",G274="(NA)"),"",J274*G274)</f>
        <v/>
      </c>
      <c r="L274">
        <f>IF(OR(H274="",H274="(NA)"),"",J274*H274)</f>
        <v/>
      </c>
    </row>
    <row r="275">
      <c r="A275" s="23" t="n">
        <v>46007</v>
      </c>
      <c r="B275" s="14" t="inlineStr">
        <is>
          <t>Growth - EUR</t>
        </is>
      </c>
      <c r="C275" s="24" t="inlineStr">
        <is>
          <t>Trade Balance</t>
        </is>
      </c>
      <c r="D275" s="34" t="n">
        <v>14</v>
      </c>
      <c r="E275" s="34" t="n">
        <v>18.3</v>
      </c>
      <c r="F275" s="34" t="n">
        <v>18.7</v>
      </c>
      <c r="G275" s="8">
        <f>IF(NOT(ISNUMBER(D275)),"",IF(NOT(ISNUMBER(E275)),"",D275-E275))</f>
        <v/>
      </c>
      <c r="H275" s="8">
        <f>IF(NOT(ISNUMBER(D275)),"",IF(NOT(ISNUMBER(F275)),"",D275-F275))</f>
        <v/>
      </c>
      <c r="I275" s="8">
        <f>IF(AND(K275="",L275=""),"N/A",IF(AND(ABS(N(K275))&lt;0.0005,ABS(N(L275))&lt;0.0005),"Stable",IF(AND(L275="",ABS(N(K275))&gt;=0.0005),IF(N(K275)&gt;0,"Accelerating","Slowing"),IF(AND(K275="",ABS(N(L275))&gt;=0.0005),IF(N(L275)&gt;0,"Accelerating","Slowing"),IF(AND(N(K275)&gt;0,N(L275)&gt;=0),"Accelerating",IF(AND(N(K275)&lt;0,N(L275)&lt;=0),"Slowing","Mixed"))))))</f>
        <v/>
      </c>
      <c r="J275">
        <f>IF(OR(ISNUMBER(SEARCH("Unemployment",C275)),ISNUMBER(SEARCH("Claims",C275)),ISNUMBER(SEARCH("Jobless",C275)),ISNUMBER(SEARCH("Inventories",C275)),ISNUMBER(SEARCH("Wholesale Inventories",C275)),ISNUMBER(SEARCH("JOLTS Job Openings",C275)),ISNUMBER(SEARCH("Inflation Expectations",C275))),-1,1)</f>
        <v/>
      </c>
      <c r="K275">
        <f>IF(OR(G275="",G275="(NA)"),"",J275*G275)</f>
        <v/>
      </c>
      <c r="L275">
        <f>IF(OR(H275="",H275="(NA)"),"",J275*H275)</f>
        <v/>
      </c>
    </row>
    <row r="276">
      <c r="A276" s="23" t="n">
        <v>46007</v>
      </c>
      <c r="B276" s="14" t="inlineStr">
        <is>
          <t>Growth - EUR</t>
        </is>
      </c>
      <c r="C276" s="24" t="inlineStr">
        <is>
          <t>German ZEW Economic Sentiment</t>
        </is>
      </c>
      <c r="D276" s="34" t="n">
        <v>45.8</v>
      </c>
      <c r="E276" s="34" t="n">
        <v>38.4</v>
      </c>
      <c r="F276" s="34" t="inlineStr">
        <is>
          <t>38..5</t>
        </is>
      </c>
      <c r="G276" s="8">
        <f>IF(NOT(ISNUMBER(D276)),"",IF(NOT(ISNUMBER(E276)),"",D276-E276))</f>
        <v/>
      </c>
      <c r="H276" s="8">
        <f>IF(NOT(ISNUMBER(D276)),"",IF(NOT(ISNUMBER(F276)),"",D276-F276))</f>
        <v/>
      </c>
      <c r="I276" s="8">
        <f>IF(AND(K276="",L276=""),"N/A",IF(AND(ABS(N(K276))&lt;0.0005,ABS(N(L276))&lt;0.0005),"Stable",IF(AND(L276="",ABS(N(K276))&gt;=0.0005),IF(N(K276)&gt;0,"Accelerating","Slowing"),IF(AND(K276="",ABS(N(L276))&gt;=0.0005),IF(N(L276)&gt;0,"Accelerating","Slowing"),IF(AND(N(K276)&gt;0,N(L276)&gt;=0),"Accelerating",IF(AND(N(K276)&lt;0,N(L276)&lt;=0),"Slowing","Mixed"))))))</f>
        <v/>
      </c>
      <c r="J276">
        <f>IF(OR(ISNUMBER(SEARCH("Unemployment",C276)),ISNUMBER(SEARCH("Claims",C276)),ISNUMBER(SEARCH("Jobless",C276)),ISNUMBER(SEARCH("Inventories",C276)),ISNUMBER(SEARCH("Wholesale Inventories",C276)),ISNUMBER(SEARCH("JOLTS Job Openings",C276)),ISNUMBER(SEARCH("Inflation Expectations",C276))),-1,1)</f>
        <v/>
      </c>
      <c r="K276">
        <f>IF(OR(G276="",G276="(NA)"),"",J276*G276)</f>
        <v/>
      </c>
      <c r="L276">
        <f>IF(OR(H276="",H276="(NA)"),"",J276*H276)</f>
        <v/>
      </c>
    </row>
    <row r="277">
      <c r="A277" s="23" t="n">
        <v>46007</v>
      </c>
      <c r="B277" s="14" t="inlineStr">
        <is>
          <t>Growth - EUR</t>
        </is>
      </c>
      <c r="C277" s="24" t="inlineStr">
        <is>
          <t>ZEW Economic Sentiment</t>
        </is>
      </c>
      <c r="D277" s="34" t="n">
        <v>33.7</v>
      </c>
      <c r="E277" s="34" t="n">
        <v>26.3</v>
      </c>
      <c r="F277" s="34" t="n">
        <v>25</v>
      </c>
      <c r="G277" s="8">
        <f>IF(NOT(ISNUMBER(D277)),"",IF(NOT(ISNUMBER(E277)),"",D277-E277))</f>
        <v/>
      </c>
      <c r="H277" s="8">
        <f>IF(NOT(ISNUMBER(D277)),"",IF(NOT(ISNUMBER(F277)),"",D277-F277))</f>
        <v/>
      </c>
      <c r="I277" s="8">
        <f>IF(AND(K277="",L277=""),"N/A",IF(AND(ABS(N(K277))&lt;0.0005,ABS(N(L277))&lt;0.0005),"Stable",IF(AND(L277="",ABS(N(K277))&gt;=0.0005),IF(N(K277)&gt;0,"Accelerating","Slowing"),IF(AND(K277="",ABS(N(L277))&gt;=0.0005),IF(N(L277)&gt;0,"Accelerating","Slowing"),IF(AND(N(K277)&gt;0,N(L277)&gt;=0),"Accelerating",IF(AND(N(K277)&lt;0,N(L277)&lt;=0),"Slowing","Mixed"))))))</f>
        <v/>
      </c>
      <c r="J277">
        <f>IF(OR(ISNUMBER(SEARCH("Unemployment",C277)),ISNUMBER(SEARCH("Claims",C277)),ISNUMBER(SEARCH("Jobless",C277)),ISNUMBER(SEARCH("Inventories",C277)),ISNUMBER(SEARCH("Wholesale Inventories",C277)),ISNUMBER(SEARCH("JOLTS Job Openings",C277)),ISNUMBER(SEARCH("Inflation Expectations",C277))),-1,1)</f>
        <v/>
      </c>
      <c r="K277">
        <f>IF(OR(G277="",G277="(NA)"),"",J277*G277)</f>
        <v/>
      </c>
      <c r="L277">
        <f>IF(OR(H277="",H277="(NA)"),"",J277*H277)</f>
        <v/>
      </c>
    </row>
    <row r="278">
      <c r="A278" s="23" t="n">
        <v>46007</v>
      </c>
      <c r="B278" s="14" t="inlineStr">
        <is>
          <t>Labour – US</t>
        </is>
      </c>
      <c r="C278" s="24" t="inlineStr">
        <is>
          <t>ADP Weekly Employment Change</t>
        </is>
      </c>
      <c r="D278" s="34" t="n">
        <v>16.3</v>
      </c>
      <c r="E278" s="34" t="n"/>
      <c r="F278" s="34" t="n">
        <v>4.8</v>
      </c>
      <c r="G278" s="8">
        <f>IF(NOT(ISNUMBER(D278)),"",IF(NOT(ISNUMBER(E278)),"",D278-E278))</f>
        <v/>
      </c>
      <c r="H278" s="8">
        <f>IF(NOT(ISNUMBER(D278)),"",IF(NOT(ISNUMBER(F278)),"",D278-F278))</f>
        <v/>
      </c>
      <c r="I278" s="8">
        <f>IF(AND(K278="",L278=""),"N/A",IF(AND(ABS(N(K278))&lt;0.0005,ABS(N(L278))&lt;0.0005),"Stable",IF(AND(L278="",ABS(N(K278))&gt;=0.0005),IF(N(K278)&gt;0,"Accelerating","Slowing"),IF(AND(K278="",ABS(N(L278))&gt;=0.0005),IF(N(L278)&gt;0,"Accelerating","Slowing"),IF(AND(N(K278)&gt;0,N(L278)&gt;=0),"Accelerating",IF(AND(N(K278)&lt;0,N(L278)&lt;=0),"Slowing","Mixed"))))))</f>
        <v/>
      </c>
      <c r="J278">
        <f>IF(OR(ISNUMBER(SEARCH("Unemployment",C278)),ISNUMBER(SEARCH("Claims",C278)),ISNUMBER(SEARCH("Jobless",C278)),ISNUMBER(SEARCH("Inventories",C278)),ISNUMBER(SEARCH("Wholesale Inventories",C278)),ISNUMBER(SEARCH("JOLTS Job Openings",C278)),ISNUMBER(SEARCH("Inflation Expectations",C278))),-1,1)</f>
        <v/>
      </c>
      <c r="K278">
        <f>IF(OR(G278="",G278="(NA)"),"",J278*G278)</f>
        <v/>
      </c>
      <c r="L278">
        <f>IF(OR(H278="",H278="(NA)"),"",J278*H278)</f>
        <v/>
      </c>
    </row>
    <row r="279">
      <c r="A279" s="23" t="n">
        <v>46007</v>
      </c>
      <c r="B279" s="14" t="inlineStr">
        <is>
          <t>Labour – US</t>
        </is>
      </c>
      <c r="C279" s="24" t="inlineStr">
        <is>
          <t>Average Hourly Earnings m/m</t>
        </is>
      </c>
      <c r="D279" s="33" t="n">
        <v>0.001</v>
      </c>
      <c r="E279" s="33" t="n">
        <v>0.003</v>
      </c>
      <c r="F279" s="33" t="n">
        <v>0.002</v>
      </c>
      <c r="G279" s="8">
        <f>IF(NOT(ISNUMBER(D279)),"",IF(NOT(ISNUMBER(E279)),"",D279-E279))</f>
        <v/>
      </c>
      <c r="H279" s="8">
        <f>IF(NOT(ISNUMBER(D279)),"",IF(NOT(ISNUMBER(F279)),"",D279-F279))</f>
        <v/>
      </c>
      <c r="I279" s="8">
        <f>IF(AND(K279="",L279=""),"N/A",IF(AND(ABS(N(K279))&lt;0.0005,ABS(N(L279))&lt;0.0005),"Stable",IF(AND(L279="",ABS(N(K279))&gt;=0.0005),IF(N(K279)&gt;0,"Accelerating","Slowing"),IF(AND(K279="",ABS(N(L279))&gt;=0.0005),IF(N(L279)&gt;0,"Accelerating","Slowing"),IF(AND(N(K279)&gt;0,N(L279)&gt;=0),"Accelerating",IF(AND(N(K279)&lt;0,N(L279)&lt;=0),"Slowing","Mixed"))))))</f>
        <v/>
      </c>
      <c r="J279">
        <f>IF(OR(ISNUMBER(SEARCH("Unemployment",C279)),ISNUMBER(SEARCH("Claims",C279)),ISNUMBER(SEARCH("Jobless",C279)),ISNUMBER(SEARCH("Inventories",C279)),ISNUMBER(SEARCH("Wholesale Inventories",C279)),ISNUMBER(SEARCH("JOLTS Job Openings",C279)),ISNUMBER(SEARCH("Inflation Expectations",C279))),-1,1)</f>
        <v/>
      </c>
      <c r="K279">
        <f>IF(OR(G279="",G279="(NA)"),"",J279*G279)</f>
        <v/>
      </c>
      <c r="L279">
        <f>IF(OR(H279="",H279="(NA)"),"",J279*H279)</f>
        <v/>
      </c>
    </row>
    <row r="280">
      <c r="A280" s="23" t="n">
        <v>46007</v>
      </c>
      <c r="B280" s="14" t="inlineStr">
        <is>
          <t>Growth - US</t>
        </is>
      </c>
      <c r="C280" s="24" t="inlineStr">
        <is>
          <t>Core Retail Sales m/m</t>
        </is>
      </c>
      <c r="D280" s="33" t="n">
        <v>0.004</v>
      </c>
      <c r="E280" s="33" t="n">
        <v>0.002</v>
      </c>
      <c r="F280" s="33" t="n">
        <v>0.003</v>
      </c>
      <c r="G280" s="8">
        <f>IF(NOT(ISNUMBER(D280)),"",IF(NOT(ISNUMBER(E280)),"",D280-E280))</f>
        <v/>
      </c>
      <c r="H280" s="8">
        <f>IF(NOT(ISNUMBER(D280)),"",IF(NOT(ISNUMBER(F280)),"",D280-F280))</f>
        <v/>
      </c>
      <c r="I280" s="8">
        <f>IF(AND(K280="",L280=""),"N/A",IF(AND(ABS(N(K280))&lt;0.0005,ABS(N(L280))&lt;0.0005),"Stable",IF(AND(L280="",ABS(N(K280))&gt;=0.0005),IF(N(K280)&gt;0,"Accelerating","Slowing"),IF(AND(K280="",ABS(N(L280))&gt;=0.0005),IF(N(L280)&gt;0,"Accelerating","Slowing"),IF(AND(N(K280)&gt;0,N(L280)&gt;=0),"Accelerating",IF(AND(N(K280)&lt;0,N(L280)&lt;=0),"Slowing","Mixed"))))))</f>
        <v/>
      </c>
      <c r="J280">
        <f>IF(OR(ISNUMBER(SEARCH("Unemployment",C280)),ISNUMBER(SEARCH("Claims",C280)),ISNUMBER(SEARCH("Jobless",C280)),ISNUMBER(SEARCH("Inventories",C280)),ISNUMBER(SEARCH("Wholesale Inventories",C280)),ISNUMBER(SEARCH("JOLTS Job Openings",C280)),ISNUMBER(SEARCH("Inflation Expectations",C280))),-1,1)</f>
        <v/>
      </c>
      <c r="K280">
        <f>IF(OR(G280="",G280="(NA)"),"",J280*G280)</f>
        <v/>
      </c>
      <c r="L280">
        <f>IF(OR(H280="",H280="(NA)"),"",J280*H280)</f>
        <v/>
      </c>
    </row>
    <row r="281">
      <c r="A281" s="23" t="n">
        <v>46007</v>
      </c>
      <c r="B281" s="14" t="inlineStr">
        <is>
          <t>Labour – US</t>
        </is>
      </c>
      <c r="C281" s="24" t="inlineStr">
        <is>
          <t>Non-Farm Employment Change</t>
        </is>
      </c>
      <c r="D281" s="34" t="n">
        <v>-105</v>
      </c>
      <c r="E281" s="34" t="n">
        <v>51</v>
      </c>
      <c r="F281" s="34" t="n">
        <v>119</v>
      </c>
      <c r="G281" s="8">
        <f>IF(NOT(ISNUMBER(D281)),"",IF(NOT(ISNUMBER(E281)),"",D281-E281))</f>
        <v/>
      </c>
      <c r="H281" s="8">
        <f>IF(NOT(ISNUMBER(D281)),"",IF(NOT(ISNUMBER(F281)),"",D281-F281))</f>
        <v/>
      </c>
      <c r="I281" s="8">
        <f>IF(AND(K281="",L281=""),"N/A",IF(AND(ABS(N(K281))&lt;0.0005,ABS(N(L281))&lt;0.0005),"Stable",IF(AND(L281="",ABS(N(K281))&gt;=0.0005),IF(N(K281)&gt;0,"Accelerating","Slowing"),IF(AND(K281="",ABS(N(L281))&gt;=0.0005),IF(N(L281)&gt;0,"Accelerating","Slowing"),IF(AND(N(K281)&gt;0,N(L281)&gt;=0),"Accelerating",IF(AND(N(K281)&lt;0,N(L281)&lt;=0),"Slowing","Mixed"))))))</f>
        <v/>
      </c>
      <c r="J281">
        <f>IF(OR(ISNUMBER(SEARCH("Unemployment",C281)),ISNUMBER(SEARCH("Claims",C281)),ISNUMBER(SEARCH("Jobless",C281)),ISNUMBER(SEARCH("Inventories",C281)),ISNUMBER(SEARCH("Wholesale Inventories",C281)),ISNUMBER(SEARCH("JOLTS Job Openings",C281)),ISNUMBER(SEARCH("Inflation Expectations",C281))),-1,1)</f>
        <v/>
      </c>
      <c r="K281">
        <f>IF(OR(G281="",G281="(NA)"),"",J281*G281)</f>
        <v/>
      </c>
      <c r="L281">
        <f>IF(OR(H281="",H281="(NA)"),"",J281*H281)</f>
        <v/>
      </c>
    </row>
    <row r="282">
      <c r="A282" s="23" t="n">
        <v>46007</v>
      </c>
      <c r="B282" s="14" t="inlineStr">
        <is>
          <t>Growth - US</t>
        </is>
      </c>
      <c r="C282" s="24" t="inlineStr">
        <is>
          <t>Retail Sales m/m</t>
        </is>
      </c>
      <c r="D282" s="33" t="n">
        <v>0</v>
      </c>
      <c r="E282" s="33" t="n">
        <v>0.001</v>
      </c>
      <c r="F282" s="33" t="n">
        <v>0.002</v>
      </c>
      <c r="G282" s="8">
        <f>IF(NOT(ISNUMBER(D282)),"",IF(NOT(ISNUMBER(E282)),"",D282-E282))</f>
        <v/>
      </c>
      <c r="H282" s="8">
        <f>IF(NOT(ISNUMBER(D282)),"",IF(NOT(ISNUMBER(F282)),"",D282-F282))</f>
        <v/>
      </c>
      <c r="I282" s="8">
        <f>IF(AND(K282="",L282=""),"N/A",IF(AND(ABS(N(K282))&lt;0.0005,ABS(N(L282))&lt;0.0005),"Stable",IF(AND(L282="",ABS(N(K282))&gt;=0.0005),IF(N(K282)&gt;0,"Accelerating","Slowing"),IF(AND(K282="",ABS(N(L282))&gt;=0.0005),IF(N(L282)&gt;0,"Accelerating","Slowing"),IF(AND(N(K282)&gt;0,N(L282)&gt;=0),"Accelerating",IF(AND(N(K282)&lt;0,N(L282)&lt;=0),"Slowing","Mixed"))))))</f>
        <v/>
      </c>
      <c r="J282">
        <f>IF(OR(ISNUMBER(SEARCH("Unemployment",C282)),ISNUMBER(SEARCH("Claims",C282)),ISNUMBER(SEARCH("Jobless",C282)),ISNUMBER(SEARCH("Inventories",C282)),ISNUMBER(SEARCH("Wholesale Inventories",C282)),ISNUMBER(SEARCH("JOLTS Job Openings",C282)),ISNUMBER(SEARCH("Inflation Expectations",C282))),-1,1)</f>
        <v/>
      </c>
      <c r="K282">
        <f>IF(OR(G282="",G282="(NA)"),"",J282*G282)</f>
        <v/>
      </c>
      <c r="L282">
        <f>IF(OR(H282="",H282="(NA)"),"",J282*H282)</f>
        <v/>
      </c>
    </row>
    <row r="283">
      <c r="A283" s="23" t="n">
        <v>46007</v>
      </c>
      <c r="B283" s="14" t="inlineStr">
        <is>
          <t>Labour – US</t>
        </is>
      </c>
      <c r="C283" s="24" t="inlineStr">
        <is>
          <t>Unemployment Rate</t>
        </is>
      </c>
      <c r="D283" s="33" t="n">
        <v>0.046</v>
      </c>
      <c r="E283" s="33" t="n">
        <v>0.045</v>
      </c>
      <c r="F283" s="33" t="n">
        <v>0.044</v>
      </c>
      <c r="G283" s="8">
        <f>IF(NOT(ISNUMBER(D283)),"",IF(NOT(ISNUMBER(E283)),"",D283-E283))</f>
        <v/>
      </c>
      <c r="H283" s="8">
        <f>IF(NOT(ISNUMBER(D283)),"",IF(NOT(ISNUMBER(F283)),"",D283-F283))</f>
        <v/>
      </c>
      <c r="I283" s="8">
        <f>IF(AND(K283="",L283=""),"N/A",IF(AND(ABS(N(K283))&lt;0.0005,ABS(N(L283))&lt;0.0005),"Stable",IF(AND(L283="",ABS(N(K283))&gt;=0.0005),IF(N(K283)&gt;0,"Accelerating","Slowing"),IF(AND(K283="",ABS(N(L283))&gt;=0.0005),IF(N(L283)&gt;0,"Accelerating","Slowing"),IF(AND(N(K283)&gt;0,N(L283)&gt;=0),"Accelerating",IF(AND(N(K283)&lt;0,N(L283)&lt;=0),"Slowing","Mixed"))))))</f>
        <v/>
      </c>
      <c r="J283">
        <f>IF(OR(ISNUMBER(SEARCH("Unemployment",C283)),ISNUMBER(SEARCH("Claims",C283)),ISNUMBER(SEARCH("Jobless",C283)),ISNUMBER(SEARCH("Inventories",C283)),ISNUMBER(SEARCH("Wholesale Inventories",C283)),ISNUMBER(SEARCH("JOLTS Job Openings",C283)),ISNUMBER(SEARCH("Inflation Expectations",C283))),-1,1)</f>
        <v/>
      </c>
      <c r="K283">
        <f>IF(OR(G283="",G283="(NA)"),"",J283*G283)</f>
        <v/>
      </c>
      <c r="L283">
        <f>IF(OR(H283="",H283="(NA)"),"",J283*H283)</f>
        <v/>
      </c>
    </row>
    <row r="284">
      <c r="A284" s="23" t="n">
        <v>46007</v>
      </c>
      <c r="B284" s="14" t="inlineStr">
        <is>
          <t>Growth - US</t>
        </is>
      </c>
      <c r="C284" s="24" t="inlineStr">
        <is>
          <t>Flash Manufacturing PMI</t>
        </is>
      </c>
      <c r="D284" s="34" t="n">
        <v>51.8</v>
      </c>
      <c r="E284" s="34" t="n">
        <v>52</v>
      </c>
      <c r="F284" s="34" t="n">
        <v>52.2</v>
      </c>
      <c r="G284" s="8">
        <f>IF(NOT(ISNUMBER(D284)),"",IF(NOT(ISNUMBER(E284)),"",D284-E284))</f>
        <v/>
      </c>
      <c r="H284" s="8">
        <f>IF(NOT(ISNUMBER(D284)),"",IF(NOT(ISNUMBER(F284)),"",D284-F284))</f>
        <v/>
      </c>
      <c r="I284" s="8">
        <f>IF(AND(K284="",L284=""),"N/A",IF(AND(ABS(N(K284))&lt;0.0005,ABS(N(L284))&lt;0.0005),"Stable",IF(AND(L284="",ABS(N(K284))&gt;=0.0005),IF(N(K284)&gt;0,"Accelerating","Slowing"),IF(AND(K284="",ABS(N(L284))&gt;=0.0005),IF(N(L284)&gt;0,"Accelerating","Slowing"),IF(AND(N(K284)&gt;0,N(L284)&gt;=0),"Accelerating",IF(AND(N(K284)&lt;0,N(L284)&lt;=0),"Slowing","Mixed"))))))</f>
        <v/>
      </c>
      <c r="J284">
        <f>IF(OR(ISNUMBER(SEARCH("Unemployment",C284)),ISNUMBER(SEARCH("Claims",C284)),ISNUMBER(SEARCH("Jobless",C284)),ISNUMBER(SEARCH("Inventories",C284)),ISNUMBER(SEARCH("Wholesale Inventories",C284)),ISNUMBER(SEARCH("JOLTS Job Openings",C284)),ISNUMBER(SEARCH("Inflation Expectations",C284))),-1,1)</f>
        <v/>
      </c>
      <c r="K284">
        <f>IF(OR(G284="",G284="(NA)"),"",J284*G284)</f>
        <v/>
      </c>
      <c r="L284">
        <f>IF(OR(H284="",H284="(NA)"),"",J284*H284)</f>
        <v/>
      </c>
    </row>
    <row r="285">
      <c r="A285" s="23" t="n">
        <v>46007</v>
      </c>
      <c r="B285" s="14" t="inlineStr">
        <is>
          <t>Growth - US</t>
        </is>
      </c>
      <c r="C285" s="24" t="inlineStr">
        <is>
          <t>Flash Services PMI</t>
        </is>
      </c>
      <c r="D285" s="34" t="n">
        <v>52.9</v>
      </c>
      <c r="E285" s="34" t="n">
        <v>54</v>
      </c>
      <c r="F285" s="34" t="n">
        <v>54.1</v>
      </c>
      <c r="G285" s="8">
        <f>IF(NOT(ISNUMBER(D285)),"",IF(NOT(ISNUMBER(E285)),"",D285-E285))</f>
        <v/>
      </c>
      <c r="H285" s="8">
        <f>IF(NOT(ISNUMBER(D285)),"",IF(NOT(ISNUMBER(F285)),"",D285-F285))</f>
        <v/>
      </c>
      <c r="I285" s="8">
        <f>IF(AND(K285="",L285=""),"N/A",IF(AND(ABS(N(K285))&lt;0.0005,ABS(N(L285))&lt;0.0005),"Stable",IF(AND(L285="",ABS(N(K285))&gt;=0.0005),IF(N(K285)&gt;0,"Accelerating","Slowing"),IF(AND(K285="",ABS(N(L285))&gt;=0.0005),IF(N(L285)&gt;0,"Accelerating","Slowing"),IF(AND(N(K285)&gt;0,N(L285)&gt;=0),"Accelerating",IF(AND(N(K285)&lt;0,N(L285)&lt;=0),"Slowing","Mixed"))))))</f>
        <v/>
      </c>
      <c r="J285">
        <f>IF(OR(ISNUMBER(SEARCH("Unemployment",C285)),ISNUMBER(SEARCH("Claims",C285)),ISNUMBER(SEARCH("Jobless",C285)),ISNUMBER(SEARCH("Inventories",C285)),ISNUMBER(SEARCH("Wholesale Inventories",C285)),ISNUMBER(SEARCH("JOLTS Job Openings",C285)),ISNUMBER(SEARCH("Inflation Expectations",C285))),-1,1)</f>
        <v/>
      </c>
      <c r="K285">
        <f>IF(OR(G285="",G285="(NA)"),"",J285*G285)</f>
        <v/>
      </c>
      <c r="L285">
        <f>IF(OR(H285="",H285="(NA)"),"",J285*H285)</f>
        <v/>
      </c>
    </row>
    <row r="286">
      <c r="A286" s="23" t="n">
        <v>46007</v>
      </c>
      <c r="B286" s="14" t="inlineStr">
        <is>
          <t>Growth - US</t>
        </is>
      </c>
      <c r="C286" s="24" t="inlineStr">
        <is>
          <t>Business Inventories m/m</t>
        </is>
      </c>
      <c r="D286" s="33" t="n">
        <v>0.002</v>
      </c>
      <c r="E286" s="33" t="n">
        <v>0.001</v>
      </c>
      <c r="F286" s="33" t="n">
        <v>0</v>
      </c>
      <c r="G286" s="8">
        <f>IF(NOT(ISNUMBER(D286)),"",IF(NOT(ISNUMBER(E286)),"",D286-E286))</f>
        <v/>
      </c>
      <c r="H286" s="8">
        <f>IF(NOT(ISNUMBER(D286)),"",IF(NOT(ISNUMBER(F286)),"",D286-F286))</f>
        <v/>
      </c>
      <c r="I286" s="8">
        <f>IF(AND(K286="",L286=""),"N/A",IF(AND(ABS(N(K286))&lt;0.0005,ABS(N(L286))&lt;0.0005),"Stable",IF(AND(L286="",ABS(N(K286))&gt;=0.0005),IF(N(K286)&gt;0,"Accelerating","Slowing"),IF(AND(K286="",ABS(N(L286))&gt;=0.0005),IF(N(L286)&gt;0,"Accelerating","Slowing"),IF(AND(N(K286)&gt;0,N(L286)&gt;=0),"Accelerating",IF(AND(N(K286)&lt;0,N(L286)&lt;=0),"Slowing","Mixed"))))))</f>
        <v/>
      </c>
      <c r="J286">
        <f>IF(OR(ISNUMBER(SEARCH("Unemployment",C286)),ISNUMBER(SEARCH("Claims",C286)),ISNUMBER(SEARCH("Jobless",C286)),ISNUMBER(SEARCH("Inventories",C286)),ISNUMBER(SEARCH("Wholesale Inventories",C286)),ISNUMBER(SEARCH("JOLTS Job Openings",C286)),ISNUMBER(SEARCH("Inflation Expectations",C286))),-1,1)</f>
        <v/>
      </c>
      <c r="K286">
        <f>IF(OR(G286="",G286="(NA)"),"",J286*G286)</f>
        <v/>
      </c>
      <c r="L286">
        <f>IF(OR(H286="",H286="(NA)"),"",J286*H286)</f>
        <v/>
      </c>
    </row>
    <row r="287">
      <c r="A287" s="23" t="n">
        <v>46008</v>
      </c>
      <c r="B287" s="14" t="inlineStr">
        <is>
          <t>Growth - EUR</t>
        </is>
      </c>
      <c r="C287" s="24" t="inlineStr">
        <is>
          <t>German ifo Business Climate</t>
        </is>
      </c>
      <c r="D287" s="34" t="n">
        <v>87.59999999999999</v>
      </c>
      <c r="E287" s="34" t="n">
        <v>88.2</v>
      </c>
      <c r="F287" s="34" t="n">
        <v>88</v>
      </c>
      <c r="G287" s="8">
        <f>IF(NOT(ISNUMBER(D287)),"",IF(NOT(ISNUMBER(E287)),"",D287-E287))</f>
        <v/>
      </c>
      <c r="H287" s="8">
        <f>IF(NOT(ISNUMBER(D287)),"",IF(NOT(ISNUMBER(F287)),"",D287-F287))</f>
        <v/>
      </c>
      <c r="I287" s="8">
        <f>IF(AND(K287="",L287=""),"N/A",IF(AND(ABS(N(K287))&lt;0.0005,ABS(N(L287))&lt;0.0005),"Stable",IF(AND(L287="",ABS(N(K287))&gt;=0.0005),IF(N(K287)&gt;0,"Accelerating","Slowing"),IF(AND(K287="",ABS(N(L287))&gt;=0.0005),IF(N(L287)&gt;0,"Accelerating","Slowing"),IF(AND(N(K287)&gt;0,N(L287)&gt;=0),"Accelerating",IF(AND(N(K287)&lt;0,N(L287)&lt;=0),"Slowing","Mixed"))))))</f>
        <v/>
      </c>
      <c r="J287">
        <f>IF(OR(ISNUMBER(SEARCH("Unemployment",C287)),ISNUMBER(SEARCH("Claims",C287)),ISNUMBER(SEARCH("Jobless",C287)),ISNUMBER(SEARCH("Inventories",C287)),ISNUMBER(SEARCH("Wholesale Inventories",C287)),ISNUMBER(SEARCH("JOLTS Job Openings",C287)),ISNUMBER(SEARCH("Inflation Expectations",C287))),-1,1)</f>
        <v/>
      </c>
      <c r="K287">
        <f>IF(OR(G287="",G287="(NA)"),"",J287*G287)</f>
        <v/>
      </c>
      <c r="L287">
        <f>IF(OR(H287="",H287="(NA)"),"",J287*H287)</f>
        <v/>
      </c>
    </row>
    <row r="288">
      <c r="A288" s="23" t="n">
        <v>46008</v>
      </c>
      <c r="B288" s="14" t="inlineStr">
        <is>
          <t>Inflation – EUR</t>
        </is>
      </c>
      <c r="C288" s="24" t="inlineStr">
        <is>
          <t>Final Core CPI y/y</t>
        </is>
      </c>
      <c r="D288" s="33" t="n">
        <v>0.024</v>
      </c>
      <c r="E288" s="33" t="n">
        <v>0.024</v>
      </c>
      <c r="F288" s="33" t="n">
        <v>0.026</v>
      </c>
      <c r="G288" s="8">
        <f>IF(NOT(ISNUMBER(D288)),"",IF(NOT(ISNUMBER(E288)),"",D288-E288))</f>
        <v/>
      </c>
      <c r="H288" s="8">
        <f>IF(NOT(ISNUMBER(D288)),"",IF(NOT(ISNUMBER(F288)),"",D288-F288))</f>
        <v/>
      </c>
      <c r="I288" s="8">
        <f>IF(AND(K288="",L288=""),"N/A",IF(AND(ABS(N(K288))&lt;0.0005,ABS(N(L288))&lt;0.0005),"Stable",IF(AND(L288="",ABS(N(K288))&gt;=0.0005),IF(N(K288)&gt;0,"Accelerating","Slowing"),IF(AND(K288="",ABS(N(L288))&gt;=0.0005),IF(N(L288)&gt;0,"Accelerating","Slowing"),IF(AND(N(K288)&gt;0,N(L288)&gt;=0),"Accelerating",IF(AND(N(K288)&lt;0,N(L288)&lt;=0),"Slowing","Mixed"))))))</f>
        <v/>
      </c>
      <c r="J288">
        <f>IF(OR(ISNUMBER(SEARCH("Unemployment",C288)),ISNUMBER(SEARCH("Claims",C288)),ISNUMBER(SEARCH("Jobless",C288)),ISNUMBER(SEARCH("Inventories",C288)),ISNUMBER(SEARCH("Wholesale Inventories",C288)),ISNUMBER(SEARCH("JOLTS Job Openings",C288)),ISNUMBER(SEARCH("Inflation Expectations",C288))),-1,1)</f>
        <v/>
      </c>
      <c r="K288">
        <f>IF(OR(G288="",G288="(NA)"),"",J288*G288)</f>
        <v/>
      </c>
      <c r="L288">
        <f>IF(OR(H288="",H288="(NA)"),"",J288*H288)</f>
        <v/>
      </c>
    </row>
    <row r="289">
      <c r="A289" s="23" t="n">
        <v>46008</v>
      </c>
      <c r="B289" s="14" t="inlineStr">
        <is>
          <t>Inflation – EUR</t>
        </is>
      </c>
      <c r="C289" s="24" t="inlineStr">
        <is>
          <t>Final CPI y/y</t>
        </is>
      </c>
      <c r="D289" s="33" t="n">
        <v>0.021</v>
      </c>
      <c r="E289" s="33" t="n">
        <v>0.024</v>
      </c>
      <c r="F289" s="33" t="n">
        <v>0.024</v>
      </c>
      <c r="G289" s="8">
        <f>IF(NOT(ISNUMBER(D289)),"",IF(NOT(ISNUMBER(E289)),"",D289-E289))</f>
        <v/>
      </c>
      <c r="H289" s="8">
        <f>IF(NOT(ISNUMBER(D289)),"",IF(NOT(ISNUMBER(F289)),"",D289-F289))</f>
        <v/>
      </c>
      <c r="I289" s="8">
        <f>IF(AND(K289="",L289=""),"N/A",IF(AND(ABS(N(K289))&lt;0.0005,ABS(N(L289))&lt;0.0005),"Stable",IF(AND(L289="",ABS(N(K289))&gt;=0.0005),IF(N(K289)&gt;0,"Accelerating","Slowing"),IF(AND(K289="",ABS(N(L289))&gt;=0.0005),IF(N(L289)&gt;0,"Accelerating","Slowing"),IF(AND(N(K289)&gt;0,N(L289)&gt;=0),"Accelerating",IF(AND(N(K289)&lt;0,N(L289)&lt;=0),"Slowing","Mixed"))))))</f>
        <v/>
      </c>
      <c r="J289">
        <f>IF(OR(ISNUMBER(SEARCH("Unemployment",C289)),ISNUMBER(SEARCH("Claims",C289)),ISNUMBER(SEARCH("Jobless",C289)),ISNUMBER(SEARCH("Inventories",C289)),ISNUMBER(SEARCH("Wholesale Inventories",C289)),ISNUMBER(SEARCH("JOLTS Job Openings",C289)),ISNUMBER(SEARCH("Inflation Expectations",C289))),-1,1)</f>
        <v/>
      </c>
      <c r="K289">
        <f>IF(OR(G289="",G289="(NA)"),"",J289*G289)</f>
        <v/>
      </c>
      <c r="L289">
        <f>IF(OR(H289="",H289="(NA)"),"",J289*H289)</f>
        <v/>
      </c>
    </row>
    <row r="290">
      <c r="A290" s="23" t="n">
        <v>46009</v>
      </c>
      <c r="B290" s="14" t="inlineStr">
        <is>
          <t>Growth - EUR</t>
        </is>
      </c>
      <c r="C290" s="24" t="inlineStr">
        <is>
          <t>Main Refinancing Rate</t>
        </is>
      </c>
      <c r="D290" s="33" t="n">
        <v>0.0215</v>
      </c>
      <c r="E290" s="33" t="n">
        <v>0.0215</v>
      </c>
      <c r="F290" s="33" t="n">
        <v>0.0215</v>
      </c>
      <c r="G290" s="8">
        <f>IF(NOT(ISNUMBER(D290)),"",IF(NOT(ISNUMBER(E290)),"",D290-E290))</f>
        <v/>
      </c>
      <c r="H290" s="8">
        <f>IF(NOT(ISNUMBER(D290)),"",IF(NOT(ISNUMBER(F290)),"",D290-F290))</f>
        <v/>
      </c>
      <c r="I290" s="8">
        <f>IF(AND(K290="",L290=""),"N/A",IF(AND(ABS(N(K290))&lt;0.0005,ABS(N(L290))&lt;0.0005),"Stable",IF(AND(L290="",ABS(N(K290))&gt;=0.0005),IF(N(K290)&gt;0,"Accelerating","Slowing"),IF(AND(K290="",ABS(N(L290))&gt;=0.0005),IF(N(L290)&gt;0,"Accelerating","Slowing"),IF(AND(N(K290)&gt;0,N(L290)&gt;=0),"Accelerating",IF(AND(N(K290)&lt;0,N(L290)&lt;=0),"Slowing","Mixed"))))))</f>
        <v/>
      </c>
      <c r="J290">
        <f>IF(OR(ISNUMBER(SEARCH("Unemployment",C290)),ISNUMBER(SEARCH("Claims",C290)),ISNUMBER(SEARCH("Jobless",C290)),ISNUMBER(SEARCH("Inventories",C290)),ISNUMBER(SEARCH("Wholesale Inventories",C290)),ISNUMBER(SEARCH("JOLTS Job Openings",C290)),ISNUMBER(SEARCH("Inflation Expectations",C290))),-1,1)</f>
        <v/>
      </c>
      <c r="K290">
        <f>IF(OR(G290="",G290="(NA)"),"",J290*G290)</f>
        <v/>
      </c>
      <c r="L290">
        <f>IF(OR(H290="",H290="(NA)"),"",J290*H290)</f>
        <v/>
      </c>
    </row>
    <row r="291">
      <c r="A291" s="23" t="n">
        <v>46009</v>
      </c>
      <c r="B291" s="14" t="inlineStr">
        <is>
          <t>Inflation – US</t>
        </is>
      </c>
      <c r="C291" s="24" t="inlineStr">
        <is>
          <t>CPI y/y</t>
        </is>
      </c>
      <c r="D291" s="33" t="n">
        <v>0.027</v>
      </c>
      <c r="E291" s="33" t="n">
        <v>0.031</v>
      </c>
      <c r="F291" s="33" t="n">
        <v>0.03</v>
      </c>
      <c r="G291" s="8">
        <f>IF(NOT(ISNUMBER(D291)),"",IF(NOT(ISNUMBER(E291)),"",D291-E291))</f>
        <v/>
      </c>
      <c r="H291" s="8">
        <f>IF(NOT(ISNUMBER(D291)),"",IF(NOT(ISNUMBER(F291)),"",D291-F291))</f>
        <v/>
      </c>
      <c r="I291" s="8">
        <f>IF(AND(K291="",L291=""),"N/A",IF(AND(ABS(N(K291))&lt;0.0005,ABS(N(L291))&lt;0.0005),"Stable",IF(AND(L291="",ABS(N(K291))&gt;=0.0005),IF(N(K291)&gt;0,"Accelerating","Slowing"),IF(AND(K291="",ABS(N(L291))&gt;=0.0005),IF(N(L291)&gt;0,"Accelerating","Slowing"),IF(AND(N(K291)&gt;0,N(L291)&gt;=0),"Accelerating",IF(AND(N(K291)&lt;0,N(L291)&lt;=0),"Slowing","Mixed"))))))</f>
        <v/>
      </c>
      <c r="J291">
        <f>IF(OR(ISNUMBER(SEARCH("Unemployment",C291)),ISNUMBER(SEARCH("Claims",C291)),ISNUMBER(SEARCH("Jobless",C291)),ISNUMBER(SEARCH("Inventories",C291)),ISNUMBER(SEARCH("Wholesale Inventories",C291)),ISNUMBER(SEARCH("JOLTS Job Openings",C291)),ISNUMBER(SEARCH("Inflation Expectations",C291))),-1,1)</f>
        <v/>
      </c>
      <c r="K291">
        <f>IF(OR(G291="",G291="(NA)"),"",J291*G291)</f>
        <v/>
      </c>
      <c r="L291">
        <f>IF(OR(H291="",H291="(NA)"),"",J291*H291)</f>
        <v/>
      </c>
    </row>
    <row r="292">
      <c r="A292" s="23" t="n">
        <v>46009</v>
      </c>
      <c r="B292" s="14" t="inlineStr">
        <is>
          <t>Labour – US</t>
        </is>
      </c>
      <c r="C292" s="24" t="inlineStr">
        <is>
          <t>Unemployment Claims</t>
        </is>
      </c>
      <c r="D292" s="34" t="n">
        <v>224</v>
      </c>
      <c r="E292" s="34" t="n">
        <v>224</v>
      </c>
      <c r="F292" s="34" t="n">
        <v>236</v>
      </c>
      <c r="G292" s="8">
        <f>IF(NOT(ISNUMBER(D292)),"",IF(NOT(ISNUMBER(E292)),"",D292-E292))</f>
        <v/>
      </c>
      <c r="H292" s="8">
        <f>IF(NOT(ISNUMBER(D292)),"",IF(NOT(ISNUMBER(F292)),"",D292-F292))</f>
        <v/>
      </c>
      <c r="I292" s="8">
        <f>IF(AND(K292="",L292=""),"N/A",IF(AND(ABS(N(K292))&lt;0.0005,ABS(N(L292))&lt;0.0005),"Stable",IF(AND(L292="",ABS(N(K292))&gt;=0.0005),IF(N(K292)&gt;0,"Accelerating","Slowing"),IF(AND(K292="",ABS(N(L292))&gt;=0.0005),IF(N(L292)&gt;0,"Accelerating","Slowing"),IF(AND(N(K292)&gt;0,N(L292)&gt;=0),"Accelerating",IF(AND(N(K292)&lt;0,N(L292)&lt;=0),"Slowing","Mixed"))))))</f>
        <v/>
      </c>
      <c r="J292">
        <f>IF(OR(ISNUMBER(SEARCH("Unemployment",C292)),ISNUMBER(SEARCH("Claims",C292)),ISNUMBER(SEARCH("Jobless",C292)),ISNUMBER(SEARCH("Inventories",C292)),ISNUMBER(SEARCH("Wholesale Inventories",C292)),ISNUMBER(SEARCH("JOLTS Job Openings",C292)),ISNUMBER(SEARCH("Inflation Expectations",C292))),-1,1)</f>
        <v/>
      </c>
      <c r="K292">
        <f>IF(OR(G292="",G292="(NA)"),"",J292*G292)</f>
        <v/>
      </c>
      <c r="L292">
        <f>IF(OR(H292="",H292="(NA)"),"",J292*H292)</f>
        <v/>
      </c>
    </row>
    <row r="293">
      <c r="A293" s="23" t="n">
        <v>46009</v>
      </c>
      <c r="B293" s="14" t="inlineStr">
        <is>
          <t>Growth - US</t>
        </is>
      </c>
      <c r="C293" s="24" t="inlineStr">
        <is>
          <t>Philly Fed Manufacturing Index</t>
        </is>
      </c>
      <c r="D293" s="34" t="n">
        <v>-10.2</v>
      </c>
      <c r="E293" s="34" t="n">
        <v>2.5</v>
      </c>
      <c r="F293" s="34" t="n">
        <v>-1.7</v>
      </c>
      <c r="G293" s="8">
        <f>IF(NOT(ISNUMBER(D293)),"",IF(NOT(ISNUMBER(E293)),"",D293-E293))</f>
        <v/>
      </c>
      <c r="H293" s="8">
        <f>IF(NOT(ISNUMBER(D293)),"",IF(NOT(ISNUMBER(F293)),"",D293-F293))</f>
        <v/>
      </c>
      <c r="I293" s="8">
        <f>IF(AND(K293="",L293=""),"N/A",IF(AND(ABS(N(K293))&lt;0.0005,ABS(N(L293))&lt;0.0005),"Stable",IF(AND(L293="",ABS(N(K293))&gt;=0.0005),IF(N(K293)&gt;0,"Accelerating","Slowing"),IF(AND(K293="",ABS(N(L293))&gt;=0.0005),IF(N(L293)&gt;0,"Accelerating","Slowing"),IF(AND(N(K293)&gt;0,N(L293)&gt;=0),"Accelerating",IF(AND(N(K293)&lt;0,N(L293)&lt;=0),"Slowing","Mixed"))))))</f>
        <v/>
      </c>
      <c r="J293">
        <f>IF(OR(ISNUMBER(SEARCH("Unemployment",C293)),ISNUMBER(SEARCH("Claims",C293)),ISNUMBER(SEARCH("Jobless",C293)),ISNUMBER(SEARCH("Inventories",C293)),ISNUMBER(SEARCH("Wholesale Inventories",C293)),ISNUMBER(SEARCH("JOLTS Job Openings",C293)),ISNUMBER(SEARCH("Inflation Expectations",C293))),-1,1)</f>
        <v/>
      </c>
      <c r="K293">
        <f>IF(OR(G293="",G293="(NA)"),"",J293*G293)</f>
        <v/>
      </c>
      <c r="L293">
        <f>IF(OR(H293="",H293="(NA)"),"",J293*H293)</f>
        <v/>
      </c>
    </row>
    <row r="294">
      <c r="A294" s="23" t="n">
        <v>46009</v>
      </c>
      <c r="B294" s="14" t="inlineStr">
        <is>
          <t>Growth - US</t>
        </is>
      </c>
      <c r="C294" s="24" t="inlineStr">
        <is>
          <t>TIC Long-Term Purchases</t>
        </is>
      </c>
      <c r="D294" s="34" t="n">
        <v>17.5</v>
      </c>
      <c r="E294" s="34" t="n">
        <v>122.7</v>
      </c>
      <c r="F294" s="34" t="n">
        <v>173.28</v>
      </c>
      <c r="G294" s="8">
        <f>IF(NOT(ISNUMBER(D294)),"",IF(NOT(ISNUMBER(E294)),"",D294-E294))</f>
        <v/>
      </c>
      <c r="H294" s="8">
        <f>IF(NOT(ISNUMBER(D294)),"",IF(NOT(ISNUMBER(F294)),"",D294-F294))</f>
        <v/>
      </c>
      <c r="I294" s="8">
        <f>IF(AND(K294="",L294=""),"N/A",IF(AND(ABS(N(K294))&lt;0.0005,ABS(N(L294))&lt;0.0005),"Stable",IF(AND(L294="",ABS(N(K294))&gt;=0.0005),IF(N(K294)&gt;0,"Accelerating","Slowing"),IF(AND(K294="",ABS(N(L294))&gt;=0.0005),IF(N(L294)&gt;0,"Accelerating","Slowing"),IF(AND(N(K294)&gt;0,N(L294)&gt;=0),"Accelerating",IF(AND(N(K294)&lt;0,N(L294)&lt;=0),"Slowing","Mixed"))))))</f>
        <v/>
      </c>
      <c r="J294">
        <f>IF(OR(ISNUMBER(SEARCH("Unemployment",C294)),ISNUMBER(SEARCH("Claims",C294)),ISNUMBER(SEARCH("Jobless",C294)),ISNUMBER(SEARCH("Inventories",C294)),ISNUMBER(SEARCH("Wholesale Inventories",C294)),ISNUMBER(SEARCH("JOLTS Job Openings",C294)),ISNUMBER(SEARCH("Inflation Expectations",C294))),-1,1)</f>
        <v/>
      </c>
      <c r="K294">
        <f>IF(OR(G294="",G294="(NA)"),"",J294*G294)</f>
        <v/>
      </c>
      <c r="L294">
        <f>IF(OR(H294="",H294="(NA)"),"",J294*H294)</f>
        <v/>
      </c>
    </row>
    <row r="295">
      <c r="A295" s="23" t="n">
        <v>46009</v>
      </c>
      <c r="B295" s="14" t="inlineStr">
        <is>
          <t>Inflation – JPY</t>
        </is>
      </c>
      <c r="C295" s="24" t="inlineStr">
        <is>
          <t>National Core CPI y/y</t>
        </is>
      </c>
      <c r="D295" s="33" t="n">
        <v>0.03</v>
      </c>
      <c r="E295" s="33" t="n">
        <v>0.03</v>
      </c>
      <c r="F295" s="33" t="n">
        <v>0.03</v>
      </c>
      <c r="G295" s="8">
        <f>IF(NOT(ISNUMBER(D295)),"",IF(NOT(ISNUMBER(E295)),"",D295-E295))</f>
        <v/>
      </c>
      <c r="H295" s="8">
        <f>IF(NOT(ISNUMBER(D295)),"",IF(NOT(ISNUMBER(F295)),"",D295-F295))</f>
        <v/>
      </c>
      <c r="I295" s="8">
        <f>IF(AND(K295="",L295=""),"N/A",IF(AND(ABS(N(K295))&lt;0.0005,ABS(N(L295))&lt;0.0005),"Stable",IF(AND(L295="",ABS(N(K295))&gt;=0.0005),IF(N(K295)&gt;0,"Accelerating","Slowing"),IF(AND(K295="",ABS(N(L295))&gt;=0.0005),IF(N(L295)&gt;0,"Accelerating","Slowing"),IF(AND(N(K295)&gt;0,N(L295)&gt;=0),"Accelerating",IF(AND(N(K295)&lt;0,N(L295)&lt;=0),"Slowing","Mixed"))))))</f>
        <v/>
      </c>
      <c r="J295">
        <f>IF(OR(ISNUMBER(SEARCH("Unemployment",C295)),ISNUMBER(SEARCH("Claims",C295)),ISNUMBER(SEARCH("Jobless",C295)),ISNUMBER(SEARCH("Inventories",C295)),ISNUMBER(SEARCH("Wholesale Inventories",C295)),ISNUMBER(SEARCH("JOLTS Job Openings",C295)),ISNUMBER(SEARCH("Inflation Expectations",C295))),-1,1)</f>
        <v/>
      </c>
      <c r="K295">
        <f>IF(OR(G295="",G295="(NA)"),"",J295*G295)</f>
        <v/>
      </c>
      <c r="L295">
        <f>IF(OR(H295="",H295="(NA)"),"",J295*H295)</f>
        <v/>
      </c>
    </row>
    <row r="296">
      <c r="A296" s="23" t="n">
        <v>46009</v>
      </c>
      <c r="B296" s="14" t="inlineStr">
        <is>
          <t>Growth - JPY</t>
        </is>
      </c>
      <c r="C296" s="24" t="inlineStr">
        <is>
          <t>BOJ Policy Rate</t>
        </is>
      </c>
      <c r="D296" s="33" t="n">
        <v>0.0075</v>
      </c>
      <c r="E296" s="33" t="n">
        <v>0.0075</v>
      </c>
      <c r="F296" s="33" t="n">
        <v>0.005</v>
      </c>
      <c r="G296" s="8">
        <f>IF(NOT(ISNUMBER(D296)),"",IF(NOT(ISNUMBER(E296)),"",D296-E296))</f>
        <v/>
      </c>
      <c r="H296" s="8">
        <f>IF(NOT(ISNUMBER(D296)),"",IF(NOT(ISNUMBER(F296)),"",D296-F296))</f>
        <v/>
      </c>
      <c r="I296" s="8">
        <f>IF(AND(K296="",L296=""),"N/A",IF(AND(ABS(N(K296))&lt;0.0005,ABS(N(L296))&lt;0.0005),"Stable",IF(AND(L296="",ABS(N(K296))&gt;=0.0005),IF(N(K296)&gt;0,"Accelerating","Slowing"),IF(AND(K296="",ABS(N(L296))&gt;=0.0005),IF(N(L296)&gt;0,"Accelerating","Slowing"),IF(AND(N(K296)&gt;0,N(L296)&gt;=0),"Accelerating",IF(AND(N(K296)&lt;0,N(L296)&lt;=0),"Slowing","Mixed"))))))</f>
        <v/>
      </c>
      <c r="J296">
        <f>IF(OR(ISNUMBER(SEARCH("Unemployment",C296)),ISNUMBER(SEARCH("Claims",C296)),ISNUMBER(SEARCH("Jobless",C296)),ISNUMBER(SEARCH("Inventories",C296)),ISNUMBER(SEARCH("Wholesale Inventories",C296)),ISNUMBER(SEARCH("JOLTS Job Openings",C296)),ISNUMBER(SEARCH("Inflation Expectations",C296))),-1,1)</f>
        <v/>
      </c>
      <c r="K296">
        <f>IF(OR(G296="",G296="(NA)"),"",J296*G296)</f>
        <v/>
      </c>
      <c r="L296">
        <f>IF(OR(H296="",H296="(NA)"),"",J296*H296)</f>
        <v/>
      </c>
    </row>
    <row r="297">
      <c r="A297" s="23" t="n">
        <v>46010</v>
      </c>
      <c r="B297" s="14" t="inlineStr">
        <is>
          <t>Growth - JPY</t>
        </is>
      </c>
      <c r="C297" s="24" t="inlineStr">
        <is>
          <t>German GfK Consumer Climate</t>
        </is>
      </c>
      <c r="D297" s="34" t="n">
        <v>-26.9</v>
      </c>
      <c r="E297" s="34" t="n">
        <v>-23</v>
      </c>
      <c r="F297" s="34" t="n">
        <v>-23.2</v>
      </c>
      <c r="G297" s="8">
        <f>IF(NOT(ISNUMBER(D297)),"",IF(NOT(ISNUMBER(E297)),"",D297-E297))</f>
        <v/>
      </c>
      <c r="H297" s="8">
        <f>IF(NOT(ISNUMBER(D297)),"",IF(NOT(ISNUMBER(F297)),"",D297-F297))</f>
        <v/>
      </c>
      <c r="I297" s="8">
        <f>IF(AND(K297="",L297=""),"N/A",IF(AND(ABS(N(K297))&lt;0.0005,ABS(N(L297))&lt;0.0005),"Stable",IF(AND(L297="",ABS(N(K297))&gt;=0.0005),IF(N(K297)&gt;0,"Accelerating","Slowing"),IF(AND(K297="",ABS(N(L297))&gt;=0.0005),IF(N(L297)&gt;0,"Accelerating","Slowing"),IF(AND(N(K297)&gt;0,N(L297)&gt;=0),"Accelerating",IF(AND(N(K297)&lt;0,N(L297)&lt;=0),"Slowing","Mixed"))))))</f>
        <v/>
      </c>
      <c r="J297">
        <f>IF(OR(ISNUMBER(SEARCH("Unemployment",C297)),ISNUMBER(SEARCH("Claims",C297)),ISNUMBER(SEARCH("Jobless",C297)),ISNUMBER(SEARCH("Inventories",C297)),ISNUMBER(SEARCH("Wholesale Inventories",C297)),ISNUMBER(SEARCH("JOLTS Job Openings",C297)),ISNUMBER(SEARCH("Inflation Expectations",C297))),-1,1)</f>
        <v/>
      </c>
      <c r="K297">
        <f>IF(OR(G297="",G297="(NA)"),"",J297*G297)</f>
        <v/>
      </c>
      <c r="L297">
        <f>IF(OR(H297="",H297="(NA)"),"",J297*H297)</f>
        <v/>
      </c>
    </row>
    <row r="298">
      <c r="A298" s="23" t="n">
        <v>46010</v>
      </c>
      <c r="B298" s="14" t="inlineStr">
        <is>
          <t>Growth - JPY</t>
        </is>
      </c>
      <c r="C298" s="24" t="inlineStr">
        <is>
          <t>German PPI m/m</t>
        </is>
      </c>
      <c r="D298" s="33" t="n">
        <v>0</v>
      </c>
      <c r="E298" s="33" t="n">
        <v>0.001</v>
      </c>
      <c r="F298" s="33" t="n">
        <v>0.001</v>
      </c>
      <c r="G298" s="8">
        <f>IF(NOT(ISNUMBER(D298)),"",IF(NOT(ISNUMBER(E298)),"",D298-E298))</f>
        <v/>
      </c>
      <c r="H298" s="8">
        <f>IF(NOT(ISNUMBER(D298)),"",IF(NOT(ISNUMBER(F298)),"",D298-F298))</f>
        <v/>
      </c>
      <c r="I298" s="8">
        <f>IF(AND(K298="",L298=""),"N/A",IF(AND(ABS(N(K298))&lt;0.0005,ABS(N(L298))&lt;0.0005),"Stable",IF(AND(L298="",ABS(N(K298))&gt;=0.0005),IF(N(K298)&gt;0,"Accelerating","Slowing"),IF(AND(K298="",ABS(N(L298))&gt;=0.0005),IF(N(L298)&gt;0,"Accelerating","Slowing"),IF(AND(N(K298)&gt;0,N(L298)&gt;=0),"Accelerating",IF(AND(N(K298)&lt;0,N(L298)&lt;=0),"Slowing","Mixed"))))))</f>
        <v/>
      </c>
      <c r="J298">
        <f>IF(OR(ISNUMBER(SEARCH("Unemployment",C298)),ISNUMBER(SEARCH("Claims",C298)),ISNUMBER(SEARCH("Jobless",C298)),ISNUMBER(SEARCH("Inventories",C298)),ISNUMBER(SEARCH("Wholesale Inventories",C298)),ISNUMBER(SEARCH("JOLTS Job Openings",C298)),ISNUMBER(SEARCH("Inflation Expectations",C298))),-1,1)</f>
        <v/>
      </c>
      <c r="K298">
        <f>IF(OR(G298="",G298="(NA)"),"",J298*G298)</f>
        <v/>
      </c>
      <c r="L298">
        <f>IF(OR(H298="",H298="(NA)"),"",J298*H298)</f>
        <v/>
      </c>
    </row>
    <row r="299">
      <c r="A299" s="23" t="n">
        <v>45996</v>
      </c>
      <c r="B299" s="28" t="inlineStr">
        <is>
          <t>Labour – EUR</t>
        </is>
      </c>
      <c r="C299" s="24" t="inlineStr">
        <is>
          <t xml:space="preserve"> Final Employment Change q/q </t>
        </is>
      </c>
      <c r="D299" s="25" t="n">
        <v>0.002</v>
      </c>
      <c r="E299" s="25" t="n">
        <v>0.001</v>
      </c>
      <c r="F299" s="25" t="n">
        <v>0.001</v>
      </c>
      <c r="G299" s="8">
        <f>IF(NOT(ISNUMBER(D299)),"",IF(NOT(ISNUMBER(E299)),"",D299-E299))</f>
        <v/>
      </c>
      <c r="H299" s="8">
        <f>IF(NOT(ISNUMBER(D299)),"",IF(NOT(ISNUMBER(F299)),"",D299-F299))</f>
        <v/>
      </c>
      <c r="I299" s="8">
        <f>IF(AND(K299="",L299=""),"N/A",IF(AND(ABS(N(K299))&lt;0.0005,ABS(N(L299))&lt;0.0005),"Stable",IF(AND(L299="",ABS(N(K299))&gt;=0.0005),IF(N(K299)&gt;0,"Accelerating","Slowing"),IF(AND(K299="",ABS(N(L299))&gt;=0.0005),IF(N(L299)&gt;0,"Accelerating","Slowing"),IF(AND(N(K299)&gt;0,N(L299)&gt;=0),"Accelerating",IF(AND(N(K299)&lt;0,N(L299)&lt;=0),"Slowing","Mixed"))))))</f>
        <v/>
      </c>
      <c r="J299">
        <f>IF(OR(ISNUMBER(SEARCH("Unemployment",C299)),ISNUMBER(SEARCH("Claims",C299)),ISNUMBER(SEARCH("Jobless",C299)),ISNUMBER(SEARCH("Inventories",C299)),ISNUMBER(SEARCH("Wholesale Inventories",C299)),ISNUMBER(SEARCH("JOLTS Job Openings",C299)),ISNUMBER(SEARCH("Inflation Expectations",C299))),-1,1)</f>
        <v/>
      </c>
      <c r="K299">
        <f>IF(OR(G299="",G299="(NA)"),"",J299*G299)</f>
        <v/>
      </c>
      <c r="L299">
        <f>IF(OR(H299="",H299="(NA)"),"",J299*H299)</f>
        <v/>
      </c>
    </row>
    <row r="320">
      <c r="A320" t="inlineStr">
        <is>
          <t>Macro Outlook – Weekly Context</t>
        </is>
      </c>
    </row>
    <row r="322">
      <c r="A322" t="inlineStr">
        <is>
          <t>Daily Macro Dashboard</t>
        </is>
      </c>
    </row>
    <row r="323">
      <c r="A323" t="inlineStr">
        <is>
          <t>USD</t>
        </is>
      </c>
      <c r="D323" t="inlineStr">
        <is>
          <t>Rating</t>
        </is>
      </c>
      <c r="F323" t="inlineStr">
        <is>
          <t>EUR</t>
        </is>
      </c>
      <c r="J323" t="inlineStr">
        <is>
          <t>JPY</t>
        </is>
      </c>
      <c r="N323" s="200" t="inlineStr">
        <is>
          <t>Yield Curve Translator (US Treasuries)</t>
        </is>
      </c>
    </row>
    <row r="324" ht="43.5" customHeight="1" s="175">
      <c r="A324" t="inlineStr">
        <is>
          <t>Inflation Trend</t>
        </is>
      </c>
      <c r="B324" s="12">
        <f>IFERROR(LOOKUP(2,1/((Backend!$B$211:$B$299="Inflation – US")*(Backend!$I$211:$I$299&lt;&gt;"")*(Backend!$I$211:$I$299&lt;&gt;"N/A")),Backend!$I$211:$I$299),"")</f>
        <v/>
      </c>
      <c r="C324" s="35" t="n">
        <v>1</v>
      </c>
      <c r="D324" s="36" t="inlineStr">
        <is>
          <t>Falling</t>
        </is>
      </c>
      <c r="E324" s="37" t="n">
        <v>-1</v>
      </c>
      <c r="F324" t="inlineStr">
        <is>
          <t>Inflation Trend</t>
        </is>
      </c>
      <c r="G324" s="12">
        <f>IFERROR(LOOKUP(2,1/((Backend!$B$211:$B$299="Inflation – EUR")*(Backend!$I$211:$I$299&lt;&gt;"")*(Backend!$I$211:$I$299&lt;&gt;"N/A")),Backend!$I$211:$I$299),"")</f>
        <v/>
      </c>
      <c r="H324" s="35" t="n">
        <v>-1</v>
      </c>
      <c r="I324" s="35" t="n"/>
      <c r="J324" t="inlineStr">
        <is>
          <t>Inflation Trend</t>
        </is>
      </c>
      <c r="K324" s="12">
        <f>IFERROR(LOOKUP(2,1/((Backend!$B$211:$B$299="Inflation – JPY")*(Backend!$X$211:$X$299&lt;&gt;"")),Backend!$X$211:$X$299),"")</f>
        <v/>
      </c>
      <c r="L324" s="35">
        <f>IF(K324="","",VLOOKUP(K324,$D$324:$E$338,2,FALSE))</f>
        <v/>
      </c>
      <c r="M324" s="35" t="n"/>
      <c r="N324" s="38" t="inlineStr">
        <is>
          <t>Tenor</t>
        </is>
      </c>
      <c r="O324" s="38" t="inlineStr">
        <is>
          <t>Level</t>
        </is>
      </c>
      <c r="P324" s="39" t="inlineStr">
        <is>
          <t>Δ1d (bp)</t>
        </is>
      </c>
      <c r="Q324" s="38" t="inlineStr">
        <is>
          <t>Δ5d (bp)</t>
        </is>
      </c>
      <c r="R324" s="38" t="inlineStr">
        <is>
          <t>Δ20d (bp)</t>
        </is>
      </c>
      <c r="S324" s="38" t="inlineStr">
        <is>
          <t>What this usually means</t>
        </is>
      </c>
      <c r="T324" s="40" t="inlineStr">
        <is>
          <t>Dynamic read (auto)</t>
        </is>
      </c>
    </row>
    <row r="325" ht="116" customHeight="1" s="175">
      <c r="A325" t="inlineStr">
        <is>
          <t>Labour Trend</t>
        </is>
      </c>
      <c r="B325" s="12">
        <f>IFERROR(LOOKUP(2,1/((Backend!$B$211:$B$299="Labour – US")*(Backend!$I$211:$I$299&lt;&gt;"")*(Backend!$I$211:$I$299&lt;&gt;"N/A")),Backend!$I$211:$I$299),"")</f>
        <v/>
      </c>
      <c r="C325" s="35" t="n">
        <v>1</v>
      </c>
      <c r="D325" s="36" t="inlineStr">
        <is>
          <t>Neutral</t>
        </is>
      </c>
      <c r="E325" s="41" t="n">
        <v>0</v>
      </c>
      <c r="F325" t="inlineStr">
        <is>
          <t>Labour Trend</t>
        </is>
      </c>
      <c r="G325" s="12">
        <f>IFERROR(LOOKUP(2,1/((Backend!$B$211:$B$299="Labour – EUR")*(Backend!$I$211:$I$299&lt;&gt;"")*(Backend!$I$211:$I$299&lt;&gt;"N/A")),Backend!$I$211:$I$299),"")</f>
        <v/>
      </c>
      <c r="H325" s="35" t="n">
        <v>-1</v>
      </c>
      <c r="I325" s="35" t="n"/>
      <c r="J325" t="inlineStr">
        <is>
          <t>Labour Trend</t>
        </is>
      </c>
      <c r="K325" s="12">
        <f>IFERROR(LOOKUP(2,1/((Backend!$B$211:$B$299="Labour – JPY")*(Backend!$X$211:$X$299&lt;&gt;"")),Backend!$X$211:$X$299),"")</f>
        <v/>
      </c>
      <c r="L325" s="35">
        <f>IF(K325="","",VLOOKUP(K325,$D$324:$E$338,2,FALSE))</f>
        <v/>
      </c>
      <c r="M325" s="35" t="n"/>
      <c r="N325" s="42" t="inlineStr">
        <is>
          <t>US 2y</t>
        </is>
      </c>
      <c r="O325" s="43">
        <f>IFERROR(VLOOKUP(N325,Backend!$O$211:$V$217,2,FALSE),"")</f>
        <v/>
      </c>
      <c r="P325" s="44">
        <f>IFERROR(VLOOKUP(N325,Backend!$O$211:$V$217,6,FALSE)*100,"")</f>
        <v/>
      </c>
      <c r="Q325" s="44">
        <f>IFERROR(VLOOKUP(N325,Backend!$O$211:$V$217,7,FALSE)*100,"")</f>
        <v/>
      </c>
      <c r="R325" s="44">
        <f>IFERROR(VLOOKUP(N325,Backend!$O$211:$V$217,8,FALSE)*100,"")</f>
        <v/>
      </c>
      <c r="S325" s="45" t="inlineStr">
        <is>
          <t>Front-end: policy path / next 6–18 months expectations</t>
        </is>
      </c>
      <c r="T325" s="46">
        <f>IF(O325="","",IF(P325&gt;2,"2Y rising → tighter Fed priced → USD tailwind",IF(P325&lt;-2,"2Y falling → easier Fed priced → USD headwind","2Y stable → policy steady")))</f>
        <v/>
      </c>
    </row>
    <row r="326" ht="116" customHeight="1" s="175">
      <c r="A326" t="inlineStr">
        <is>
          <t>Growth Trend</t>
        </is>
      </c>
      <c r="B326" s="12">
        <f>IFERROR(LOOKUP(2,1/((Backend!$B$211:$B$299="Growth - US")*(Backend!$I$211:$I$299&lt;&gt;"")*(Backend!$I$211:$I$299&lt;&gt;"N/A")),Backend!$I$211:$I$299),"")</f>
        <v/>
      </c>
      <c r="C326" s="35" t="n">
        <v>1</v>
      </c>
      <c r="D326" s="36" t="inlineStr">
        <is>
          <t>Rising</t>
        </is>
      </c>
      <c r="E326" s="41" t="n">
        <v>1</v>
      </c>
      <c r="F326" t="inlineStr">
        <is>
          <t>Growth Trend</t>
        </is>
      </c>
      <c r="G326" s="12">
        <f>IFERROR(LOOKUP(2,1/((Backend!$B$211:$B$299="Growth - EUR")*(Backend!$I$211:$I$299&lt;&gt;"")*(Backend!$I$211:$I$299&lt;&gt;"N/A")),Backend!$I$211:$I$299),"")</f>
        <v/>
      </c>
      <c r="H326" s="47" t="n">
        <v>-1</v>
      </c>
      <c r="I326" s="47" t="n"/>
      <c r="J326" t="inlineStr">
        <is>
          <t>Growth Trend</t>
        </is>
      </c>
      <c r="K326" s="12">
        <f>IFERROR(LOOKUP(2,1/((Backend!$B$211:$B$299="Growth - JPY")*(Backend!$X$211:$X$299&lt;&gt;"")),Backend!$X$211:$X$299),"")</f>
        <v/>
      </c>
      <c r="L326" s="47" t="n">
        <v>-1</v>
      </c>
      <c r="M326" s="47" t="n"/>
      <c r="N326" s="42" t="inlineStr">
        <is>
          <t>US 5y</t>
        </is>
      </c>
      <c r="O326" s="43">
        <f>IFERROR(VLOOKUP(N326,Backend!$O$211:$V$217,2,FALSE),"")</f>
        <v/>
      </c>
      <c r="P326" s="44">
        <f>IFERROR(VLOOKUP(N326,Backend!$O$211:$V$217,6,FALSE)*100,"")</f>
        <v/>
      </c>
      <c r="Q326" s="44">
        <f>IFERROR(VLOOKUP(N326,Backend!$O$211:$V$217,7,FALSE)*100,"")</f>
        <v/>
      </c>
      <c r="R326" s="44">
        <f>IFERROR(VLOOKUP(N326,Backend!$O$211:$V$217,8,FALSE)*100,"")</f>
        <v/>
      </c>
      <c r="S326" s="45" t="inlineStr">
        <is>
          <t>Medium: growth + inflation outlook (cycle)</t>
        </is>
      </c>
      <c r="T326" s="46">
        <f>IF(O326="","",IF(P326&gt;2,"5Y rising → growth/inflation repriced up (USD supportive)",IF(P326&lt;-2,"5Y falling → growth scare/easing priced (USD headwind)","5Y stable")))</f>
        <v/>
      </c>
    </row>
    <row r="327" ht="87" customHeight="1" s="175">
      <c r="A327" t="inlineStr">
        <is>
          <t>Fed Policy Direction</t>
        </is>
      </c>
      <c r="B327" s="12">
        <f>IF(B359="","",IF(B359&gt;=2,"More cuts",IF(B359&lt;=-2,"Less cuts","Hold")))</f>
        <v/>
      </c>
      <c r="C327" s="35" t="n">
        <v>1</v>
      </c>
      <c r="D327" s="36" t="inlineStr">
        <is>
          <t>Softening</t>
        </is>
      </c>
      <c r="E327" s="37" t="n">
        <v>-1</v>
      </c>
      <c r="F327" t="inlineStr">
        <is>
          <t>Fed Policy Direction</t>
        </is>
      </c>
      <c r="G327" s="12">
        <f>IF(B360="","",IF(B360&gt;=2,"More cuts",IF(B360&lt;=-2,"Less cuts","Hold")))</f>
        <v/>
      </c>
      <c r="H327" s="35" t="n">
        <v>-1</v>
      </c>
      <c r="I327" s="35" t="n"/>
      <c r="J327" t="inlineStr">
        <is>
          <t>Fed Policy Direction</t>
        </is>
      </c>
      <c r="K327" s="12">
        <f>IF(F360="","",IF(F360&gt;=2,"More cuts",IF(F360&lt;=-2,"Less cuts","Hold")))</f>
        <v/>
      </c>
      <c r="L327" s="35">
        <f>IF(K327="","",VLOOKUP(K327,$D$324:$E$338,2,FALSE))</f>
        <v/>
      </c>
      <c r="M327" s="35" t="n"/>
      <c r="N327" s="42" t="inlineStr">
        <is>
          <t>US 10y</t>
        </is>
      </c>
      <c r="O327" s="43">
        <f>IFERROR(VLOOKUP(N327,Backend!$O$211:$V$217,2,FALSE),"")</f>
        <v/>
      </c>
      <c r="P327" s="44">
        <f>IFERROR(VLOOKUP(N327,Backend!$O$211:$V$217,6,FALSE)*100,"")</f>
        <v/>
      </c>
      <c r="Q327" s="44">
        <f>IFERROR(VLOOKUP(N327,Backend!$O$211:$V$217,7,FALSE)*100,"")</f>
        <v/>
      </c>
      <c r="R327" s="44">
        <f>IFERROR(VLOOKUP(N327,Backend!$O$211:$V$217,8,FALSE)*100,"")</f>
        <v/>
      </c>
      <c r="S327" s="45" t="inlineStr">
        <is>
          <t>Long: long-run growth + inflation + term premium</t>
        </is>
      </c>
      <c r="T327" s="46">
        <f>IF(O327="","",IF(P327&gt;2,"10Y rising → term premium/growth up (USD supportive)",IF(P327&lt;-2,"10Y falling → duration bid/risk-off (USD mixed)","10Y stable")))</f>
        <v/>
      </c>
    </row>
    <row r="328" ht="130.5" customHeight="1" s="175">
      <c r="A328" t="inlineStr">
        <is>
          <t>Global Risk Environment</t>
        </is>
      </c>
      <c r="B328" s="12" t="inlineStr">
        <is>
          <t>Mixed</t>
        </is>
      </c>
      <c r="C328" s="35" t="n">
        <v>1</v>
      </c>
      <c r="D328" s="36" t="inlineStr">
        <is>
          <t>Mixed</t>
        </is>
      </c>
      <c r="E328" s="41" t="n">
        <v>0</v>
      </c>
      <c r="F328" t="inlineStr">
        <is>
          <t>Global Risk Environment</t>
        </is>
      </c>
      <c r="G328" s="12" t="inlineStr">
        <is>
          <t>Mixed</t>
        </is>
      </c>
      <c r="H328" s="35" t="n">
        <v>-1</v>
      </c>
      <c r="I328" s="35" t="n"/>
      <c r="J328" t="inlineStr">
        <is>
          <t>Global Risk Environment</t>
        </is>
      </c>
      <c r="K328" s="12" t="inlineStr">
        <is>
          <t>Mixed</t>
        </is>
      </c>
      <c r="L328" s="35">
        <f>IF(K328="","",VLOOKUP(K328,$D$324:$E$338,2,FALSE))</f>
        <v/>
      </c>
      <c r="M328" s="35" t="n"/>
      <c r="N328" s="42" t="inlineStr">
        <is>
          <t>US 30y</t>
        </is>
      </c>
      <c r="O328" s="43">
        <f>IFERROR(VLOOKUP(N328,Backend!$O$211:$V$217,2,FALSE),"")</f>
        <v/>
      </c>
      <c r="P328" s="44">
        <f>IFERROR(VLOOKUP(N328,Backend!$O$211:$V$217,6,FALSE)*100,"")</f>
        <v/>
      </c>
      <c r="Q328" s="44">
        <f>IFERROR(VLOOKUP(N328,Backend!$O$211:$V$217,7,FALSE)*100,"")</f>
        <v/>
      </c>
      <c r="R328" s="44">
        <f>IFERROR(VLOOKUP(N328,Backend!$O$211:$V$217,8,FALSE)*100,"")</f>
        <v/>
      </c>
      <c r="S328" s="45" t="inlineStr">
        <is>
          <t>Long-end: term premium + supply/duration + inflation tail risk</t>
        </is>
      </c>
      <c r="T328" s="46">
        <f>IF(O328="","",IF(P328&gt;2,"30Y rising → term premium/supply pressure (USD mixed)",IF(P328&lt;-2,"30Y falling → long-end bid (risk-off)","30Y stable")))</f>
        <v/>
      </c>
    </row>
    <row r="329" ht="145" customHeight="1" s="175">
      <c r="A329" t="inlineStr">
        <is>
          <t>US Yield Trend</t>
        </is>
      </c>
      <c r="B329" s="12">
        <f>IF(C329="","",IF(C329&gt;=0.5,"Rising",IF(C329&lt;=-0.5,"Falling","Flat")))</f>
        <v/>
      </c>
      <c r="C329" s="35" t="n">
        <v>1</v>
      </c>
      <c r="D329" s="36" t="inlineStr">
        <is>
          <t>Tight</t>
        </is>
      </c>
      <c r="E329" s="41" t="n">
        <v>1</v>
      </c>
      <c r="F329" t="inlineStr">
        <is>
          <t>EUR Yield Trend</t>
        </is>
      </c>
      <c r="G329" s="12">
        <f>IF(H329="","",IF(H329&gt;=0.5,"Rising",IF(H329&lt;=-0.5,"Falling","Flat")))</f>
        <v/>
      </c>
      <c r="H329" s="35" t="n">
        <v>-1</v>
      </c>
      <c r="I329" s="35" t="n"/>
      <c r="J329" t="inlineStr">
        <is>
          <t>JPY Yield Trend</t>
        </is>
      </c>
      <c r="K329" s="12">
        <f>IF(L329="","",IF(L329&gt;=0.5,"Rising",IF(L329&lt;=-0.5,"Falling","Flat")))</f>
        <v/>
      </c>
      <c r="L329" s="35">
        <f>IF(COUNTA(Backend!$X$211:$X$216)=0,"",AVERAGE(Backend!$X$211:$X$214)+0.5*Backend!$X$216)</f>
        <v/>
      </c>
      <c r="M329" s="35" t="n"/>
      <c r="N329" s="42" t="inlineStr">
        <is>
          <t>US 2s10s</t>
        </is>
      </c>
      <c r="O329" s="43">
        <f>IFERROR(VLOOKUP(N329,Backend!$O$211:$V$217,2,FALSE),"")</f>
        <v/>
      </c>
      <c r="P329" s="44">
        <f>IFERROR(VLOOKUP(N329,Backend!$O$211:$V$217,6,FALSE)*100,"")</f>
        <v/>
      </c>
      <c r="Q329" s="44">
        <f>IFERROR(VLOOKUP(N329,Backend!$O$211:$V$217,7,FALSE)*100,"")</f>
        <v/>
      </c>
      <c r="R329" s="44">
        <f>IFERROR(VLOOKUP(N329,Backend!$O$211:$V$217,8,FALSE)*100,"")</f>
        <v/>
      </c>
      <c r="S329" s="45" t="inlineStr">
        <is>
          <t>Curve slope: 10Y−2Y. Negative = inversion (easing/recession risk priced)</t>
        </is>
      </c>
      <c r="T329" s="46">
        <f>IF(O329="","",IF(O329&lt;0,IF(P329&gt;2,"Inversion easing (steepening) → easing cycle risk","Inversion persists → caution growth"),IF(O329&gt;0,IF(P329&lt;-2,"Curve flattening → late-cycle risk","Curve normal → growth ok"),"Curve flat")))</f>
        <v/>
      </c>
    </row>
    <row r="330" ht="130.5" customHeight="1" s="175">
      <c r="D330" s="36" t="inlineStr">
        <is>
          <t>Slowing</t>
        </is>
      </c>
      <c r="E330" s="37" t="n">
        <v>-1</v>
      </c>
      <c r="G330" s="12" t="n"/>
      <c r="H330" s="35" t="n"/>
      <c r="I330" s="35" t="n"/>
      <c r="J330" s="35" t="n"/>
      <c r="K330" s="35" t="n"/>
      <c r="L330" s="35" t="n"/>
      <c r="M330" s="35" t="n"/>
      <c r="N330" s="42" t="inlineStr">
        <is>
          <t>US 5s30s</t>
        </is>
      </c>
      <c r="O330" s="43">
        <f>IFERROR(VLOOKUP(N330,Backend!$O$211:$V$217,2,FALSE),"")</f>
        <v/>
      </c>
      <c r="P330" s="44">
        <f>IFERROR(VLOOKUP(N330,Backend!$O$211:$V$217,6,FALSE)*100,"")</f>
        <v/>
      </c>
      <c r="Q330" s="44">
        <f>IFERROR(VLOOKUP(N330,Backend!$O$211:$V$217,7,FALSE)*100,"")</f>
        <v/>
      </c>
      <c r="R330" s="44">
        <f>IFERROR(VLOOKUP(N330,Backend!$O$211:$V$217,8,FALSE)*100,"")</f>
        <v/>
      </c>
      <c r="S330" s="45" t="inlineStr">
        <is>
          <t>Long-end steepness: 30Y−5Y. Rising = higher term premium / supply pressure</t>
        </is>
      </c>
      <c r="T330" s="46">
        <f>IF(O330="","",IF(P330&gt;2,"5s30 steepening → term premium/supply up (USD mixed)",IF(P330&lt;-2,"5s30 flattening → long-end bid","5s30 stable")))</f>
        <v/>
      </c>
    </row>
    <row r="331">
      <c r="D331" s="36" t="inlineStr">
        <is>
          <t>Stable</t>
        </is>
      </c>
      <c r="E331" s="41" t="n">
        <v>0</v>
      </c>
      <c r="N331" s="174" t="inlineStr">
        <is>
          <t>Rule of thumb for FX (USD):</t>
        </is>
      </c>
    </row>
    <row r="332" ht="29" customHeight="1" s="175">
      <c r="A332" t="inlineStr">
        <is>
          <t>Macro_USD_Score</t>
        </is>
      </c>
      <c r="B332" s="48">
        <f>IFERROR(IF(COUNTA($C$324:$C$329)=0,"",SUM($C$324:$C$329)),"")</f>
        <v/>
      </c>
      <c r="C332" s="35" t="n"/>
      <c r="D332" s="36" t="inlineStr">
        <is>
          <t>Accelerating</t>
        </is>
      </c>
      <c r="E332" s="41" t="n">
        <v>1</v>
      </c>
      <c r="N332" s="199" t="inlineStr">
        <is>
          <t>• Rising 2Y = tighter Fed priced → tends to support USD.  • Falling 2Y = easier Fed priced → tends to weigh USD.  • Curve steepening driven by falling 2Y often = easing cycle / risk-on.</t>
        </is>
      </c>
    </row>
    <row r="333" ht="29" customHeight="1" s="175">
      <c r="A333" t="inlineStr">
        <is>
          <t>Macro_EUR_Score</t>
        </is>
      </c>
      <c r="B333" s="48">
        <f>IFERROR(IF(COUNTA($H$324:$H$329)=0,"",SUM($H$324:$H$329)),"")</f>
        <v/>
      </c>
      <c r="D333" s="36" t="inlineStr">
        <is>
          <t>More cuts</t>
        </is>
      </c>
      <c r="E333" s="37" t="n">
        <v>-1</v>
      </c>
    </row>
    <row r="334">
      <c r="A334" t="inlineStr">
        <is>
          <t>Macro_JPY_Score</t>
        </is>
      </c>
      <c r="B334" s="48">
        <f>IFERROR(0,"")</f>
        <v/>
      </c>
      <c r="D334" s="36" t="inlineStr">
        <is>
          <t>Hold</t>
        </is>
      </c>
      <c r="E334" s="41" t="n">
        <v>0</v>
      </c>
    </row>
    <row r="335">
      <c r="A335" t="inlineStr">
        <is>
          <t>Macro_USD_Strength</t>
        </is>
      </c>
      <c r="B335" s="12">
        <f>IFERROR(IF(B332="","",IF(B332&gt;=2,"Strong USD",IF(B332&lt;=-2,"Weak USD","Neutral USD"))),"")</f>
        <v/>
      </c>
      <c r="D335" s="36" t="inlineStr">
        <is>
          <t>Less cuts</t>
        </is>
      </c>
      <c r="E335" s="41" t="n">
        <v>1</v>
      </c>
    </row>
    <row r="336" ht="29" customHeight="1" s="175">
      <c r="A336" s="49" t="inlineStr">
        <is>
          <t>Macro_EUR_Strength</t>
        </is>
      </c>
      <c r="B336" s="50">
        <f>IF(B333="","",IF(B333&gt;=2,"Strong EUR",IF(B333&lt;=-2,"Weak EUR","Neutral EUR")))</f>
        <v/>
      </c>
      <c r="D336" s="36" t="inlineStr">
        <is>
          <t>Risk-on</t>
        </is>
      </c>
      <c r="E336" s="37" t="n">
        <v>-1</v>
      </c>
    </row>
    <row r="337">
      <c r="D337" s="36" t="inlineStr">
        <is>
          <t>Risk-off</t>
        </is>
      </c>
      <c r="E337" s="41" t="n">
        <v>1</v>
      </c>
    </row>
    <row r="338">
      <c r="A338" t="inlineStr">
        <is>
          <t>EURUSD Macro Bias</t>
        </is>
      </c>
      <c r="B338" s="19">
        <f>IFERROR(IF(OR(B332="",B333=""),"",IF(B333-B332&gt;=2,"Buy dips",IF(B333-B332&lt;=-2,"Sell rallies","Neutral"))),"")</f>
        <v/>
      </c>
      <c r="D338" s="36" t="inlineStr">
        <is>
          <t>Flat</t>
        </is>
      </c>
      <c r="E338" s="41" t="n">
        <v>0</v>
      </c>
    </row>
    <row r="339">
      <c r="A339" t="inlineStr">
        <is>
          <t>USDJPY Macro Bias</t>
        </is>
      </c>
      <c r="B339" s="12">
        <f>IFERROR(IF(B332="","Neutral",IF(B332-B334&gt;=2,"Buy USD / Sell JPY",IF(B332-B334&lt;=-2,"Sell USD / Buy JPY","Neutral"))),"")</f>
        <v/>
      </c>
    </row>
    <row r="340">
      <c r="A340" t="inlineStr">
        <is>
          <t>Risk Asset Bias</t>
        </is>
      </c>
      <c r="B340" s="12">
        <f>IFERROR(IF(B332="","Mixed",IF(AND(C328=1,C329=1,C324&lt;=0),"Risk-on",IF(AND(C328=-1,C329=-1,C324&gt;0),"Risk-off","Mixed"))),"")</f>
        <v/>
      </c>
    </row>
    <row r="341">
      <c r="A341" s="49" t="inlineStr">
        <is>
          <t>US_YieldTrend_Score (-1..+1)</t>
        </is>
      </c>
      <c r="B341" s="5">
        <f>C329</f>
        <v/>
      </c>
    </row>
    <row r="342">
      <c r="A342" t="inlineStr">
        <is>
          <t>Fed_Ease_Score</t>
        </is>
      </c>
      <c r="B342" s="48">
        <f>IF(B359="","",IF(B359&gt;=2,1,IF(B359&lt;=-2,-1,0)))</f>
        <v/>
      </c>
    </row>
    <row r="343">
      <c r="A343" t="inlineStr">
        <is>
          <t>ECB_Ease_Score</t>
        </is>
      </c>
      <c r="B343" s="48">
        <f>IF(B360="","",IF(B360&gt;=2,1,IF(B360&lt;=-2,-1,0)))</f>
        <v/>
      </c>
    </row>
    <row r="344">
      <c r="A344" t="inlineStr">
        <is>
          <t>BoJ_Ease_Score</t>
        </is>
      </c>
      <c r="B344" s="48" t="n">
        <v>0</v>
      </c>
    </row>
    <row r="346">
      <c r="A346" t="inlineStr">
        <is>
          <t>Rate_Diff_Level</t>
        </is>
      </c>
      <c r="B346" s="51">
        <f>IF(OR(Backend!$Z$211="",Backend!$Z$212="",$B$359="",$B$360=""),"",(Backend!$Z$211-0.25*$B$359)-(Backend!$Z$212-0.25*$B$360))</f>
        <v/>
      </c>
      <c r="C346" s="1">
        <f>IF(B346="","",IF(B346&gt;1.5,"Strong USD carry tailwind",IF(B346&gt;0.5,"Mild USD carry tailwind",IF(B346&lt;-1.5,"Strong EUR carry tailwind",IF(B346&lt;-0.5,"Mild EUR carry tailwind","Carry roughly neutral")))))</f>
        <v/>
      </c>
    </row>
    <row r="347">
      <c r="A347" t="inlineStr">
        <is>
          <t>Rate_Diff_Score</t>
        </is>
      </c>
      <c r="B347" s="48">
        <f>IF(OR(Backend!Z211="",Backend!Z212="",$B$359="",$B$360=""),"",ROUND((((Backend!Z211-0.25*$B$359)-(Backend!Z212-0.25*$B$360))-(Backend!Z211-Backend!Z212))/0.25,0))</f>
        <v/>
      </c>
      <c r="C347" s="1">
        <f>IF(B347="","",IF(B347&lt;=-2,"Spread narrowing in favour of EUR",IF(B347&gt;=2,"Spread widening in favour of USD","Spread roughly unchanged")))</f>
        <v/>
      </c>
      <c r="G347" s="5">
        <f>Backend!Z211</f>
        <v/>
      </c>
    </row>
    <row r="348">
      <c r="A348" t="inlineStr">
        <is>
          <t>Last FOMC date</t>
        </is>
      </c>
      <c r="B348" s="52" t="n">
        <v>46001</v>
      </c>
    </row>
    <row r="349" ht="29" customHeight="1" s="175">
      <c r="A349" s="53" t="inlineStr">
        <is>
          <t>Fed_DailyTone</t>
        </is>
      </c>
      <c r="B349" s="19">
        <f>IF($B$348="","",IFERROR(AVERAGEIFS(Backend!$H$131:$H$163,Backend!$B$131:$B$163,"FED",Backend!$A$131:$A$163,"&gt;="&amp;$B$348),""))</f>
        <v/>
      </c>
      <c r="C349" s="1">
        <f>IF(B349="","",IF(B349&gt;0.3,"Hawkish",IF(B349&lt;-0.3,"Dovish","Mixed")))</f>
        <v/>
      </c>
    </row>
    <row r="350">
      <c r="A350" t="inlineStr">
        <is>
          <t xml:space="preserve">Fed_WeeklyTone </t>
        </is>
      </c>
      <c r="B350" s="19">
        <f>IFERROR(AVERAGEIFS(Backend!$H$131:$H$163,Backend!$B$131:$B$163,"FED",Backend!$A$131:$A$163,"&gt;="&amp;TODAY()-30),"")</f>
        <v/>
      </c>
      <c r="C350" s="1">
        <f>IF(B350="","",IF(B350&gt;0.3,"Hawkish",IF(B350&lt;-0.3,"Dovish","Mixed")))</f>
        <v/>
      </c>
    </row>
    <row r="351" ht="29" customHeight="1" s="175">
      <c r="A351" s="53" t="inlineStr">
        <is>
          <t>ECB_DailyTone</t>
        </is>
      </c>
      <c r="B351" s="19">
        <f>IF($B$348="","",IFERROR(AVERAGEIFS(Backend!$H$131:$H$163,Backend!$B$131:$B$163,"ECB",Backend!$A$131:$A$163,"&gt;="&amp;$B$348),""))</f>
        <v/>
      </c>
      <c r="C351" s="1">
        <f>IF(B351="","",IF(B351&gt;0.3,"Hawkish",IF(B351&lt;-0.3,"Dovish","Mixed")))</f>
        <v/>
      </c>
    </row>
    <row r="352">
      <c r="A352" t="inlineStr">
        <is>
          <t xml:space="preserve">ECB_WeeklyTone </t>
        </is>
      </c>
      <c r="B352" s="19">
        <f>IFERROR(AVERAGEIFS(Backend!$H$131:$H$163,Backend!$B$131:$B$163,"ECB",Backend!$A$131:$A$163,"&gt;="&amp;TODAY()-30),"")</f>
        <v/>
      </c>
      <c r="C352" s="1">
        <f>IF(B352="","",IF(B352&gt;0.3,"Hawkish",IF(B352&lt;-0.3,"Dovish","Mixed")))</f>
        <v/>
      </c>
    </row>
    <row r="353" ht="29" customHeight="1" s="175">
      <c r="A353" s="53" t="inlineStr">
        <is>
          <t>JPY_DailyTone</t>
        </is>
      </c>
      <c r="B353" s="19">
        <f>IF($B$348="","",IFERROR(AVERAGEIFS(Backend!$H$131:$H$163,Backend!$B$131:$B$163,"BOJ",Backend!$A$131:$A$163,"&gt;="&amp;$B$348),""))</f>
        <v/>
      </c>
      <c r="C353" s="1">
        <f>IF(B353="","",IF(B353&gt;0.3,"Hawkish",IF(B353&lt;-0.3,"Dovish","Mixed")))</f>
        <v/>
      </c>
    </row>
    <row r="354">
      <c r="A354" t="inlineStr">
        <is>
          <t xml:space="preserve">JPY_WeeklyTone </t>
        </is>
      </c>
      <c r="B354" s="19">
        <f>IFERROR(AVERAGEIFS(Backend!$H$131:$H$163,Backend!$B$131:$B$163,"BOJ",Backend!$A$131:$A$163,"&gt;="&amp;TODAY()-30),"")</f>
        <v/>
      </c>
      <c r="C354" s="1">
        <f>IF(B354="","",IF(B354&gt;0.3,"Hawkish",IF(B354&lt;-0.3,"Dovish","Mixed")))</f>
        <v/>
      </c>
    </row>
    <row r="356" ht="261" customHeight="1" s="175">
      <c r="A356" s="49" t="inlineStr">
        <is>
          <t>Yield Narrative</t>
        </is>
      </c>
      <c r="B356" s="54">
        <f>IF(O325="","","US yields: 2Y "&amp;TEXT(O325,"0.00")&amp;"% ("&amp;IF(P325="","",IF(P325&gt;0,"+"&amp;TEXT(P325,"0"),TEXT(P325,"0")))&amp;"bp 1d) — "&amp;T325&amp;". "&amp;"Curve (2s10s): "&amp;TEXT(O329,"0")&amp;"bp — "&amp;T329)</f>
        <v/>
      </c>
    </row>
    <row r="357" ht="188.5" customHeight="1" s="175">
      <c r="B357" s="54">
        <f>IFERROR(IF($B$338="","",IF($B$338="Buy dips","Macro backdrop leans EUR support.","Macro backdrop leans USD support.")&amp;" (Rate diff: "&amp;TEXT($B$347,"0")&amp;" steps; Yields: "&amp;$B$329&amp;"; Fed tone: "&amp;$B$350&amp;"; ECB tone: "&amp;$B$352&amp;")"),"")</f>
        <v/>
      </c>
    </row>
    <row r="359">
      <c r="A359" t="inlineStr">
        <is>
          <t>Fed_ForwardCuts_6m</t>
        </is>
      </c>
      <c r="B359" s="48">
        <f>IFERROR(INDEX(Backend!$C$181:$C$191,MATCH(_xlfn.AGGREGATE(15,6,Backend!$A$181:$A$191/((Backend!$B$181:$B$191="US")*(Backend!$A$181:$A$191&gt;=TODAY()+180)),1),Backend!$A$181:$A$191,0)),"")</f>
        <v/>
      </c>
    </row>
    <row r="360">
      <c r="A360" t="inlineStr">
        <is>
          <t>ECB_ForwardCuts_6m</t>
        </is>
      </c>
      <c r="B360" s="48">
        <f>IFERROR(INDEX(Backend!$C$181:$C$191,MATCH(_xlfn.AGGREGATE(15,6,Backend!$A$181:$A$191/((Backend!$B$181:$B$191="ECB")*(Backend!$A$181:$A$191&gt;=TODAY()+180)),1),Backend!$A$181:$A$191,0)),"")</f>
        <v/>
      </c>
    </row>
    <row r="361">
      <c r="A361" t="inlineStr">
        <is>
          <t>JPY_ForwardCuts_6m</t>
        </is>
      </c>
    </row>
  </sheetData>
  <mergeCells count="3">
    <mergeCell ref="N331:S331"/>
    <mergeCell ref="N332:S332"/>
    <mergeCell ref="N323:S323"/>
  </mergeCell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2025-12-14T23:07:00Z</dcterms:created>
  <dcterms:modified xsi:type="dcterms:W3CDTF">2026-04-24T14:38:18Z</dcterms:modified>
  <cp:lastModifiedBy>Nguyen Manh Cuong D22CN03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00C0F639665A4EA3A6374955D5B18431_13</vt:lpwstr>
  </property>
  <property name="KSOProductBuildVer" fmtid="{D5CDD505-2E9C-101B-9397-08002B2CF9AE}" pid="3">
    <vt:lpwstr>1033-12.1.0.25242</vt:lpwstr>
  </property>
  <property name="CalculationRule" fmtid="{D5CDD505-2E9C-101B-9397-08002B2CF9AE}" pid="4">
    <vt:i4>0</vt:i4>
  </property>
</Properties>
</file>